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FD8BC0F-85FB-466C-881C-C26A5AA0A34D}" xr6:coauthVersionLast="41" xr6:coauthVersionMax="41" xr10:uidLastSave="{00000000-0000-0000-0000-000000000000}"/>
  <bookViews>
    <workbookView xWindow="-120" yWindow="-120" windowWidth="29040" windowHeight="15720" activeTab="1" xr2:uid="{00000000-000D-0000-FFFF-FFFF00000000}"/>
  </bookViews>
  <sheets>
    <sheet name="Formularantworten 1" sheetId="1" r:id="rId1"/>
    <sheet name="Tabellenblatt1" sheetId="2" r:id="rId2"/>
    <sheet name="__OpenSolverCache__" sheetId="3" state="hidden" r:id="rId3"/>
    <sheet name="__OpenSolver__" sheetId="4" state="hidden" r:id="rId4"/>
  </sheets>
  <calcPr calcId="191029"/>
</workbook>
</file>

<file path=xl/calcChain.xml><?xml version="1.0" encoding="utf-8"?>
<calcChain xmlns="http://schemas.openxmlformats.org/spreadsheetml/2006/main">
  <c r="A21" i="4" l="1"/>
  <c r="A20" i="4"/>
  <c r="A19" i="4"/>
  <c r="A18" i="4"/>
  <c r="A17" i="4"/>
  <c r="A16" i="4"/>
  <c r="A15" i="4"/>
  <c r="A14" i="4"/>
  <c r="A13" i="4"/>
  <c r="A12" i="4"/>
  <c r="A11" i="4"/>
  <c r="A10" i="4"/>
  <c r="A9" i="4"/>
  <c r="A8" i="4"/>
  <c r="A7" i="4"/>
  <c r="A6" i="4"/>
  <c r="A5" i="4"/>
  <c r="A4" i="4"/>
  <c r="A3" i="4"/>
  <c r="A2" i="4"/>
  <c r="A1" i="4"/>
  <c r="G1397" i="2" a="1"/>
  <c r="T1397" i="2" s="1"/>
  <c r="U1394" i="2"/>
  <c r="Q1394" i="2"/>
  <c r="M1394" i="2"/>
  <c r="I1394" i="2"/>
  <c r="G1394" i="2" a="1"/>
  <c r="V1394" i="2" s="1"/>
  <c r="G1391" i="2" a="1"/>
  <c r="T1391" i="2" s="1"/>
  <c r="U1133" i="2"/>
  <c r="Q1133" i="2"/>
  <c r="M1133" i="2"/>
  <c r="I1133" i="2"/>
  <c r="H1133" i="2" a="1"/>
  <c r="V1133" i="2" s="1"/>
  <c r="D1133" i="2"/>
  <c r="B1133" i="2" a="1"/>
  <c r="E1133" i="2" s="1"/>
  <c r="G1132" i="2" a="1"/>
  <c r="T1132" i="2" s="1"/>
  <c r="B1132" i="2" a="1"/>
  <c r="C1132" i="2" s="1"/>
  <c r="E1131" i="2" a="1"/>
  <c r="V1131" i="2" s="1"/>
  <c r="W1125" i="2"/>
  <c r="U1125" i="2"/>
  <c r="T1125" i="2"/>
  <c r="S1125" i="2"/>
  <c r="Q1125" i="2"/>
  <c r="P1125" i="2"/>
  <c r="O1125" i="2"/>
  <c r="M1125" i="2"/>
  <c r="L1125" i="2"/>
  <c r="K1125" i="2"/>
  <c r="I1125" i="2"/>
  <c r="H1125" i="2"/>
  <c r="G1125" i="2"/>
  <c r="E1125" i="2"/>
  <c r="D1125" i="2"/>
  <c r="C1125" i="2"/>
  <c r="B1125" i="2" a="1"/>
  <c r="V1125" i="2" s="1"/>
  <c r="B1125" i="2"/>
  <c r="U1111" i="2"/>
  <c r="T1111" i="2"/>
  <c r="Q1111" i="2"/>
  <c r="P1111" i="2"/>
  <c r="M1111" i="2"/>
  <c r="L1111" i="2"/>
  <c r="I1111" i="2"/>
  <c r="H1111" i="2"/>
  <c r="E1111" i="2"/>
  <c r="D1111" i="2"/>
  <c r="B1111" i="2" a="1"/>
  <c r="W1111" i="2" s="1"/>
  <c r="B1111" i="2"/>
  <c r="W1106" i="2"/>
  <c r="U1106" i="2"/>
  <c r="T1106" i="2"/>
  <c r="S1106" i="2"/>
  <c r="Q1106" i="2"/>
  <c r="P1106" i="2"/>
  <c r="O1106" i="2"/>
  <c r="M1106" i="2"/>
  <c r="L1106" i="2"/>
  <c r="K1106" i="2"/>
  <c r="I1106" i="2"/>
  <c r="H1106" i="2"/>
  <c r="G1106" i="2"/>
  <c r="E1106" i="2"/>
  <c r="D1106" i="2"/>
  <c r="C1106" i="2"/>
  <c r="B1106" i="2" a="1"/>
  <c r="V1106" i="2" s="1"/>
  <c r="B1106" i="2"/>
  <c r="B1080" i="2" a="1"/>
  <c r="U1080" i="2" s="1"/>
  <c r="U1073" i="2"/>
  <c r="Q1073" i="2"/>
  <c r="M1073" i="2"/>
  <c r="I1073" i="2"/>
  <c r="E1073" i="2"/>
  <c r="B1073" i="2" a="1"/>
  <c r="T1073" i="2" s="1"/>
  <c r="B1073" i="2"/>
  <c r="U1066" i="2"/>
  <c r="T1066" i="2"/>
  <c r="Q1066" i="2"/>
  <c r="P1066" i="2"/>
  <c r="M1066" i="2"/>
  <c r="L1066" i="2"/>
  <c r="I1066" i="2"/>
  <c r="H1066" i="2"/>
  <c r="E1066" i="2"/>
  <c r="D1066" i="2"/>
  <c r="B1066" i="2" a="1"/>
  <c r="W1066" i="2" s="1"/>
  <c r="B1066" i="2"/>
  <c r="C1062" i="2" a="1"/>
  <c r="S1056" i="2"/>
  <c r="O1056" i="2"/>
  <c r="K1056" i="2"/>
  <c r="G1056" i="2"/>
  <c r="C1056" i="2"/>
  <c r="T1055" i="2"/>
  <c r="P1055" i="2"/>
  <c r="L1055" i="2"/>
  <c r="H1055" i="2"/>
  <c r="D1055" i="2"/>
  <c r="C1055" i="2" a="1"/>
  <c r="W1056" i="2" s="1"/>
  <c r="W1050" i="2"/>
  <c r="V1050" i="2"/>
  <c r="S1050" i="2"/>
  <c r="R1050" i="2"/>
  <c r="O1050" i="2"/>
  <c r="N1050" i="2"/>
  <c r="K1050" i="2"/>
  <c r="J1050" i="2"/>
  <c r="G1050" i="2"/>
  <c r="F1050" i="2"/>
  <c r="C1050" i="2"/>
  <c r="W1049" i="2"/>
  <c r="T1049" i="2"/>
  <c r="S1049" i="2"/>
  <c r="P1049" i="2"/>
  <c r="O1049" i="2"/>
  <c r="L1049" i="2"/>
  <c r="K1049" i="2"/>
  <c r="H1049" i="2"/>
  <c r="G1049" i="2"/>
  <c r="D1049" i="2"/>
  <c r="C1049" i="2"/>
  <c r="U1048" i="2"/>
  <c r="T1048" i="2"/>
  <c r="Q1048" i="2"/>
  <c r="P1048" i="2"/>
  <c r="M1048" i="2"/>
  <c r="L1048" i="2"/>
  <c r="I1048" i="2"/>
  <c r="H1048" i="2"/>
  <c r="E1048" i="2"/>
  <c r="D1048" i="2"/>
  <c r="C1048" i="2" a="1"/>
  <c r="U1050" i="2" s="1"/>
  <c r="B1047" i="2" a="1"/>
  <c r="B1047" i="2" s="1"/>
  <c r="V1041" i="2"/>
  <c r="V1039" i="2" s="1"/>
  <c r="U1041" i="2"/>
  <c r="U1039" i="2" s="1"/>
  <c r="T1041" i="2"/>
  <c r="R1041" i="2"/>
  <c r="R1039" i="2" s="1"/>
  <c r="Q1041" i="2"/>
  <c r="Q1039" i="2" s="1"/>
  <c r="P1041" i="2"/>
  <c r="N1041" i="2"/>
  <c r="N1039" i="2" s="1"/>
  <c r="M1041" i="2"/>
  <c r="M1039" i="2" s="1"/>
  <c r="L1041" i="2"/>
  <c r="J1041" i="2"/>
  <c r="J1039" i="2" s="1"/>
  <c r="I1041" i="2"/>
  <c r="I1039" i="2" s="1"/>
  <c r="H1041" i="2"/>
  <c r="F1041" i="2"/>
  <c r="F1039" i="2" s="1"/>
  <c r="E1041" i="2"/>
  <c r="E1039" i="2" s="1"/>
  <c r="D1041" i="2"/>
  <c r="C1041" i="2" a="1"/>
  <c r="W1041" i="2" s="1"/>
  <c r="W1039" i="2" s="1"/>
  <c r="C1041" i="2"/>
  <c r="C1039" i="2" s="1"/>
  <c r="T1039" i="2"/>
  <c r="P1039" i="2"/>
  <c r="L1039" i="2"/>
  <c r="H1039" i="2"/>
  <c r="D1039" i="2"/>
  <c r="U1035" i="2"/>
  <c r="Q1035" i="2"/>
  <c r="M1035" i="2"/>
  <c r="I1035" i="2"/>
  <c r="E1035" i="2"/>
  <c r="V1034" i="2"/>
  <c r="R1034" i="2"/>
  <c r="N1034" i="2"/>
  <c r="J1034" i="2"/>
  <c r="F1034" i="2"/>
  <c r="C1034" i="2" a="1"/>
  <c r="T1035" i="2" s="1"/>
  <c r="C1034" i="2"/>
  <c r="B1033" i="2" a="1"/>
  <c r="B1033" i="2" s="1"/>
  <c r="C1023" i="2" a="1"/>
  <c r="W1024" i="2" s="1"/>
  <c r="B1022" i="2" a="1"/>
  <c r="B1022" i="2" s="1"/>
  <c r="C1011" i="2" a="1"/>
  <c r="T1015" i="2" s="1"/>
  <c r="B1010" i="2" a="1"/>
  <c r="B1010" i="2" s="1"/>
  <c r="W1001" i="2"/>
  <c r="V1001" i="2"/>
  <c r="T1001" i="2"/>
  <c r="T994" i="2" s="1"/>
  <c r="S1001" i="2"/>
  <c r="R1001" i="2"/>
  <c r="P1001" i="2"/>
  <c r="P994" i="2" s="1"/>
  <c r="O1001" i="2"/>
  <c r="N1001" i="2"/>
  <c r="L1001" i="2"/>
  <c r="L994" i="2" s="1"/>
  <c r="K1001" i="2"/>
  <c r="J1001" i="2"/>
  <c r="H1001" i="2"/>
  <c r="H994" i="2" s="1"/>
  <c r="G1001" i="2"/>
  <c r="F1001" i="2"/>
  <c r="D1001" i="2"/>
  <c r="C1001" i="2"/>
  <c r="W1000" i="2"/>
  <c r="U1000" i="2"/>
  <c r="U994" i="2" s="1"/>
  <c r="T1000" i="2"/>
  <c r="S1000" i="2"/>
  <c r="Q1000" i="2"/>
  <c r="P1000" i="2"/>
  <c r="O1000" i="2"/>
  <c r="M1000" i="2"/>
  <c r="L1000" i="2"/>
  <c r="K1000" i="2"/>
  <c r="I1000" i="2"/>
  <c r="H1000" i="2"/>
  <c r="G1000" i="2"/>
  <c r="E1000" i="2"/>
  <c r="E994" i="2" s="1"/>
  <c r="D1000" i="2"/>
  <c r="C1000" i="2"/>
  <c r="V999" i="2"/>
  <c r="U999" i="2"/>
  <c r="T999" i="2"/>
  <c r="R999" i="2"/>
  <c r="Q999" i="2"/>
  <c r="P999" i="2"/>
  <c r="N999" i="2"/>
  <c r="M999" i="2"/>
  <c r="L999" i="2"/>
  <c r="J999" i="2"/>
  <c r="I999" i="2"/>
  <c r="H999" i="2"/>
  <c r="F999" i="2"/>
  <c r="E999" i="2"/>
  <c r="D999" i="2"/>
  <c r="C999" i="2" a="1"/>
  <c r="U1001" i="2" s="1"/>
  <c r="C999" i="2"/>
  <c r="C994" i="2" s="1"/>
  <c r="B998" i="2" a="1"/>
  <c r="B998" i="2" s="1"/>
  <c r="D994" i="2"/>
  <c r="W992" i="2"/>
  <c r="S992" i="2"/>
  <c r="O992" i="2"/>
  <c r="K992" i="2"/>
  <c r="G992" i="2"/>
  <c r="C992" i="2"/>
  <c r="T991" i="2"/>
  <c r="P991" i="2"/>
  <c r="L991" i="2"/>
  <c r="H991" i="2"/>
  <c r="D991" i="2"/>
  <c r="U990" i="2"/>
  <c r="Q990" i="2"/>
  <c r="M990" i="2"/>
  <c r="I990" i="2"/>
  <c r="E990" i="2"/>
  <c r="V989" i="2"/>
  <c r="R989" i="2"/>
  <c r="N989" i="2"/>
  <c r="J989" i="2"/>
  <c r="F989" i="2"/>
  <c r="W988" i="2"/>
  <c r="S988" i="2"/>
  <c r="O988" i="2"/>
  <c r="K988" i="2"/>
  <c r="G988" i="2"/>
  <c r="C988" i="2"/>
  <c r="T987" i="2"/>
  <c r="P987" i="2"/>
  <c r="L987" i="2"/>
  <c r="H987" i="2"/>
  <c r="D987" i="2"/>
  <c r="C987" i="2" a="1"/>
  <c r="T992" i="2" s="1"/>
  <c r="V976" i="2"/>
  <c r="U976" i="2"/>
  <c r="Q976" i="2"/>
  <c r="O976" i="2"/>
  <c r="K976" i="2"/>
  <c r="J976" i="2"/>
  <c r="F976" i="2"/>
  <c r="E976" i="2"/>
  <c r="V975" i="2"/>
  <c r="T975" i="2"/>
  <c r="P975" i="2"/>
  <c r="O975" i="2"/>
  <c r="O971" i="2" s="1"/>
  <c r="K975" i="2"/>
  <c r="K971" i="2" s="1"/>
  <c r="J975" i="2"/>
  <c r="F975" i="2"/>
  <c r="D975" i="2"/>
  <c r="C975" i="2" a="1"/>
  <c r="W976" i="2" s="1"/>
  <c r="V971" i="2"/>
  <c r="J971" i="2"/>
  <c r="F971" i="2"/>
  <c r="C966" i="2" a="1"/>
  <c r="W968" i="2" s="1"/>
  <c r="B887" i="2" a="1"/>
  <c r="T887" i="2" s="1"/>
  <c r="W886" i="2"/>
  <c r="U886" i="2"/>
  <c r="T886" i="2"/>
  <c r="S886" i="2"/>
  <c r="Q886" i="2"/>
  <c r="P886" i="2"/>
  <c r="O886" i="2"/>
  <c r="M886" i="2"/>
  <c r="L886" i="2"/>
  <c r="K886" i="2"/>
  <c r="I886" i="2"/>
  <c r="H886" i="2"/>
  <c r="G886" i="2"/>
  <c r="E886" i="2"/>
  <c r="D886" i="2"/>
  <c r="C886" i="2"/>
  <c r="B886" i="2" a="1"/>
  <c r="V886" i="2" s="1"/>
  <c r="B886" i="2"/>
  <c r="T885" i="2"/>
  <c r="P885" i="2"/>
  <c r="L885" i="2"/>
  <c r="H885" i="2"/>
  <c r="D885" i="2"/>
  <c r="B885" i="2" a="1"/>
  <c r="V885" i="2" s="1"/>
  <c r="W883" i="2"/>
  <c r="U883" i="2"/>
  <c r="S883" i="2"/>
  <c r="Q883" i="2"/>
  <c r="O883" i="2"/>
  <c r="M883" i="2"/>
  <c r="K883" i="2"/>
  <c r="I883" i="2"/>
  <c r="G883" i="2"/>
  <c r="E883" i="2"/>
  <c r="D883" i="2" a="1"/>
  <c r="T883" i="2" s="1"/>
  <c r="D883" i="2"/>
  <c r="B883" i="2"/>
  <c r="E858" i="2"/>
  <c r="C858" i="2"/>
  <c r="B858" i="2" a="1"/>
  <c r="F858" i="2" s="1"/>
  <c r="B858" i="2"/>
  <c r="L842" i="2"/>
  <c r="K842" i="2"/>
  <c r="J842" i="2"/>
  <c r="I842" i="2"/>
  <c r="B842" i="2"/>
  <c r="A842" i="2"/>
  <c r="M838" i="2"/>
  <c r="L838" i="2"/>
  <c r="K838" i="2"/>
  <c r="J838" i="2"/>
  <c r="I838" i="2"/>
  <c r="B838" i="2"/>
  <c r="A838" i="2" s="1"/>
  <c r="C837" i="2" a="1"/>
  <c r="G837" i="2" s="1"/>
  <c r="W830" i="2"/>
  <c r="U830" i="2"/>
  <c r="S830" i="2"/>
  <c r="Q830" i="2"/>
  <c r="O830" i="2"/>
  <c r="M830" i="2"/>
  <c r="K830" i="2"/>
  <c r="I830" i="2"/>
  <c r="G830" i="2"/>
  <c r="E830" i="2"/>
  <c r="D830" i="2" a="1"/>
  <c r="T830" i="2" s="1"/>
  <c r="D830" i="2"/>
  <c r="V827" i="2"/>
  <c r="R827" i="2"/>
  <c r="P827" i="2"/>
  <c r="N827" i="2"/>
  <c r="L827" i="2"/>
  <c r="J827" i="2"/>
  <c r="H827" i="2"/>
  <c r="F827" i="2"/>
  <c r="E827" i="2"/>
  <c r="D827" i="2"/>
  <c r="C827" i="2" a="1"/>
  <c r="U827" i="2" s="1"/>
  <c r="C827" i="2"/>
  <c r="D823" i="2" a="1"/>
  <c r="U822" i="2"/>
  <c r="Q822" i="2"/>
  <c r="M822" i="2"/>
  <c r="K822" i="2" a="1"/>
  <c r="T822" i="2" s="1"/>
  <c r="N817" i="2"/>
  <c r="J817" i="2"/>
  <c r="F817" i="2"/>
  <c r="D817" i="2" a="1"/>
  <c r="M817" i="2" s="1"/>
  <c r="W814" i="2"/>
  <c r="U814" i="2"/>
  <c r="S814" i="2"/>
  <c r="Q814" i="2"/>
  <c r="O814" i="2"/>
  <c r="M814" i="2"/>
  <c r="K814" i="2"/>
  <c r="I814" i="2"/>
  <c r="G814" i="2"/>
  <c r="E814" i="2"/>
  <c r="D814" i="2" a="1"/>
  <c r="V814" i="2" s="1"/>
  <c r="D814" i="2"/>
  <c r="B814" i="2"/>
  <c r="W811" i="2"/>
  <c r="V811" i="2"/>
  <c r="U811" i="2"/>
  <c r="T811" i="2"/>
  <c r="S811" i="2"/>
  <c r="R811" i="2"/>
  <c r="Q811" i="2"/>
  <c r="P811" i="2"/>
  <c r="O811" i="2"/>
  <c r="N811" i="2"/>
  <c r="M811" i="2"/>
  <c r="L811" i="2"/>
  <c r="K811" i="2"/>
  <c r="J811" i="2"/>
  <c r="I811" i="2"/>
  <c r="H811" i="2"/>
  <c r="G811" i="2"/>
  <c r="F811" i="2"/>
  <c r="E811" i="2"/>
  <c r="D811" i="2"/>
  <c r="U807" i="2"/>
  <c r="U804" i="2" s="1"/>
  <c r="Q807" i="2"/>
  <c r="Q804" i="2" s="1"/>
  <c r="M807" i="2"/>
  <c r="M804" i="2" s="1"/>
  <c r="I807" i="2"/>
  <c r="I804" i="2" s="1"/>
  <c r="G807" i="2" a="1"/>
  <c r="T807" i="2" s="1"/>
  <c r="T804" i="2" s="1"/>
  <c r="T801" i="2"/>
  <c r="P801" i="2"/>
  <c r="L801" i="2"/>
  <c r="H801" i="2"/>
  <c r="U800" i="2"/>
  <c r="Q800" i="2"/>
  <c r="M800" i="2"/>
  <c r="I800" i="2"/>
  <c r="G800" i="2" a="1"/>
  <c r="W801" i="2" s="1"/>
  <c r="G790" i="2" a="1"/>
  <c r="R793" i="2" s="1"/>
  <c r="B789" i="2" a="1"/>
  <c r="B789" i="2" s="1"/>
  <c r="G774" i="2" a="1"/>
  <c r="P782" i="2" s="1"/>
  <c r="B773" i="2" a="1"/>
  <c r="B773" i="2"/>
  <c r="T761" i="2"/>
  <c r="P761" i="2"/>
  <c r="L761" i="2"/>
  <c r="H761" i="2"/>
  <c r="W760" i="2"/>
  <c r="S760" i="2"/>
  <c r="O760" i="2"/>
  <c r="K760" i="2"/>
  <c r="G760" i="2"/>
  <c r="V759" i="2"/>
  <c r="R759" i="2"/>
  <c r="N759" i="2"/>
  <c r="J759" i="2"/>
  <c r="F759" i="2"/>
  <c r="U758" i="2"/>
  <c r="Q758" i="2"/>
  <c r="M758" i="2"/>
  <c r="I758" i="2"/>
  <c r="E758" i="2"/>
  <c r="T757" i="2"/>
  <c r="P757" i="2"/>
  <c r="L757" i="2"/>
  <c r="H757" i="2"/>
  <c r="W756" i="2"/>
  <c r="S756" i="2"/>
  <c r="O756" i="2"/>
  <c r="K756" i="2"/>
  <c r="G756" i="2"/>
  <c r="V755" i="2"/>
  <c r="R755" i="2"/>
  <c r="N755" i="2"/>
  <c r="J755" i="2"/>
  <c r="F755" i="2"/>
  <c r="E755" i="2" a="1"/>
  <c r="V761" i="2" s="1"/>
  <c r="B754" i="2" a="1"/>
  <c r="B754" i="2"/>
  <c r="W744" i="2"/>
  <c r="V744" i="2"/>
  <c r="S744" i="2"/>
  <c r="R744" i="2"/>
  <c r="O744" i="2"/>
  <c r="N744" i="2"/>
  <c r="K744" i="2"/>
  <c r="J744" i="2"/>
  <c r="G744" i="2"/>
  <c r="F744" i="2"/>
  <c r="V743" i="2"/>
  <c r="U743" i="2"/>
  <c r="R743" i="2"/>
  <c r="Q743" i="2"/>
  <c r="N743" i="2"/>
  <c r="M743" i="2"/>
  <c r="J743" i="2"/>
  <c r="I743" i="2"/>
  <c r="F743" i="2"/>
  <c r="E743" i="2"/>
  <c r="U742" i="2"/>
  <c r="T742" i="2"/>
  <c r="Q742" i="2"/>
  <c r="P742" i="2"/>
  <c r="M742" i="2"/>
  <c r="L742" i="2"/>
  <c r="I742" i="2"/>
  <c r="H742" i="2"/>
  <c r="E742" i="2"/>
  <c r="W741" i="2"/>
  <c r="T741" i="2"/>
  <c r="S741" i="2"/>
  <c r="P741" i="2"/>
  <c r="O741" i="2"/>
  <c r="L741" i="2"/>
  <c r="K741" i="2"/>
  <c r="H741" i="2"/>
  <c r="G741" i="2"/>
  <c r="W740" i="2"/>
  <c r="V740" i="2"/>
  <c r="S740" i="2"/>
  <c r="R740" i="2"/>
  <c r="O740" i="2"/>
  <c r="N740" i="2"/>
  <c r="K740" i="2"/>
  <c r="J740" i="2"/>
  <c r="G740" i="2"/>
  <c r="F740" i="2"/>
  <c r="E740" i="2" a="1"/>
  <c r="U744" i="2" s="1"/>
  <c r="B739" i="2" a="1"/>
  <c r="B739" i="2" s="1"/>
  <c r="E716" i="2" a="1"/>
  <c r="T731" i="2" s="1"/>
  <c r="B715" i="2" a="1"/>
  <c r="B715" i="2" s="1"/>
  <c r="V696" i="2"/>
  <c r="R696" i="2"/>
  <c r="N696" i="2"/>
  <c r="J696" i="2"/>
  <c r="F696" i="2"/>
  <c r="W695" i="2"/>
  <c r="S695" i="2"/>
  <c r="O695" i="2"/>
  <c r="K695" i="2"/>
  <c r="G695" i="2"/>
  <c r="C695" i="2"/>
  <c r="T694" i="2"/>
  <c r="P694" i="2"/>
  <c r="L694" i="2"/>
  <c r="H694" i="2"/>
  <c r="D694" i="2"/>
  <c r="U693" i="2"/>
  <c r="Q693" i="2"/>
  <c r="M693" i="2"/>
  <c r="I693" i="2"/>
  <c r="E693" i="2"/>
  <c r="C693" i="2" a="1"/>
  <c r="W696" i="2" s="1"/>
  <c r="B692" i="2" a="1"/>
  <c r="B692" i="2" s="1"/>
  <c r="V685" i="2"/>
  <c r="P685" i="2"/>
  <c r="J685" i="2"/>
  <c r="E685" i="2"/>
  <c r="U684" i="2"/>
  <c r="O684" i="2"/>
  <c r="J684" i="2"/>
  <c r="J680" i="2" s="1"/>
  <c r="E684" i="2"/>
  <c r="E680" i="2" s="1"/>
  <c r="C684" i="2" a="1"/>
  <c r="R685" i="2" s="1"/>
  <c r="B683" i="2" a="1"/>
  <c r="B683" i="2" s="1"/>
  <c r="C670" i="2" a="1"/>
  <c r="T678" i="2" s="1"/>
  <c r="B669" i="2" a="1"/>
  <c r="B669" i="2"/>
  <c r="T657" i="2"/>
  <c r="P657" i="2"/>
  <c r="L657" i="2"/>
  <c r="H657" i="2"/>
  <c r="D657" i="2"/>
  <c r="U656" i="2"/>
  <c r="Q656" i="2"/>
  <c r="M656" i="2"/>
  <c r="I656" i="2"/>
  <c r="E656" i="2"/>
  <c r="V655" i="2"/>
  <c r="R655" i="2"/>
  <c r="N655" i="2"/>
  <c r="J655" i="2"/>
  <c r="F655" i="2"/>
  <c r="W654" i="2"/>
  <c r="S654" i="2"/>
  <c r="O654" i="2"/>
  <c r="K654" i="2"/>
  <c r="G654" i="2"/>
  <c r="C654" i="2"/>
  <c r="T653" i="2"/>
  <c r="P653" i="2"/>
  <c r="L653" i="2"/>
  <c r="H653" i="2"/>
  <c r="D653" i="2"/>
  <c r="U652" i="2"/>
  <c r="Q652" i="2"/>
  <c r="M652" i="2"/>
  <c r="I652" i="2"/>
  <c r="E652" i="2"/>
  <c r="V651" i="2"/>
  <c r="R651" i="2"/>
  <c r="N651" i="2"/>
  <c r="J651" i="2"/>
  <c r="F651" i="2"/>
  <c r="C651" i="2" a="1"/>
  <c r="W657" i="2" s="1"/>
  <c r="C651" i="2"/>
  <c r="B650" i="2" a="1"/>
  <c r="B650" i="2" s="1"/>
  <c r="W637" i="2"/>
  <c r="T637" i="2"/>
  <c r="S637" i="2"/>
  <c r="P637" i="2"/>
  <c r="O637" i="2"/>
  <c r="L637" i="2"/>
  <c r="K637" i="2"/>
  <c r="H637" i="2"/>
  <c r="G637" i="2"/>
  <c r="D637" i="2"/>
  <c r="C637" i="2"/>
  <c r="V636" i="2"/>
  <c r="U636" i="2"/>
  <c r="R636" i="2"/>
  <c r="Q636" i="2"/>
  <c r="N636" i="2"/>
  <c r="M636" i="2"/>
  <c r="J636" i="2"/>
  <c r="I636" i="2"/>
  <c r="F636" i="2"/>
  <c r="E636" i="2"/>
  <c r="B636" i="2"/>
  <c r="W635" i="2"/>
  <c r="T635" i="2"/>
  <c r="S635" i="2"/>
  <c r="P635" i="2"/>
  <c r="O635" i="2"/>
  <c r="L635" i="2"/>
  <c r="K635" i="2"/>
  <c r="H635" i="2"/>
  <c r="G635" i="2"/>
  <c r="D635" i="2"/>
  <c r="C635" i="2"/>
  <c r="V634" i="2"/>
  <c r="U634" i="2"/>
  <c r="R634" i="2"/>
  <c r="Q634" i="2"/>
  <c r="N634" i="2"/>
  <c r="M634" i="2"/>
  <c r="J634" i="2"/>
  <c r="I634" i="2"/>
  <c r="F634" i="2"/>
  <c r="E634" i="2"/>
  <c r="B634" i="2"/>
  <c r="W633" i="2"/>
  <c r="T633" i="2"/>
  <c r="S633" i="2"/>
  <c r="P633" i="2"/>
  <c r="O633" i="2"/>
  <c r="L633" i="2"/>
  <c r="K633" i="2"/>
  <c r="H633" i="2"/>
  <c r="G633" i="2"/>
  <c r="D633" i="2"/>
  <c r="C633" i="2"/>
  <c r="V632" i="2"/>
  <c r="U632" i="2"/>
  <c r="R632" i="2"/>
  <c r="Q632" i="2"/>
  <c r="N632" i="2"/>
  <c r="M632" i="2"/>
  <c r="J632" i="2"/>
  <c r="I632" i="2"/>
  <c r="F632" i="2"/>
  <c r="E632" i="2"/>
  <c r="B632" i="2"/>
  <c r="W631" i="2"/>
  <c r="T631" i="2"/>
  <c r="S631" i="2"/>
  <c r="P631" i="2"/>
  <c r="O631" i="2"/>
  <c r="L631" i="2"/>
  <c r="K631" i="2"/>
  <c r="H631" i="2"/>
  <c r="G631" i="2"/>
  <c r="D631" i="2"/>
  <c r="C631" i="2"/>
  <c r="B631" i="2" a="1"/>
  <c r="V637" i="2" s="1"/>
  <c r="B624" i="2" a="1"/>
  <c r="S628" i="2" s="1"/>
  <c r="T621" i="2"/>
  <c r="N621" i="2"/>
  <c r="I621" i="2"/>
  <c r="D621" i="2"/>
  <c r="U620" i="2"/>
  <c r="Q620" i="2"/>
  <c r="M620" i="2"/>
  <c r="I620" i="2"/>
  <c r="E620" i="2"/>
  <c r="B620" i="2" a="1"/>
  <c r="B620" i="2"/>
  <c r="T618" i="2"/>
  <c r="P618" i="2"/>
  <c r="L618" i="2"/>
  <c r="H618" i="2"/>
  <c r="D618" i="2"/>
  <c r="V617" i="2"/>
  <c r="R617" i="2"/>
  <c r="N617" i="2"/>
  <c r="J617" i="2"/>
  <c r="F617" i="2"/>
  <c r="B617" i="2"/>
  <c r="T616" i="2"/>
  <c r="P616" i="2"/>
  <c r="L616" i="2"/>
  <c r="I616" i="2"/>
  <c r="H616" i="2"/>
  <c r="E616" i="2"/>
  <c r="D616" i="2"/>
  <c r="B616" i="2" a="1"/>
  <c r="W618" i="2" s="1"/>
  <c r="B616" i="2"/>
  <c r="W613" i="2"/>
  <c r="U613" i="2"/>
  <c r="T613" i="2"/>
  <c r="S613" i="2"/>
  <c r="Q613" i="2"/>
  <c r="P613" i="2"/>
  <c r="O613" i="2"/>
  <c r="M613" i="2"/>
  <c r="L613" i="2"/>
  <c r="K613" i="2"/>
  <c r="I613" i="2"/>
  <c r="H613" i="2"/>
  <c r="G613" i="2"/>
  <c r="E613" i="2"/>
  <c r="D613" i="2"/>
  <c r="C613" i="2"/>
  <c r="W612" i="2"/>
  <c r="V612" i="2"/>
  <c r="U612" i="2"/>
  <c r="S612" i="2"/>
  <c r="R612" i="2"/>
  <c r="Q612" i="2"/>
  <c r="O612" i="2"/>
  <c r="N612" i="2"/>
  <c r="M612" i="2"/>
  <c r="K612" i="2"/>
  <c r="J612" i="2"/>
  <c r="I612" i="2"/>
  <c r="G612" i="2"/>
  <c r="F612" i="2"/>
  <c r="E612" i="2"/>
  <c r="C612" i="2"/>
  <c r="B612" i="2"/>
  <c r="W611" i="2"/>
  <c r="U611" i="2"/>
  <c r="T611" i="2"/>
  <c r="S611" i="2"/>
  <c r="Q611" i="2"/>
  <c r="P611" i="2"/>
  <c r="O611" i="2"/>
  <c r="M611" i="2"/>
  <c r="L611" i="2"/>
  <c r="K611" i="2"/>
  <c r="I611" i="2"/>
  <c r="H611" i="2"/>
  <c r="G611" i="2"/>
  <c r="E611" i="2"/>
  <c r="D611" i="2"/>
  <c r="C611" i="2"/>
  <c r="B611" i="2" a="1"/>
  <c r="V613" i="2" s="1"/>
  <c r="B611" i="2"/>
  <c r="B604" i="2" a="1"/>
  <c r="V609" i="2" s="1"/>
  <c r="U601" i="2"/>
  <c r="Q601" i="2"/>
  <c r="M601" i="2"/>
  <c r="I601" i="2"/>
  <c r="E601" i="2"/>
  <c r="W600" i="2"/>
  <c r="S600" i="2"/>
  <c r="O600" i="2"/>
  <c r="K600" i="2"/>
  <c r="G600" i="2"/>
  <c r="C600" i="2"/>
  <c r="U599" i="2"/>
  <c r="Q599" i="2"/>
  <c r="M599" i="2"/>
  <c r="I599" i="2"/>
  <c r="E599" i="2"/>
  <c r="W598" i="2"/>
  <c r="S598" i="2"/>
  <c r="O598" i="2"/>
  <c r="K598" i="2"/>
  <c r="G598" i="2"/>
  <c r="C598" i="2"/>
  <c r="B598" i="2" a="1"/>
  <c r="W601" i="2" s="1"/>
  <c r="B592" i="2" a="1"/>
  <c r="W588" i="2"/>
  <c r="U588" i="2"/>
  <c r="T588" i="2"/>
  <c r="S588" i="2"/>
  <c r="Q588" i="2"/>
  <c r="P588" i="2"/>
  <c r="O588" i="2"/>
  <c r="M588" i="2"/>
  <c r="L588" i="2"/>
  <c r="K588" i="2"/>
  <c r="I588" i="2"/>
  <c r="H588" i="2"/>
  <c r="G588" i="2"/>
  <c r="E588" i="2"/>
  <c r="D588" i="2"/>
  <c r="C588" i="2"/>
  <c r="B588" i="2" a="1"/>
  <c r="V588" i="2" s="1"/>
  <c r="B588" i="2"/>
  <c r="B584" i="2" a="1"/>
  <c r="U583" i="2"/>
  <c r="Q583" i="2"/>
  <c r="M583" i="2"/>
  <c r="I583" i="2"/>
  <c r="E583" i="2"/>
  <c r="W582" i="2"/>
  <c r="S582" i="2"/>
  <c r="O582" i="2"/>
  <c r="K582" i="2"/>
  <c r="G582" i="2"/>
  <c r="C582" i="2"/>
  <c r="U581" i="2"/>
  <c r="Q581" i="2"/>
  <c r="M581" i="2"/>
  <c r="I581" i="2"/>
  <c r="E581" i="2"/>
  <c r="D581" i="2"/>
  <c r="B581" i="2" a="1"/>
  <c r="W583" i="2" s="1"/>
  <c r="B581" i="2"/>
  <c r="W580" i="2"/>
  <c r="U580" i="2"/>
  <c r="T580" i="2"/>
  <c r="S580" i="2"/>
  <c r="Q580" i="2"/>
  <c r="P580" i="2"/>
  <c r="O580" i="2"/>
  <c r="M580" i="2"/>
  <c r="L580" i="2"/>
  <c r="K580" i="2"/>
  <c r="I580" i="2"/>
  <c r="H580" i="2"/>
  <c r="G580" i="2"/>
  <c r="E580" i="2"/>
  <c r="D580" i="2"/>
  <c r="C580" i="2"/>
  <c r="B580" i="2" a="1"/>
  <c r="V580" i="2" s="1"/>
  <c r="B580" i="2"/>
  <c r="T577" i="2"/>
  <c r="O577" i="2"/>
  <c r="J577" i="2"/>
  <c r="D577" i="2"/>
  <c r="U576" i="2"/>
  <c r="P576" i="2"/>
  <c r="J576" i="2"/>
  <c r="E576" i="2"/>
  <c r="V575" i="2"/>
  <c r="P575" i="2"/>
  <c r="K575" i="2"/>
  <c r="F575" i="2"/>
  <c r="V574" i="2"/>
  <c r="Q574" i="2"/>
  <c r="L574" i="2"/>
  <c r="F574" i="2"/>
  <c r="B574" i="2" a="1"/>
  <c r="B574" i="2"/>
  <c r="T572" i="2"/>
  <c r="S572" i="2"/>
  <c r="O572" i="2"/>
  <c r="M572" i="2"/>
  <c r="I572" i="2"/>
  <c r="H572" i="2"/>
  <c r="D572" i="2"/>
  <c r="C572" i="2"/>
  <c r="U571" i="2"/>
  <c r="S571" i="2"/>
  <c r="O571" i="2"/>
  <c r="N571" i="2"/>
  <c r="J571" i="2"/>
  <c r="I571" i="2"/>
  <c r="E571" i="2"/>
  <c r="C571" i="2"/>
  <c r="B571" i="2" a="1"/>
  <c r="U572" i="2" s="1"/>
  <c r="V569" i="2"/>
  <c r="U569" i="2"/>
  <c r="Q569" i="2"/>
  <c r="P569" i="2"/>
  <c r="L569" i="2"/>
  <c r="J569" i="2"/>
  <c r="F569" i="2"/>
  <c r="E569" i="2"/>
  <c r="W568" i="2"/>
  <c r="V568" i="2"/>
  <c r="R568" i="2"/>
  <c r="P568" i="2"/>
  <c r="L568" i="2"/>
  <c r="K568" i="2"/>
  <c r="G568" i="2"/>
  <c r="F568" i="2"/>
  <c r="B568" i="2"/>
  <c r="V567" i="2"/>
  <c r="R567" i="2"/>
  <c r="Q567" i="2"/>
  <c r="M567" i="2"/>
  <c r="L567" i="2"/>
  <c r="H567" i="2"/>
  <c r="F567" i="2"/>
  <c r="B567" i="2"/>
  <c r="W566" i="2"/>
  <c r="S566" i="2"/>
  <c r="R566" i="2"/>
  <c r="N566" i="2"/>
  <c r="L566" i="2"/>
  <c r="H566" i="2"/>
  <c r="G566" i="2"/>
  <c r="C566" i="2"/>
  <c r="B566" i="2"/>
  <c r="T565" i="2"/>
  <c r="R565" i="2"/>
  <c r="N565" i="2"/>
  <c r="M565" i="2"/>
  <c r="I565" i="2"/>
  <c r="H565" i="2"/>
  <c r="D565" i="2"/>
  <c r="B565" i="2"/>
  <c r="T564" i="2"/>
  <c r="S564" i="2"/>
  <c r="O564" i="2"/>
  <c r="N564" i="2"/>
  <c r="J564" i="2"/>
  <c r="H564" i="2"/>
  <c r="D564" i="2"/>
  <c r="C564" i="2"/>
  <c r="U563" i="2"/>
  <c r="T563" i="2"/>
  <c r="P563" i="2"/>
  <c r="N563" i="2"/>
  <c r="J563" i="2"/>
  <c r="I563" i="2"/>
  <c r="E563" i="2"/>
  <c r="D563" i="2"/>
  <c r="V562" i="2"/>
  <c r="T562" i="2"/>
  <c r="P562" i="2"/>
  <c r="O562" i="2"/>
  <c r="K562" i="2"/>
  <c r="J562" i="2"/>
  <c r="F562" i="2"/>
  <c r="D562" i="2"/>
  <c r="V561" i="2"/>
  <c r="U561" i="2"/>
  <c r="Q561" i="2"/>
  <c r="P561" i="2"/>
  <c r="L561" i="2"/>
  <c r="J561" i="2"/>
  <c r="F561" i="2"/>
  <c r="E561" i="2"/>
  <c r="B561" i="2" a="1"/>
  <c r="B561" i="2"/>
  <c r="B553" i="2" a="1"/>
  <c r="Q559" i="2" s="1"/>
  <c r="B544" i="2" a="1"/>
  <c r="W550" i="2" s="1"/>
  <c r="T542" i="2"/>
  <c r="N542" i="2"/>
  <c r="I542" i="2"/>
  <c r="D542" i="2"/>
  <c r="T541" i="2"/>
  <c r="O541" i="2"/>
  <c r="J541" i="2"/>
  <c r="D541" i="2"/>
  <c r="U540" i="2"/>
  <c r="P540" i="2"/>
  <c r="J540" i="2"/>
  <c r="E540" i="2"/>
  <c r="V539" i="2"/>
  <c r="P539" i="2"/>
  <c r="K539" i="2"/>
  <c r="F539" i="2"/>
  <c r="V538" i="2"/>
  <c r="Q538" i="2"/>
  <c r="L538" i="2"/>
  <c r="F538" i="2"/>
  <c r="B538" i="2" a="1"/>
  <c r="R542" i="2" s="1"/>
  <c r="B538" i="2"/>
  <c r="B521" i="2" a="1"/>
  <c r="W536" i="2" s="1"/>
  <c r="U518" i="2"/>
  <c r="T518" i="2"/>
  <c r="P518" i="2"/>
  <c r="N518" i="2"/>
  <c r="J518" i="2"/>
  <c r="I518" i="2"/>
  <c r="E518" i="2"/>
  <c r="D518" i="2"/>
  <c r="B518" i="2" a="1"/>
  <c r="U516" i="2"/>
  <c r="P516" i="2"/>
  <c r="K516" i="2"/>
  <c r="E516" i="2"/>
  <c r="V515" i="2"/>
  <c r="Q515" i="2"/>
  <c r="K515" i="2"/>
  <c r="F515" i="2"/>
  <c r="B515" i="2" a="1"/>
  <c r="T516" i="2" s="1"/>
  <c r="B515" i="2"/>
  <c r="T513" i="2"/>
  <c r="R513" i="2"/>
  <c r="N513" i="2"/>
  <c r="M513" i="2"/>
  <c r="I513" i="2"/>
  <c r="H513" i="2"/>
  <c r="D513" i="2"/>
  <c r="B513" i="2"/>
  <c r="T512" i="2"/>
  <c r="S512" i="2"/>
  <c r="O512" i="2"/>
  <c r="N512" i="2"/>
  <c r="J512" i="2"/>
  <c r="H512" i="2"/>
  <c r="D512" i="2"/>
  <c r="C512" i="2"/>
  <c r="U511" i="2"/>
  <c r="T511" i="2"/>
  <c r="P511" i="2"/>
  <c r="N511" i="2"/>
  <c r="J511" i="2"/>
  <c r="I511" i="2"/>
  <c r="E511" i="2"/>
  <c r="D511" i="2"/>
  <c r="V510" i="2"/>
  <c r="T510" i="2"/>
  <c r="P510" i="2"/>
  <c r="O510" i="2"/>
  <c r="K510" i="2"/>
  <c r="J510" i="2"/>
  <c r="F510" i="2"/>
  <c r="D510" i="2"/>
  <c r="B510" i="2" a="1"/>
  <c r="V513" i="2" s="1"/>
  <c r="V508" i="2"/>
  <c r="Q508" i="2"/>
  <c r="K508" i="2"/>
  <c r="F508" i="2"/>
  <c r="W507" i="2"/>
  <c r="Q507" i="2"/>
  <c r="L507" i="2"/>
  <c r="G507" i="2"/>
  <c r="W506" i="2"/>
  <c r="R506" i="2"/>
  <c r="M506" i="2"/>
  <c r="G506" i="2"/>
  <c r="B506" i="2"/>
  <c r="S505" i="2"/>
  <c r="M505" i="2"/>
  <c r="H505" i="2"/>
  <c r="C505" i="2"/>
  <c r="S504" i="2"/>
  <c r="N504" i="2"/>
  <c r="I504" i="2"/>
  <c r="C504" i="2"/>
  <c r="T503" i="2"/>
  <c r="O503" i="2"/>
  <c r="I503" i="2"/>
  <c r="D503" i="2"/>
  <c r="U502" i="2"/>
  <c r="O502" i="2"/>
  <c r="J502" i="2"/>
  <c r="E502" i="2"/>
  <c r="V501" i="2"/>
  <c r="R501" i="2"/>
  <c r="N501" i="2"/>
  <c r="J501" i="2"/>
  <c r="F501" i="2"/>
  <c r="B501" i="2"/>
  <c r="T500" i="2"/>
  <c r="P500" i="2"/>
  <c r="L500" i="2"/>
  <c r="H500" i="2"/>
  <c r="D500" i="2"/>
  <c r="B500" i="2" a="1"/>
  <c r="W508" i="2" s="1"/>
  <c r="W496" i="2"/>
  <c r="U496" i="2"/>
  <c r="S496" i="2"/>
  <c r="Q496" i="2"/>
  <c r="O496" i="2"/>
  <c r="M496" i="2"/>
  <c r="K496" i="2"/>
  <c r="I496" i="2"/>
  <c r="G496" i="2"/>
  <c r="E496" i="2"/>
  <c r="C496" i="2"/>
  <c r="W495" i="2"/>
  <c r="U495" i="2"/>
  <c r="S495" i="2"/>
  <c r="Q495" i="2"/>
  <c r="O495" i="2"/>
  <c r="M495" i="2"/>
  <c r="K495" i="2"/>
  <c r="I495" i="2"/>
  <c r="G495" i="2"/>
  <c r="E495" i="2"/>
  <c r="C495" i="2"/>
  <c r="W494" i="2"/>
  <c r="U494" i="2"/>
  <c r="S494" i="2"/>
  <c r="Q494" i="2"/>
  <c r="O494" i="2"/>
  <c r="M494" i="2"/>
  <c r="K494" i="2"/>
  <c r="I494" i="2"/>
  <c r="G494" i="2"/>
  <c r="E494" i="2"/>
  <c r="C494" i="2"/>
  <c r="W493" i="2"/>
  <c r="U493" i="2"/>
  <c r="S493" i="2"/>
  <c r="Q493" i="2"/>
  <c r="O493" i="2"/>
  <c r="M493" i="2"/>
  <c r="K493" i="2"/>
  <c r="I493" i="2"/>
  <c r="G493" i="2"/>
  <c r="E493" i="2"/>
  <c r="C493" i="2"/>
  <c r="W492" i="2"/>
  <c r="U492" i="2"/>
  <c r="S492" i="2"/>
  <c r="Q492" i="2"/>
  <c r="O492" i="2"/>
  <c r="M492" i="2"/>
  <c r="K492" i="2"/>
  <c r="I492" i="2"/>
  <c r="G492" i="2"/>
  <c r="E492" i="2"/>
  <c r="C492" i="2"/>
  <c r="W491" i="2"/>
  <c r="U491" i="2"/>
  <c r="S491" i="2"/>
  <c r="Q491" i="2"/>
  <c r="O491" i="2"/>
  <c r="M491" i="2"/>
  <c r="K491" i="2"/>
  <c r="I491" i="2"/>
  <c r="G491" i="2"/>
  <c r="E491" i="2"/>
  <c r="C491" i="2"/>
  <c r="W490" i="2"/>
  <c r="U490" i="2"/>
  <c r="S490" i="2"/>
  <c r="Q490" i="2"/>
  <c r="O490" i="2"/>
  <c r="M490" i="2"/>
  <c r="K490" i="2"/>
  <c r="I490" i="2"/>
  <c r="G490" i="2"/>
  <c r="E490" i="2"/>
  <c r="C490" i="2"/>
  <c r="B490" i="2" a="1"/>
  <c r="T496" i="2" s="1"/>
  <c r="B490" i="2"/>
  <c r="B483" i="2" a="1"/>
  <c r="T487" i="2" s="1"/>
  <c r="T480" i="2"/>
  <c r="O480" i="2"/>
  <c r="I480" i="2"/>
  <c r="D480" i="2"/>
  <c r="U479" i="2"/>
  <c r="O479" i="2"/>
  <c r="J479" i="2"/>
  <c r="E479" i="2"/>
  <c r="B479" i="2" a="1"/>
  <c r="U480" i="2" s="1"/>
  <c r="B475" i="2" a="1"/>
  <c r="U477" i="2" s="1"/>
  <c r="W472" i="2"/>
  <c r="U472" i="2"/>
  <c r="T472" i="2"/>
  <c r="S472" i="2"/>
  <c r="Q472" i="2"/>
  <c r="P472" i="2"/>
  <c r="O472" i="2"/>
  <c r="M472" i="2"/>
  <c r="L472" i="2"/>
  <c r="K472" i="2"/>
  <c r="I472" i="2"/>
  <c r="H472" i="2"/>
  <c r="G472" i="2"/>
  <c r="E472" i="2"/>
  <c r="D472" i="2"/>
  <c r="C472" i="2"/>
  <c r="W471" i="2"/>
  <c r="V471" i="2"/>
  <c r="U471" i="2"/>
  <c r="S471" i="2"/>
  <c r="R471" i="2"/>
  <c r="Q471" i="2"/>
  <c r="O471" i="2"/>
  <c r="N471" i="2"/>
  <c r="M471" i="2"/>
  <c r="K471" i="2"/>
  <c r="J471" i="2"/>
  <c r="I471" i="2"/>
  <c r="G471" i="2"/>
  <c r="F471" i="2"/>
  <c r="E471" i="2"/>
  <c r="C471" i="2"/>
  <c r="B471" i="2"/>
  <c r="W470" i="2"/>
  <c r="U470" i="2"/>
  <c r="T470" i="2"/>
  <c r="S470" i="2"/>
  <c r="Q470" i="2"/>
  <c r="P470" i="2"/>
  <c r="O470" i="2"/>
  <c r="M470" i="2"/>
  <c r="L470" i="2"/>
  <c r="K470" i="2"/>
  <c r="I470" i="2"/>
  <c r="H470" i="2"/>
  <c r="G470" i="2"/>
  <c r="E470" i="2"/>
  <c r="D470" i="2"/>
  <c r="C470" i="2"/>
  <c r="B470" i="2" a="1"/>
  <c r="V472" i="2" s="1"/>
  <c r="B470" i="2"/>
  <c r="S468" i="2"/>
  <c r="N468" i="2"/>
  <c r="H468" i="2"/>
  <c r="C468" i="2"/>
  <c r="T467" i="2"/>
  <c r="N467" i="2"/>
  <c r="I467" i="2"/>
  <c r="D467" i="2"/>
  <c r="T466" i="2"/>
  <c r="O466" i="2"/>
  <c r="J466" i="2"/>
  <c r="D466" i="2"/>
  <c r="U465" i="2"/>
  <c r="P465" i="2"/>
  <c r="J465" i="2"/>
  <c r="E465" i="2"/>
  <c r="V464" i="2"/>
  <c r="P464" i="2"/>
  <c r="K464" i="2"/>
  <c r="F464" i="2"/>
  <c r="V463" i="2"/>
  <c r="Q463" i="2"/>
  <c r="L463" i="2"/>
  <c r="F463" i="2"/>
  <c r="B463" i="2" a="1"/>
  <c r="W468" i="2" s="1"/>
  <c r="B463" i="2"/>
  <c r="S460" i="2"/>
  <c r="M460" i="2"/>
  <c r="H460" i="2"/>
  <c r="C460" i="2"/>
  <c r="S459" i="2"/>
  <c r="O459" i="2"/>
  <c r="K459" i="2"/>
  <c r="G459" i="2"/>
  <c r="C459" i="2"/>
  <c r="U458" i="2"/>
  <c r="Q458" i="2"/>
  <c r="M458" i="2"/>
  <c r="I458" i="2"/>
  <c r="E458" i="2"/>
  <c r="W457" i="2"/>
  <c r="S457" i="2"/>
  <c r="O457" i="2"/>
  <c r="K457" i="2"/>
  <c r="G457" i="2"/>
  <c r="C457" i="2"/>
  <c r="B457" i="2" a="1"/>
  <c r="B451" i="2" a="1"/>
  <c r="T455" i="2" s="1"/>
  <c r="U447" i="2"/>
  <c r="T447" i="2"/>
  <c r="Q447" i="2"/>
  <c r="P447" i="2"/>
  <c r="M447" i="2"/>
  <c r="L447" i="2"/>
  <c r="I447" i="2"/>
  <c r="H447" i="2"/>
  <c r="E447" i="2"/>
  <c r="D447" i="2"/>
  <c r="B447" i="2" a="1"/>
  <c r="W447" i="2" s="1"/>
  <c r="B447" i="2"/>
  <c r="B443" i="2" a="1"/>
  <c r="V446" i="2" s="1"/>
  <c r="U442" i="2"/>
  <c r="Q442" i="2"/>
  <c r="M442" i="2"/>
  <c r="I442" i="2"/>
  <c r="E442" i="2"/>
  <c r="W441" i="2"/>
  <c r="S441" i="2"/>
  <c r="O441" i="2"/>
  <c r="K441" i="2"/>
  <c r="G441" i="2"/>
  <c r="C441" i="2"/>
  <c r="U440" i="2"/>
  <c r="Q440" i="2"/>
  <c r="M440" i="2"/>
  <c r="I440" i="2"/>
  <c r="E440" i="2"/>
  <c r="B440" i="2" a="1"/>
  <c r="W442" i="2" s="1"/>
  <c r="B440" i="2"/>
  <c r="W439" i="2"/>
  <c r="U439" i="2"/>
  <c r="T439" i="2"/>
  <c r="S439" i="2"/>
  <c r="Q439" i="2"/>
  <c r="P439" i="2"/>
  <c r="O439" i="2"/>
  <c r="M439" i="2"/>
  <c r="L439" i="2"/>
  <c r="K439" i="2"/>
  <c r="I439" i="2"/>
  <c r="H439" i="2"/>
  <c r="G439" i="2"/>
  <c r="E439" i="2"/>
  <c r="D439" i="2"/>
  <c r="C439" i="2"/>
  <c r="B439" i="2" a="1"/>
  <c r="V439" i="2" s="1"/>
  <c r="B439" i="2"/>
  <c r="W436" i="2"/>
  <c r="S436" i="2"/>
  <c r="O436" i="2"/>
  <c r="K436" i="2"/>
  <c r="G436" i="2"/>
  <c r="C436" i="2"/>
  <c r="U435" i="2"/>
  <c r="Q435" i="2"/>
  <c r="M435" i="2"/>
  <c r="I435" i="2"/>
  <c r="E435" i="2"/>
  <c r="W434" i="2"/>
  <c r="S434" i="2"/>
  <c r="O434" i="2"/>
  <c r="K434" i="2"/>
  <c r="G434" i="2"/>
  <c r="C434" i="2"/>
  <c r="U433" i="2"/>
  <c r="Q433" i="2"/>
  <c r="M433" i="2"/>
  <c r="I433" i="2"/>
  <c r="E433" i="2"/>
  <c r="B433" i="2" a="1"/>
  <c r="U436" i="2" s="1"/>
  <c r="B433" i="2"/>
  <c r="B430" i="2" a="1"/>
  <c r="H431" i="2" s="1"/>
  <c r="U428" i="2"/>
  <c r="Q428" i="2"/>
  <c r="M428" i="2"/>
  <c r="I428" i="2"/>
  <c r="E428" i="2"/>
  <c r="W427" i="2"/>
  <c r="S427" i="2"/>
  <c r="O427" i="2"/>
  <c r="K427" i="2"/>
  <c r="G427" i="2"/>
  <c r="C427" i="2"/>
  <c r="U426" i="2"/>
  <c r="Q426" i="2"/>
  <c r="M426" i="2"/>
  <c r="I426" i="2"/>
  <c r="E426" i="2"/>
  <c r="W425" i="2"/>
  <c r="S425" i="2"/>
  <c r="O425" i="2"/>
  <c r="K425" i="2"/>
  <c r="G425" i="2"/>
  <c r="C425" i="2"/>
  <c r="U424" i="2"/>
  <c r="Q424" i="2"/>
  <c r="M424" i="2"/>
  <c r="I424" i="2"/>
  <c r="E424" i="2"/>
  <c r="W423" i="2"/>
  <c r="S423" i="2"/>
  <c r="O423" i="2"/>
  <c r="K423" i="2"/>
  <c r="G423" i="2"/>
  <c r="C423" i="2"/>
  <c r="U422" i="2"/>
  <c r="Q422" i="2"/>
  <c r="M422" i="2"/>
  <c r="I422" i="2"/>
  <c r="E422" i="2"/>
  <c r="W421" i="2"/>
  <c r="S421" i="2"/>
  <c r="O421" i="2"/>
  <c r="K421" i="2"/>
  <c r="G421" i="2"/>
  <c r="C421" i="2"/>
  <c r="U420" i="2"/>
  <c r="Q420" i="2"/>
  <c r="M420" i="2"/>
  <c r="I420" i="2"/>
  <c r="E420" i="2"/>
  <c r="B420" i="2" a="1"/>
  <c r="W428" i="2" s="1"/>
  <c r="B420" i="2"/>
  <c r="U418" i="2"/>
  <c r="T418" i="2"/>
  <c r="Q418" i="2"/>
  <c r="P418" i="2"/>
  <c r="M418" i="2"/>
  <c r="L418" i="2"/>
  <c r="I418" i="2"/>
  <c r="H418" i="2"/>
  <c r="E418" i="2"/>
  <c r="D418" i="2"/>
  <c r="W417" i="2"/>
  <c r="V417" i="2"/>
  <c r="S417" i="2"/>
  <c r="R417" i="2"/>
  <c r="O417" i="2"/>
  <c r="N417" i="2"/>
  <c r="K417" i="2"/>
  <c r="J417" i="2"/>
  <c r="G417" i="2"/>
  <c r="F417" i="2"/>
  <c r="C417" i="2"/>
  <c r="B417" i="2"/>
  <c r="U416" i="2"/>
  <c r="T416" i="2"/>
  <c r="Q416" i="2"/>
  <c r="P416" i="2"/>
  <c r="M416" i="2"/>
  <c r="L416" i="2"/>
  <c r="I416" i="2"/>
  <c r="H416" i="2"/>
  <c r="E416" i="2"/>
  <c r="D416" i="2"/>
  <c r="W415" i="2"/>
  <c r="V415" i="2"/>
  <c r="S415" i="2"/>
  <c r="R415" i="2"/>
  <c r="O415" i="2"/>
  <c r="N415" i="2"/>
  <c r="K415" i="2"/>
  <c r="J415" i="2"/>
  <c r="G415" i="2"/>
  <c r="F415" i="2"/>
  <c r="C415" i="2"/>
  <c r="B415" i="2"/>
  <c r="U414" i="2"/>
  <c r="T414" i="2"/>
  <c r="Q414" i="2"/>
  <c r="P414" i="2"/>
  <c r="M414" i="2"/>
  <c r="L414" i="2"/>
  <c r="I414" i="2"/>
  <c r="H414" i="2"/>
  <c r="E414" i="2"/>
  <c r="D414" i="2"/>
  <c r="W413" i="2"/>
  <c r="V413" i="2"/>
  <c r="S413" i="2"/>
  <c r="R413" i="2"/>
  <c r="O413" i="2"/>
  <c r="N413" i="2"/>
  <c r="K413" i="2"/>
  <c r="J413" i="2"/>
  <c r="G413" i="2"/>
  <c r="F413" i="2"/>
  <c r="C413" i="2"/>
  <c r="B413" i="2"/>
  <c r="U412" i="2"/>
  <c r="T412" i="2"/>
  <c r="Q412" i="2"/>
  <c r="P412" i="2"/>
  <c r="M412" i="2"/>
  <c r="L412" i="2"/>
  <c r="I412" i="2"/>
  <c r="H412" i="2"/>
  <c r="E412" i="2"/>
  <c r="D412" i="2"/>
  <c r="B412" i="2" a="1"/>
  <c r="V418" i="2" s="1"/>
  <c r="B412" i="2"/>
  <c r="W409" i="2"/>
  <c r="T409" i="2"/>
  <c r="S409" i="2"/>
  <c r="P409" i="2"/>
  <c r="O409" i="2"/>
  <c r="L409" i="2"/>
  <c r="K409" i="2"/>
  <c r="H409" i="2"/>
  <c r="G409" i="2"/>
  <c r="D409" i="2"/>
  <c r="C409" i="2"/>
  <c r="V408" i="2"/>
  <c r="U408" i="2"/>
  <c r="R408" i="2"/>
  <c r="Q408" i="2"/>
  <c r="N408" i="2"/>
  <c r="M408" i="2"/>
  <c r="J408" i="2"/>
  <c r="I408" i="2"/>
  <c r="F408" i="2"/>
  <c r="E408" i="2"/>
  <c r="B408" i="2"/>
  <c r="W407" i="2"/>
  <c r="T407" i="2"/>
  <c r="S407" i="2"/>
  <c r="P407" i="2"/>
  <c r="O407" i="2"/>
  <c r="L407" i="2"/>
  <c r="K407" i="2"/>
  <c r="H407" i="2"/>
  <c r="G407" i="2"/>
  <c r="D407" i="2"/>
  <c r="C407" i="2"/>
  <c r="V406" i="2"/>
  <c r="U406" i="2"/>
  <c r="R406" i="2"/>
  <c r="Q406" i="2"/>
  <c r="N406" i="2"/>
  <c r="M406" i="2"/>
  <c r="J406" i="2"/>
  <c r="I406" i="2"/>
  <c r="F406" i="2"/>
  <c r="E406" i="2"/>
  <c r="B406" i="2"/>
  <c r="W405" i="2"/>
  <c r="T405" i="2"/>
  <c r="S405" i="2"/>
  <c r="P405" i="2"/>
  <c r="O405" i="2"/>
  <c r="L405" i="2"/>
  <c r="K405" i="2"/>
  <c r="H405" i="2"/>
  <c r="G405" i="2"/>
  <c r="D405" i="2"/>
  <c r="C405" i="2"/>
  <c r="V404" i="2"/>
  <c r="U404" i="2"/>
  <c r="R404" i="2"/>
  <c r="Q404" i="2"/>
  <c r="N404" i="2"/>
  <c r="M404" i="2"/>
  <c r="J404" i="2"/>
  <c r="I404" i="2"/>
  <c r="F404" i="2"/>
  <c r="E404" i="2"/>
  <c r="B404" i="2"/>
  <c r="W403" i="2"/>
  <c r="T403" i="2"/>
  <c r="S403" i="2"/>
  <c r="P403" i="2"/>
  <c r="O403" i="2"/>
  <c r="L403" i="2"/>
  <c r="K403" i="2"/>
  <c r="H403" i="2"/>
  <c r="G403" i="2"/>
  <c r="D403" i="2"/>
  <c r="C403" i="2"/>
  <c r="B403" i="2" a="1"/>
  <c r="U409" i="2" s="1"/>
  <c r="B397" i="2" a="1"/>
  <c r="W401" i="2" s="1"/>
  <c r="B380" i="2" a="1"/>
  <c r="V395" i="2" s="1"/>
  <c r="U377" i="2"/>
  <c r="S377" i="2"/>
  <c r="O377" i="2"/>
  <c r="N377" i="2"/>
  <c r="J377" i="2"/>
  <c r="I377" i="2"/>
  <c r="E377" i="2"/>
  <c r="C377" i="2"/>
  <c r="B377" i="2" a="1"/>
  <c r="U375" i="2"/>
  <c r="P375" i="2"/>
  <c r="J375" i="2"/>
  <c r="E375" i="2"/>
  <c r="V374" i="2"/>
  <c r="P374" i="2"/>
  <c r="K374" i="2"/>
  <c r="F374" i="2"/>
  <c r="B374" i="2" a="1"/>
  <c r="T375" i="2" s="1"/>
  <c r="W372" i="2"/>
  <c r="V372" i="2"/>
  <c r="U372" i="2"/>
  <c r="S372" i="2"/>
  <c r="R372" i="2"/>
  <c r="Q372" i="2"/>
  <c r="O372" i="2"/>
  <c r="N372" i="2"/>
  <c r="M372" i="2"/>
  <c r="K372" i="2"/>
  <c r="J372" i="2"/>
  <c r="I372" i="2"/>
  <c r="G372" i="2"/>
  <c r="F372" i="2"/>
  <c r="E372" i="2"/>
  <c r="C372" i="2"/>
  <c r="B372" i="2"/>
  <c r="W371" i="2"/>
  <c r="U371" i="2"/>
  <c r="T371" i="2"/>
  <c r="S371" i="2"/>
  <c r="Q371" i="2"/>
  <c r="P371" i="2"/>
  <c r="O371" i="2"/>
  <c r="M371" i="2"/>
  <c r="L371" i="2"/>
  <c r="K371" i="2"/>
  <c r="I371" i="2"/>
  <c r="H371" i="2"/>
  <c r="G371" i="2"/>
  <c r="E371" i="2"/>
  <c r="D371" i="2"/>
  <c r="C371" i="2"/>
  <c r="W370" i="2"/>
  <c r="V370" i="2"/>
  <c r="U370" i="2"/>
  <c r="S370" i="2"/>
  <c r="R370" i="2"/>
  <c r="Q370" i="2"/>
  <c r="O370" i="2"/>
  <c r="N370" i="2"/>
  <c r="M370" i="2"/>
  <c r="K370" i="2"/>
  <c r="J370" i="2"/>
  <c r="I370" i="2"/>
  <c r="G370" i="2"/>
  <c r="F370" i="2"/>
  <c r="E370" i="2"/>
  <c r="C370" i="2"/>
  <c r="B370" i="2"/>
  <c r="W369" i="2"/>
  <c r="U369" i="2"/>
  <c r="T369" i="2"/>
  <c r="S369" i="2"/>
  <c r="Q369" i="2"/>
  <c r="P369" i="2"/>
  <c r="O369" i="2"/>
  <c r="M369" i="2"/>
  <c r="L369" i="2"/>
  <c r="K369" i="2"/>
  <c r="I369" i="2"/>
  <c r="H369" i="2"/>
  <c r="G369" i="2"/>
  <c r="E369" i="2"/>
  <c r="D369" i="2"/>
  <c r="C369" i="2"/>
  <c r="B369" i="2" a="1"/>
  <c r="T372" i="2" s="1"/>
  <c r="B369" i="2"/>
  <c r="W367" i="2"/>
  <c r="S367" i="2"/>
  <c r="O367" i="2"/>
  <c r="K367" i="2"/>
  <c r="G367" i="2"/>
  <c r="C367" i="2"/>
  <c r="U366" i="2"/>
  <c r="Q366" i="2"/>
  <c r="M366" i="2"/>
  <c r="I366" i="2"/>
  <c r="E366" i="2"/>
  <c r="W365" i="2"/>
  <c r="S365" i="2"/>
  <c r="O365" i="2"/>
  <c r="K365" i="2"/>
  <c r="G365" i="2"/>
  <c r="C365" i="2"/>
  <c r="U364" i="2"/>
  <c r="Q364" i="2"/>
  <c r="M364" i="2"/>
  <c r="I364" i="2"/>
  <c r="E364" i="2"/>
  <c r="W363" i="2"/>
  <c r="S363" i="2"/>
  <c r="O363" i="2"/>
  <c r="K363" i="2"/>
  <c r="G363" i="2"/>
  <c r="C363" i="2"/>
  <c r="U362" i="2"/>
  <c r="Q362" i="2"/>
  <c r="M362" i="2"/>
  <c r="I362" i="2"/>
  <c r="E362" i="2"/>
  <c r="W361" i="2"/>
  <c r="S361" i="2"/>
  <c r="O361" i="2"/>
  <c r="K361" i="2"/>
  <c r="G361" i="2"/>
  <c r="C361" i="2"/>
  <c r="U360" i="2"/>
  <c r="Q360" i="2"/>
  <c r="M360" i="2"/>
  <c r="I360" i="2"/>
  <c r="E360" i="2"/>
  <c r="W359" i="2"/>
  <c r="S359" i="2"/>
  <c r="O359" i="2"/>
  <c r="K359" i="2"/>
  <c r="G359" i="2"/>
  <c r="C359" i="2"/>
  <c r="B359" i="2" a="1"/>
  <c r="U367" i="2" s="1"/>
  <c r="B348" i="2" a="1"/>
  <c r="T354" i="2" s="1"/>
  <c r="U345" i="2"/>
  <c r="Q345" i="2"/>
  <c r="M345" i="2"/>
  <c r="I345" i="2"/>
  <c r="E345" i="2"/>
  <c r="W344" i="2"/>
  <c r="S344" i="2"/>
  <c r="O344" i="2"/>
  <c r="K344" i="2"/>
  <c r="G344" i="2"/>
  <c r="C344" i="2"/>
  <c r="U343" i="2"/>
  <c r="Q343" i="2"/>
  <c r="M343" i="2"/>
  <c r="I343" i="2"/>
  <c r="E343" i="2"/>
  <c r="W342" i="2"/>
  <c r="S342" i="2"/>
  <c r="O342" i="2"/>
  <c r="K342" i="2"/>
  <c r="G342" i="2"/>
  <c r="C342" i="2"/>
  <c r="U341" i="2"/>
  <c r="Q341" i="2"/>
  <c r="M341" i="2"/>
  <c r="I341" i="2"/>
  <c r="E341" i="2"/>
  <c r="B341" i="2" a="1"/>
  <c r="W345" i="2" s="1"/>
  <c r="B341" i="2"/>
  <c r="B337" i="2" a="1"/>
  <c r="V338" i="2" s="1"/>
  <c r="U335" i="2"/>
  <c r="Q335" i="2"/>
  <c r="M335" i="2"/>
  <c r="I335" i="2"/>
  <c r="E335" i="2"/>
  <c r="W334" i="2"/>
  <c r="S334" i="2"/>
  <c r="O334" i="2"/>
  <c r="K334" i="2"/>
  <c r="G334" i="2"/>
  <c r="C334" i="2"/>
  <c r="U333" i="2"/>
  <c r="Q333" i="2"/>
  <c r="M333" i="2"/>
  <c r="I333" i="2"/>
  <c r="E333" i="2"/>
  <c r="B333" i="2" a="1"/>
  <c r="W335" i="2" s="1"/>
  <c r="B333" i="2"/>
  <c r="W330" i="2"/>
  <c r="U330" i="2"/>
  <c r="T330" i="2"/>
  <c r="S330" i="2"/>
  <c r="Q330" i="2"/>
  <c r="P330" i="2"/>
  <c r="O330" i="2"/>
  <c r="M330" i="2"/>
  <c r="L330" i="2"/>
  <c r="K330" i="2"/>
  <c r="I330" i="2"/>
  <c r="H330" i="2"/>
  <c r="G330" i="2"/>
  <c r="E330" i="2"/>
  <c r="D330" i="2"/>
  <c r="C330" i="2"/>
  <c r="W329" i="2"/>
  <c r="V329" i="2"/>
  <c r="U329" i="2"/>
  <c r="S329" i="2"/>
  <c r="R329" i="2"/>
  <c r="Q329" i="2"/>
  <c r="O329" i="2"/>
  <c r="N329" i="2"/>
  <c r="M329" i="2"/>
  <c r="K329" i="2"/>
  <c r="J329" i="2"/>
  <c r="I329" i="2"/>
  <c r="G329" i="2"/>
  <c r="F329" i="2"/>
  <c r="E329" i="2"/>
  <c r="C329" i="2"/>
  <c r="B329" i="2"/>
  <c r="W328" i="2"/>
  <c r="U328" i="2"/>
  <c r="T328" i="2"/>
  <c r="S328" i="2"/>
  <c r="Q328" i="2"/>
  <c r="P328" i="2"/>
  <c r="O328" i="2"/>
  <c r="M328" i="2"/>
  <c r="L328" i="2"/>
  <c r="K328" i="2"/>
  <c r="I328" i="2"/>
  <c r="H328" i="2"/>
  <c r="G328" i="2"/>
  <c r="E328" i="2"/>
  <c r="D328" i="2"/>
  <c r="C328" i="2"/>
  <c r="B328" i="2" a="1"/>
  <c r="V330" i="2" s="1"/>
  <c r="B328" i="2"/>
  <c r="W326" i="2"/>
  <c r="S326" i="2"/>
  <c r="O326" i="2"/>
  <c r="K326" i="2"/>
  <c r="G326" i="2"/>
  <c r="C326" i="2"/>
  <c r="U325" i="2"/>
  <c r="Q325" i="2"/>
  <c r="M325" i="2"/>
  <c r="I325" i="2"/>
  <c r="E325" i="2"/>
  <c r="W324" i="2"/>
  <c r="S324" i="2"/>
  <c r="O324" i="2"/>
  <c r="K324" i="2"/>
  <c r="G324" i="2"/>
  <c r="C324" i="2"/>
  <c r="U323" i="2"/>
  <c r="Q323" i="2"/>
  <c r="M323" i="2"/>
  <c r="I323" i="2"/>
  <c r="E323" i="2"/>
  <c r="W322" i="2"/>
  <c r="S322" i="2"/>
  <c r="O322" i="2"/>
  <c r="K322" i="2"/>
  <c r="G322" i="2"/>
  <c r="C322" i="2"/>
  <c r="U321" i="2"/>
  <c r="Q321" i="2"/>
  <c r="M321" i="2"/>
  <c r="I321" i="2"/>
  <c r="E321" i="2"/>
  <c r="B321" i="2" a="1"/>
  <c r="U326" i="2" s="1"/>
  <c r="B321" i="2"/>
  <c r="B315" i="2" a="1"/>
  <c r="V318" i="2" s="1"/>
  <c r="U313" i="2"/>
  <c r="Q313" i="2"/>
  <c r="M313" i="2"/>
  <c r="I313" i="2"/>
  <c r="E313" i="2"/>
  <c r="W312" i="2"/>
  <c r="S312" i="2"/>
  <c r="O312" i="2"/>
  <c r="K312" i="2"/>
  <c r="G312" i="2"/>
  <c r="C312" i="2"/>
  <c r="U311" i="2"/>
  <c r="Q311" i="2"/>
  <c r="M311" i="2"/>
  <c r="I311" i="2"/>
  <c r="E311" i="2"/>
  <c r="W310" i="2"/>
  <c r="S310" i="2"/>
  <c r="O310" i="2"/>
  <c r="K310" i="2"/>
  <c r="G310" i="2"/>
  <c r="C310" i="2"/>
  <c r="U309" i="2"/>
  <c r="Q309" i="2"/>
  <c r="M309" i="2"/>
  <c r="I309" i="2"/>
  <c r="E309" i="2"/>
  <c r="B309" i="2" a="1"/>
  <c r="W313" i="2" s="1"/>
  <c r="B309" i="2"/>
  <c r="W305" i="2"/>
  <c r="U305" i="2"/>
  <c r="T305" i="2"/>
  <c r="S305" i="2"/>
  <c r="Q305" i="2"/>
  <c r="P305" i="2"/>
  <c r="O305" i="2"/>
  <c r="M305" i="2"/>
  <c r="L305" i="2"/>
  <c r="K305" i="2"/>
  <c r="I305" i="2"/>
  <c r="H305" i="2"/>
  <c r="G305" i="2"/>
  <c r="E305" i="2"/>
  <c r="D305" i="2"/>
  <c r="C305" i="2"/>
  <c r="B305" i="2" a="1"/>
  <c r="V305" i="2" s="1"/>
  <c r="B305" i="2"/>
  <c r="W304" i="2"/>
  <c r="S304" i="2"/>
  <c r="O304" i="2"/>
  <c r="K304" i="2"/>
  <c r="G304" i="2"/>
  <c r="C304" i="2"/>
  <c r="U303" i="2"/>
  <c r="Q303" i="2"/>
  <c r="M303" i="2"/>
  <c r="I303" i="2"/>
  <c r="E303" i="2"/>
  <c r="W302" i="2"/>
  <c r="S302" i="2"/>
  <c r="O302" i="2"/>
  <c r="K302" i="2"/>
  <c r="G302" i="2"/>
  <c r="C302" i="2"/>
  <c r="U301" i="2"/>
  <c r="Q301" i="2"/>
  <c r="M301" i="2"/>
  <c r="I301" i="2"/>
  <c r="E301" i="2"/>
  <c r="B301" i="2" a="1"/>
  <c r="U304" i="2" s="1"/>
  <c r="B301" i="2"/>
  <c r="W300" i="2"/>
  <c r="U300" i="2"/>
  <c r="T300" i="2"/>
  <c r="S300" i="2"/>
  <c r="Q300" i="2"/>
  <c r="P300" i="2"/>
  <c r="O300" i="2"/>
  <c r="M300" i="2"/>
  <c r="L300" i="2"/>
  <c r="K300" i="2"/>
  <c r="I300" i="2"/>
  <c r="H300" i="2"/>
  <c r="G300" i="2"/>
  <c r="E300" i="2"/>
  <c r="D300" i="2"/>
  <c r="C300" i="2"/>
  <c r="W299" i="2"/>
  <c r="V299" i="2"/>
  <c r="U299" i="2"/>
  <c r="S299" i="2"/>
  <c r="R299" i="2"/>
  <c r="Q299" i="2"/>
  <c r="O299" i="2"/>
  <c r="N299" i="2"/>
  <c r="M299" i="2"/>
  <c r="K299" i="2"/>
  <c r="J299" i="2"/>
  <c r="I299" i="2"/>
  <c r="G299" i="2"/>
  <c r="F299" i="2"/>
  <c r="E299" i="2"/>
  <c r="C299" i="2"/>
  <c r="B299" i="2"/>
  <c r="W298" i="2"/>
  <c r="U298" i="2"/>
  <c r="T298" i="2"/>
  <c r="S298" i="2"/>
  <c r="Q298" i="2"/>
  <c r="P298" i="2"/>
  <c r="O298" i="2"/>
  <c r="M298" i="2"/>
  <c r="L298" i="2"/>
  <c r="K298" i="2"/>
  <c r="I298" i="2"/>
  <c r="H298" i="2"/>
  <c r="G298" i="2"/>
  <c r="E298" i="2"/>
  <c r="D298" i="2"/>
  <c r="C298" i="2"/>
  <c r="B298" i="2" a="1"/>
  <c r="V300" i="2" s="1"/>
  <c r="B298" i="2"/>
  <c r="W297" i="2"/>
  <c r="T297" i="2"/>
  <c r="S297" i="2"/>
  <c r="P297" i="2"/>
  <c r="O297" i="2"/>
  <c r="L297" i="2"/>
  <c r="K297" i="2"/>
  <c r="H297" i="2"/>
  <c r="G297" i="2"/>
  <c r="D297" i="2"/>
  <c r="C297" i="2"/>
  <c r="B297" i="2" a="1"/>
  <c r="U297" i="2" s="1"/>
  <c r="W294" i="2"/>
  <c r="V294" i="2"/>
  <c r="U294" i="2"/>
  <c r="S294" i="2"/>
  <c r="R294" i="2"/>
  <c r="Q294" i="2"/>
  <c r="O294" i="2"/>
  <c r="N294" i="2"/>
  <c r="M294" i="2"/>
  <c r="K294" i="2"/>
  <c r="J294" i="2"/>
  <c r="I294" i="2"/>
  <c r="G294" i="2"/>
  <c r="F294" i="2"/>
  <c r="E294" i="2"/>
  <c r="C294" i="2"/>
  <c r="B294" i="2"/>
  <c r="W293" i="2"/>
  <c r="U293" i="2"/>
  <c r="T293" i="2"/>
  <c r="S293" i="2"/>
  <c r="Q293" i="2"/>
  <c r="P293" i="2"/>
  <c r="O293" i="2"/>
  <c r="M293" i="2"/>
  <c r="L293" i="2"/>
  <c r="K293" i="2"/>
  <c r="I293" i="2"/>
  <c r="H293" i="2"/>
  <c r="G293" i="2"/>
  <c r="E293" i="2"/>
  <c r="D293" i="2"/>
  <c r="C293" i="2"/>
  <c r="W292" i="2"/>
  <c r="V292" i="2"/>
  <c r="U292" i="2"/>
  <c r="S292" i="2"/>
  <c r="R292" i="2"/>
  <c r="Q292" i="2"/>
  <c r="O292" i="2"/>
  <c r="N292" i="2"/>
  <c r="M292" i="2"/>
  <c r="K292" i="2"/>
  <c r="J292" i="2"/>
  <c r="I292" i="2"/>
  <c r="G292" i="2"/>
  <c r="F292" i="2"/>
  <c r="E292" i="2"/>
  <c r="C292" i="2"/>
  <c r="B292" i="2"/>
  <c r="W291" i="2"/>
  <c r="U291" i="2"/>
  <c r="T291" i="2"/>
  <c r="S291" i="2"/>
  <c r="Q291" i="2"/>
  <c r="P291" i="2"/>
  <c r="O291" i="2"/>
  <c r="M291" i="2"/>
  <c r="L291" i="2"/>
  <c r="K291" i="2"/>
  <c r="I291" i="2"/>
  <c r="H291" i="2"/>
  <c r="G291" i="2"/>
  <c r="E291" i="2"/>
  <c r="D291" i="2"/>
  <c r="C291" i="2"/>
  <c r="B291" i="2" a="1"/>
  <c r="T294" i="2" s="1"/>
  <c r="B291" i="2"/>
  <c r="B288" i="2" a="1"/>
  <c r="S289" i="2" s="1"/>
  <c r="U286" i="2"/>
  <c r="T286" i="2"/>
  <c r="Q286" i="2"/>
  <c r="P286" i="2"/>
  <c r="M286" i="2"/>
  <c r="L286" i="2"/>
  <c r="I286" i="2"/>
  <c r="H286" i="2"/>
  <c r="E286" i="2"/>
  <c r="D286" i="2"/>
  <c r="W285" i="2"/>
  <c r="V285" i="2"/>
  <c r="S285" i="2"/>
  <c r="R285" i="2"/>
  <c r="O285" i="2"/>
  <c r="N285" i="2"/>
  <c r="K285" i="2"/>
  <c r="J285" i="2"/>
  <c r="G285" i="2"/>
  <c r="F285" i="2"/>
  <c r="C285" i="2"/>
  <c r="B285" i="2"/>
  <c r="U284" i="2"/>
  <c r="T284" i="2"/>
  <c r="Q284" i="2"/>
  <c r="P284" i="2"/>
  <c r="M284" i="2"/>
  <c r="L284" i="2"/>
  <c r="I284" i="2"/>
  <c r="H284" i="2"/>
  <c r="E284" i="2"/>
  <c r="D284" i="2"/>
  <c r="W283" i="2"/>
  <c r="V283" i="2"/>
  <c r="S283" i="2"/>
  <c r="R283" i="2"/>
  <c r="O283" i="2"/>
  <c r="N283" i="2"/>
  <c r="K283" i="2"/>
  <c r="J283" i="2"/>
  <c r="G283" i="2"/>
  <c r="F283" i="2"/>
  <c r="C283" i="2"/>
  <c r="B283" i="2"/>
  <c r="U282" i="2"/>
  <c r="T282" i="2"/>
  <c r="Q282" i="2"/>
  <c r="P282" i="2"/>
  <c r="M282" i="2"/>
  <c r="L282" i="2"/>
  <c r="I282" i="2"/>
  <c r="H282" i="2"/>
  <c r="E282" i="2"/>
  <c r="D282" i="2"/>
  <c r="W281" i="2"/>
  <c r="V281" i="2"/>
  <c r="S281" i="2"/>
  <c r="R281" i="2"/>
  <c r="O281" i="2"/>
  <c r="N281" i="2"/>
  <c r="K281" i="2"/>
  <c r="J281" i="2"/>
  <c r="G281" i="2"/>
  <c r="F281" i="2"/>
  <c r="C281" i="2"/>
  <c r="B281" i="2"/>
  <c r="U280" i="2"/>
  <c r="T280" i="2"/>
  <c r="Q280" i="2"/>
  <c r="P280" i="2"/>
  <c r="M280" i="2"/>
  <c r="L280" i="2"/>
  <c r="I280" i="2"/>
  <c r="H280" i="2"/>
  <c r="E280" i="2"/>
  <c r="D280" i="2"/>
  <c r="W279" i="2"/>
  <c r="V279" i="2"/>
  <c r="S279" i="2"/>
  <c r="R279" i="2"/>
  <c r="O279" i="2"/>
  <c r="N279" i="2"/>
  <c r="K279" i="2"/>
  <c r="J279" i="2"/>
  <c r="G279" i="2"/>
  <c r="F279" i="2"/>
  <c r="C279" i="2"/>
  <c r="B279" i="2"/>
  <c r="U278" i="2"/>
  <c r="T278" i="2"/>
  <c r="Q278" i="2"/>
  <c r="P278" i="2"/>
  <c r="M278" i="2"/>
  <c r="L278" i="2"/>
  <c r="I278" i="2"/>
  <c r="H278" i="2"/>
  <c r="E278" i="2"/>
  <c r="D278" i="2"/>
  <c r="B278" i="2" a="1"/>
  <c r="V286" i="2" s="1"/>
  <c r="B278" i="2"/>
  <c r="W276" i="2"/>
  <c r="T276" i="2"/>
  <c r="S276" i="2"/>
  <c r="P276" i="2"/>
  <c r="O276" i="2"/>
  <c r="L276" i="2"/>
  <c r="K276" i="2"/>
  <c r="H276" i="2"/>
  <c r="G276" i="2"/>
  <c r="D276" i="2"/>
  <c r="C276" i="2"/>
  <c r="V275" i="2"/>
  <c r="U275" i="2"/>
  <c r="R275" i="2"/>
  <c r="Q275" i="2"/>
  <c r="N275" i="2"/>
  <c r="M275" i="2"/>
  <c r="J275" i="2"/>
  <c r="I275" i="2"/>
  <c r="F275" i="2"/>
  <c r="E275" i="2"/>
  <c r="B275" i="2"/>
  <c r="W274" i="2"/>
  <c r="T274" i="2"/>
  <c r="S274" i="2"/>
  <c r="P274" i="2"/>
  <c r="O274" i="2"/>
  <c r="L274" i="2"/>
  <c r="K274" i="2"/>
  <c r="H274" i="2"/>
  <c r="G274" i="2"/>
  <c r="D274" i="2"/>
  <c r="C274" i="2"/>
  <c r="V273" i="2"/>
  <c r="U273" i="2"/>
  <c r="R273" i="2"/>
  <c r="Q273" i="2"/>
  <c r="N273" i="2"/>
  <c r="M273" i="2"/>
  <c r="J273" i="2"/>
  <c r="I273" i="2"/>
  <c r="F273" i="2"/>
  <c r="E273" i="2"/>
  <c r="B273" i="2"/>
  <c r="W272" i="2"/>
  <c r="T272" i="2"/>
  <c r="S272" i="2"/>
  <c r="P272" i="2"/>
  <c r="O272" i="2"/>
  <c r="L272" i="2"/>
  <c r="K272" i="2"/>
  <c r="H272" i="2"/>
  <c r="G272" i="2"/>
  <c r="D272" i="2"/>
  <c r="C272" i="2"/>
  <c r="V271" i="2"/>
  <c r="U271" i="2"/>
  <c r="R271" i="2"/>
  <c r="Q271" i="2"/>
  <c r="N271" i="2"/>
  <c r="M271" i="2"/>
  <c r="J271" i="2"/>
  <c r="I271" i="2"/>
  <c r="F271" i="2"/>
  <c r="E271" i="2"/>
  <c r="B271" i="2"/>
  <c r="W270" i="2"/>
  <c r="T270" i="2"/>
  <c r="S270" i="2"/>
  <c r="P270" i="2"/>
  <c r="O270" i="2"/>
  <c r="L270" i="2"/>
  <c r="K270" i="2"/>
  <c r="H270" i="2"/>
  <c r="G270" i="2"/>
  <c r="D270" i="2"/>
  <c r="C270" i="2"/>
  <c r="B270" i="2" a="1"/>
  <c r="U276" i="2" s="1"/>
  <c r="B261" i="2" a="1"/>
  <c r="Q259" i="2"/>
  <c r="I259" i="2"/>
  <c r="W258" i="2"/>
  <c r="O258" i="2"/>
  <c r="G258" i="2"/>
  <c r="U257" i="2"/>
  <c r="M257" i="2"/>
  <c r="E257" i="2"/>
  <c r="S256" i="2"/>
  <c r="K256" i="2"/>
  <c r="C256" i="2"/>
  <c r="Q255" i="2"/>
  <c r="I255" i="2"/>
  <c r="B255" i="2" a="1"/>
  <c r="B255" i="2"/>
  <c r="AS240" i="2"/>
  <c r="AR240" i="2"/>
  <c r="AO240" i="2"/>
  <c r="AN240" i="2"/>
  <c r="AK240" i="2"/>
  <c r="AJ240" i="2"/>
  <c r="AG240" i="2"/>
  <c r="AF240" i="2"/>
  <c r="AC240" i="2"/>
  <c r="AB240" i="2"/>
  <c r="Z240" i="2" a="1"/>
  <c r="AT240" i="2" s="1"/>
  <c r="Z240" i="2"/>
  <c r="B238" i="2" a="1"/>
  <c r="U235" i="2"/>
  <c r="T235" i="2"/>
  <c r="Q235" i="2"/>
  <c r="P235" i="2"/>
  <c r="M235" i="2"/>
  <c r="L235" i="2"/>
  <c r="I235" i="2"/>
  <c r="H235" i="2"/>
  <c r="E235" i="2"/>
  <c r="D235" i="2"/>
  <c r="B235" i="2" a="1"/>
  <c r="V235" i="2" s="1"/>
  <c r="B235" i="2"/>
  <c r="AU233" i="2"/>
  <c r="AR233" i="2"/>
  <c r="AQ233" i="2"/>
  <c r="AN233" i="2"/>
  <c r="AM233" i="2"/>
  <c r="AJ233" i="2"/>
  <c r="AI233" i="2"/>
  <c r="AF233" i="2"/>
  <c r="AE233" i="2"/>
  <c r="AB233" i="2"/>
  <c r="AA233" i="2"/>
  <c r="Z233" i="2" a="1"/>
  <c r="AS233" i="2" s="1"/>
  <c r="V233" i="2"/>
  <c r="U233" i="2"/>
  <c r="Q233" i="2"/>
  <c r="O233" i="2"/>
  <c r="K233" i="2"/>
  <c r="J233" i="2"/>
  <c r="F233" i="2"/>
  <c r="E233" i="2"/>
  <c r="B233" i="2"/>
  <c r="W232" i="2"/>
  <c r="T232" i="2"/>
  <c r="S232" i="2"/>
  <c r="P232" i="2"/>
  <c r="O232" i="2"/>
  <c r="L232" i="2"/>
  <c r="K232" i="2"/>
  <c r="H232" i="2"/>
  <c r="G232" i="2"/>
  <c r="D232" i="2"/>
  <c r="C232" i="2"/>
  <c r="B232" i="2" a="1"/>
  <c r="W233" i="2" s="1"/>
  <c r="W230" i="2"/>
  <c r="V230" i="2"/>
  <c r="S230" i="2"/>
  <c r="R230" i="2"/>
  <c r="O230" i="2"/>
  <c r="N230" i="2"/>
  <c r="K230" i="2"/>
  <c r="J230" i="2"/>
  <c r="G230" i="2"/>
  <c r="F230" i="2"/>
  <c r="C230" i="2"/>
  <c r="B230" i="2"/>
  <c r="U229" i="2"/>
  <c r="T229" i="2"/>
  <c r="Q229" i="2"/>
  <c r="P229" i="2"/>
  <c r="M229" i="2"/>
  <c r="L229" i="2"/>
  <c r="I229" i="2"/>
  <c r="H229" i="2"/>
  <c r="E229" i="2"/>
  <c r="D229" i="2"/>
  <c r="W228" i="2"/>
  <c r="V228" i="2"/>
  <c r="S228" i="2"/>
  <c r="R228" i="2"/>
  <c r="O228" i="2"/>
  <c r="N228" i="2"/>
  <c r="K228" i="2"/>
  <c r="J228" i="2"/>
  <c r="G228" i="2"/>
  <c r="F228" i="2"/>
  <c r="C228" i="2"/>
  <c r="B228" i="2"/>
  <c r="U227" i="2"/>
  <c r="T227" i="2"/>
  <c r="Q227" i="2"/>
  <c r="P227" i="2"/>
  <c r="M227" i="2"/>
  <c r="L227" i="2"/>
  <c r="I227" i="2"/>
  <c r="H227" i="2"/>
  <c r="E227" i="2"/>
  <c r="D227" i="2"/>
  <c r="B227" i="2" a="1"/>
  <c r="U230" i="2" s="1"/>
  <c r="B227" i="2"/>
  <c r="W225" i="2"/>
  <c r="S225" i="2"/>
  <c r="O225" i="2"/>
  <c r="K225" i="2"/>
  <c r="G225" i="2"/>
  <c r="C225" i="2"/>
  <c r="U224" i="2"/>
  <c r="Q224" i="2"/>
  <c r="M224" i="2"/>
  <c r="I224" i="2"/>
  <c r="E224" i="2"/>
  <c r="W223" i="2"/>
  <c r="S223" i="2"/>
  <c r="O223" i="2"/>
  <c r="K223" i="2"/>
  <c r="G223" i="2"/>
  <c r="C223" i="2"/>
  <c r="U222" i="2"/>
  <c r="Q222" i="2"/>
  <c r="M222" i="2"/>
  <c r="I222" i="2"/>
  <c r="E222" i="2"/>
  <c r="W221" i="2"/>
  <c r="S221" i="2"/>
  <c r="O221" i="2"/>
  <c r="K221" i="2"/>
  <c r="G221" i="2"/>
  <c r="C221" i="2"/>
  <c r="U220" i="2"/>
  <c r="Q220" i="2"/>
  <c r="M220" i="2"/>
  <c r="I220" i="2"/>
  <c r="E220" i="2"/>
  <c r="W219" i="2"/>
  <c r="S219" i="2"/>
  <c r="O219" i="2"/>
  <c r="K219" i="2"/>
  <c r="G219" i="2"/>
  <c r="C219" i="2"/>
  <c r="U218" i="2"/>
  <c r="Q218" i="2"/>
  <c r="M218" i="2"/>
  <c r="I218" i="2"/>
  <c r="E218" i="2"/>
  <c r="W217" i="2"/>
  <c r="S217" i="2"/>
  <c r="O217" i="2"/>
  <c r="K217" i="2"/>
  <c r="G217" i="2"/>
  <c r="C217" i="2"/>
  <c r="B217" i="2" a="1"/>
  <c r="V225" i="2" s="1"/>
  <c r="B206" i="2" a="1"/>
  <c r="J212" i="2" s="1"/>
  <c r="U203" i="2"/>
  <c r="Q203" i="2"/>
  <c r="M203" i="2"/>
  <c r="I203" i="2"/>
  <c r="E203" i="2"/>
  <c r="W202" i="2"/>
  <c r="S202" i="2"/>
  <c r="O202" i="2"/>
  <c r="K202" i="2"/>
  <c r="G202" i="2"/>
  <c r="C202" i="2"/>
  <c r="U201" i="2"/>
  <c r="Q201" i="2"/>
  <c r="M201" i="2"/>
  <c r="I201" i="2"/>
  <c r="E201" i="2"/>
  <c r="W200" i="2"/>
  <c r="S200" i="2"/>
  <c r="O200" i="2"/>
  <c r="K200" i="2"/>
  <c r="G200" i="2"/>
  <c r="C200" i="2"/>
  <c r="U199" i="2"/>
  <c r="Q199" i="2"/>
  <c r="M199" i="2"/>
  <c r="I199" i="2"/>
  <c r="E199" i="2"/>
  <c r="B199" i="2" a="1"/>
  <c r="T203" i="2" s="1"/>
  <c r="B199" i="2"/>
  <c r="B195" i="2" a="1"/>
  <c r="H196" i="2" s="1"/>
  <c r="U193" i="2"/>
  <c r="Q193" i="2"/>
  <c r="M193" i="2"/>
  <c r="I193" i="2"/>
  <c r="E193" i="2"/>
  <c r="W192" i="2"/>
  <c r="S192" i="2"/>
  <c r="O192" i="2"/>
  <c r="K192" i="2"/>
  <c r="G192" i="2"/>
  <c r="C192" i="2"/>
  <c r="U191" i="2"/>
  <c r="Q191" i="2"/>
  <c r="M191" i="2"/>
  <c r="I191" i="2"/>
  <c r="E191" i="2"/>
  <c r="B191" i="2" a="1"/>
  <c r="T193" i="2" s="1"/>
  <c r="B191" i="2"/>
  <c r="W188" i="2"/>
  <c r="U188" i="2"/>
  <c r="T188" i="2"/>
  <c r="S188" i="2"/>
  <c r="Q188" i="2"/>
  <c r="P188" i="2"/>
  <c r="O188" i="2"/>
  <c r="M188" i="2"/>
  <c r="L188" i="2"/>
  <c r="K188" i="2"/>
  <c r="I188" i="2"/>
  <c r="H188" i="2"/>
  <c r="G188" i="2"/>
  <c r="E188" i="2"/>
  <c r="D188" i="2"/>
  <c r="C188" i="2"/>
  <c r="W187" i="2"/>
  <c r="V187" i="2"/>
  <c r="U187" i="2"/>
  <c r="S187" i="2"/>
  <c r="R187" i="2"/>
  <c r="Q187" i="2"/>
  <c r="O187" i="2"/>
  <c r="N187" i="2"/>
  <c r="M187" i="2"/>
  <c r="K187" i="2"/>
  <c r="J187" i="2"/>
  <c r="I187" i="2"/>
  <c r="G187" i="2"/>
  <c r="F187" i="2"/>
  <c r="E187" i="2"/>
  <c r="C187" i="2"/>
  <c r="B187" i="2"/>
  <c r="W186" i="2"/>
  <c r="U186" i="2"/>
  <c r="T186" i="2"/>
  <c r="S186" i="2"/>
  <c r="Q186" i="2"/>
  <c r="P186" i="2"/>
  <c r="O186" i="2"/>
  <c r="M186" i="2"/>
  <c r="L186" i="2"/>
  <c r="K186" i="2"/>
  <c r="I186" i="2"/>
  <c r="H186" i="2"/>
  <c r="G186" i="2"/>
  <c r="E186" i="2"/>
  <c r="D186" i="2"/>
  <c r="C186" i="2"/>
  <c r="B186" i="2" a="1"/>
  <c r="V188" i="2" s="1"/>
  <c r="B186" i="2"/>
  <c r="BA185" i="2"/>
  <c r="AZ185" i="2"/>
  <c r="BA184" i="2"/>
  <c r="AZ184" i="2"/>
  <c r="BA183" i="2"/>
  <c r="AZ183" i="2"/>
  <c r="U184" i="2"/>
  <c r="Q184" i="2"/>
  <c r="M184" i="2"/>
  <c r="I184" i="2"/>
  <c r="E184" i="2"/>
  <c r="W183" i="2"/>
  <c r="S183" i="2"/>
  <c r="O183" i="2"/>
  <c r="K183" i="2"/>
  <c r="G183" i="2"/>
  <c r="C183" i="2"/>
  <c r="U182" i="2"/>
  <c r="Q182" i="2"/>
  <c r="M182" i="2"/>
  <c r="I182" i="2"/>
  <c r="E182" i="2"/>
  <c r="W181" i="2"/>
  <c r="S181" i="2"/>
  <c r="O181" i="2"/>
  <c r="K181" i="2"/>
  <c r="G181" i="2"/>
  <c r="C181" i="2"/>
  <c r="U180" i="2"/>
  <c r="Q180" i="2"/>
  <c r="M180" i="2"/>
  <c r="I180" i="2"/>
  <c r="E180" i="2"/>
  <c r="W179" i="2"/>
  <c r="S179" i="2"/>
  <c r="O179" i="2"/>
  <c r="K179" i="2"/>
  <c r="G179" i="2"/>
  <c r="C179" i="2"/>
  <c r="B179" i="2" a="1"/>
  <c r="T184" i="2" s="1"/>
  <c r="W176" i="2"/>
  <c r="V176" i="2"/>
  <c r="U176" i="2"/>
  <c r="S176" i="2"/>
  <c r="R176" i="2"/>
  <c r="Q176" i="2"/>
  <c r="O176" i="2"/>
  <c r="N176" i="2"/>
  <c r="M176" i="2"/>
  <c r="K176" i="2"/>
  <c r="J176" i="2"/>
  <c r="I176" i="2"/>
  <c r="G176" i="2"/>
  <c r="F176" i="2"/>
  <c r="E176" i="2"/>
  <c r="C176" i="2"/>
  <c r="B176" i="2"/>
  <c r="W175" i="2"/>
  <c r="U175" i="2"/>
  <c r="T175" i="2"/>
  <c r="S175" i="2"/>
  <c r="Q175" i="2"/>
  <c r="P175" i="2"/>
  <c r="O175" i="2"/>
  <c r="M175" i="2"/>
  <c r="L175" i="2"/>
  <c r="K175" i="2"/>
  <c r="I175" i="2"/>
  <c r="H175" i="2"/>
  <c r="G175" i="2"/>
  <c r="E175" i="2"/>
  <c r="D175" i="2"/>
  <c r="C175" i="2"/>
  <c r="W174" i="2"/>
  <c r="V174" i="2"/>
  <c r="U174" i="2"/>
  <c r="S174" i="2"/>
  <c r="R174" i="2"/>
  <c r="Q174" i="2"/>
  <c r="O174" i="2"/>
  <c r="N174" i="2"/>
  <c r="M174" i="2"/>
  <c r="K174" i="2"/>
  <c r="J174" i="2"/>
  <c r="I174" i="2"/>
  <c r="G174" i="2"/>
  <c r="F174" i="2"/>
  <c r="E174" i="2"/>
  <c r="C174" i="2"/>
  <c r="B174" i="2"/>
  <c r="W173" i="2"/>
  <c r="U173" i="2"/>
  <c r="T173" i="2"/>
  <c r="S173" i="2"/>
  <c r="Q173" i="2"/>
  <c r="P173" i="2"/>
  <c r="O173" i="2"/>
  <c r="M173" i="2"/>
  <c r="L173" i="2"/>
  <c r="K173" i="2"/>
  <c r="I173" i="2"/>
  <c r="H173" i="2"/>
  <c r="G173" i="2"/>
  <c r="E173" i="2"/>
  <c r="D173" i="2"/>
  <c r="C173" i="2"/>
  <c r="B173" i="2" a="1"/>
  <c r="T176" i="2" s="1"/>
  <c r="B173" i="2"/>
  <c r="W171" i="2"/>
  <c r="S171" i="2"/>
  <c r="O171" i="2"/>
  <c r="K171" i="2"/>
  <c r="G171" i="2"/>
  <c r="C171" i="2"/>
  <c r="U170" i="2"/>
  <c r="Q170" i="2"/>
  <c r="M170" i="2"/>
  <c r="I170" i="2"/>
  <c r="E170" i="2"/>
  <c r="W169" i="2"/>
  <c r="S169" i="2"/>
  <c r="O169" i="2"/>
  <c r="K169" i="2"/>
  <c r="G169" i="2"/>
  <c r="C169" i="2"/>
  <c r="U168" i="2"/>
  <c r="Q168" i="2"/>
  <c r="M168" i="2"/>
  <c r="I168" i="2"/>
  <c r="E168" i="2"/>
  <c r="W167" i="2"/>
  <c r="S167" i="2"/>
  <c r="O167" i="2"/>
  <c r="K167" i="2"/>
  <c r="G167" i="2"/>
  <c r="C167" i="2"/>
  <c r="B167" i="2" a="1"/>
  <c r="V171" i="2" s="1"/>
  <c r="U163" i="2"/>
  <c r="Q163" i="2"/>
  <c r="M163" i="2"/>
  <c r="I163" i="2"/>
  <c r="E163" i="2"/>
  <c r="B163" i="2" a="1"/>
  <c r="B163" i="2"/>
  <c r="BF160" i="2"/>
  <c r="BE160" i="2"/>
  <c r="BF159" i="2"/>
  <c r="BE159" i="2"/>
  <c r="B159" i="2" a="1"/>
  <c r="BF158" i="2"/>
  <c r="BE158" i="2"/>
  <c r="BF157" i="2"/>
  <c r="U158" i="2"/>
  <c r="T158" i="2"/>
  <c r="Q158" i="2"/>
  <c r="P158" i="2"/>
  <c r="M158" i="2"/>
  <c r="L158" i="2"/>
  <c r="I158" i="2"/>
  <c r="H158" i="2"/>
  <c r="E158" i="2"/>
  <c r="D158" i="2"/>
  <c r="W157" i="2"/>
  <c r="V157" i="2"/>
  <c r="S157" i="2"/>
  <c r="R157" i="2"/>
  <c r="O157" i="2"/>
  <c r="N157" i="2"/>
  <c r="K157" i="2"/>
  <c r="J157" i="2"/>
  <c r="G157" i="2"/>
  <c r="F157" i="2"/>
  <c r="C157" i="2"/>
  <c r="B157" i="2"/>
  <c r="U156" i="2"/>
  <c r="T156" i="2"/>
  <c r="Q156" i="2"/>
  <c r="P156" i="2"/>
  <c r="M156" i="2"/>
  <c r="L156" i="2"/>
  <c r="I156" i="2"/>
  <c r="H156" i="2"/>
  <c r="E156" i="2"/>
  <c r="D156" i="2"/>
  <c r="B156" i="2" a="1"/>
  <c r="W158" i="2" s="1"/>
  <c r="B156" i="2"/>
  <c r="BE155" i="2"/>
  <c r="U155" i="2"/>
  <c r="T155" i="2"/>
  <c r="Q155" i="2"/>
  <c r="P155" i="2"/>
  <c r="M155" i="2"/>
  <c r="L155" i="2"/>
  <c r="I155" i="2"/>
  <c r="H155" i="2"/>
  <c r="E155" i="2"/>
  <c r="D155" i="2"/>
  <c r="B155" i="2" a="1"/>
  <c r="W155" i="2" s="1"/>
  <c r="B155" i="2"/>
  <c r="BE154" i="2"/>
  <c r="BE153" i="2"/>
  <c r="W152" i="2"/>
  <c r="V152" i="2"/>
  <c r="U152" i="2"/>
  <c r="S152" i="2"/>
  <c r="R152" i="2"/>
  <c r="Q152" i="2"/>
  <c r="O152" i="2"/>
  <c r="N152" i="2"/>
  <c r="M152" i="2"/>
  <c r="K152" i="2"/>
  <c r="J152" i="2"/>
  <c r="I152" i="2"/>
  <c r="G152" i="2"/>
  <c r="F152" i="2"/>
  <c r="E152" i="2"/>
  <c r="C152" i="2"/>
  <c r="B152" i="2"/>
  <c r="W151" i="2"/>
  <c r="U151" i="2"/>
  <c r="T151" i="2"/>
  <c r="S151" i="2"/>
  <c r="Q151" i="2"/>
  <c r="P151" i="2"/>
  <c r="O151" i="2"/>
  <c r="M151" i="2"/>
  <c r="L151" i="2"/>
  <c r="K151" i="2"/>
  <c r="I151" i="2"/>
  <c r="H151" i="2"/>
  <c r="G151" i="2"/>
  <c r="E151" i="2"/>
  <c r="D151" i="2"/>
  <c r="C151" i="2"/>
  <c r="W150" i="2"/>
  <c r="V150" i="2"/>
  <c r="U150" i="2"/>
  <c r="S150" i="2"/>
  <c r="R150" i="2"/>
  <c r="Q150" i="2"/>
  <c r="O150" i="2"/>
  <c r="N150" i="2"/>
  <c r="M150" i="2"/>
  <c r="K150" i="2"/>
  <c r="J150" i="2"/>
  <c r="I150" i="2"/>
  <c r="G150" i="2"/>
  <c r="F150" i="2"/>
  <c r="E150" i="2"/>
  <c r="C150" i="2"/>
  <c r="B150" i="2"/>
  <c r="W149" i="2"/>
  <c r="U149" i="2"/>
  <c r="T149" i="2"/>
  <c r="S149" i="2"/>
  <c r="Q149" i="2"/>
  <c r="P149" i="2"/>
  <c r="O149" i="2"/>
  <c r="M149" i="2"/>
  <c r="L149" i="2"/>
  <c r="K149" i="2"/>
  <c r="I149" i="2"/>
  <c r="H149" i="2"/>
  <c r="G149" i="2"/>
  <c r="E149" i="2"/>
  <c r="D149" i="2"/>
  <c r="C149" i="2"/>
  <c r="B149" i="2" a="1"/>
  <c r="T152" i="2" s="1"/>
  <c r="B149" i="2"/>
  <c r="BE148" i="2"/>
  <c r="BE147" i="2"/>
  <c r="B146" i="2" a="1"/>
  <c r="BE145" i="2"/>
  <c r="B136" i="2" a="1"/>
  <c r="V144" i="2" s="1"/>
  <c r="B128" i="2" a="1"/>
  <c r="W134" i="2" s="1"/>
  <c r="B119" i="2" a="1"/>
  <c r="R125" i="2" s="1"/>
  <c r="W117" i="2"/>
  <c r="U117" i="2"/>
  <c r="T117" i="2"/>
  <c r="S117" i="2"/>
  <c r="Q117" i="2"/>
  <c r="P117" i="2"/>
  <c r="O117" i="2"/>
  <c r="M117" i="2"/>
  <c r="L117" i="2"/>
  <c r="K117" i="2"/>
  <c r="I117" i="2"/>
  <c r="H117" i="2"/>
  <c r="G117" i="2"/>
  <c r="E117" i="2"/>
  <c r="D117" i="2"/>
  <c r="C117" i="2"/>
  <c r="W116" i="2"/>
  <c r="V116" i="2"/>
  <c r="U116" i="2"/>
  <c r="S116" i="2"/>
  <c r="R116" i="2"/>
  <c r="Q116" i="2"/>
  <c r="O116" i="2"/>
  <c r="N116" i="2"/>
  <c r="M116" i="2"/>
  <c r="K116" i="2"/>
  <c r="J116" i="2"/>
  <c r="I116" i="2"/>
  <c r="G116" i="2"/>
  <c r="F116" i="2"/>
  <c r="E116" i="2"/>
  <c r="C116" i="2"/>
  <c r="B116" i="2"/>
  <c r="W115" i="2"/>
  <c r="U115" i="2"/>
  <c r="T115" i="2"/>
  <c r="S115" i="2"/>
  <c r="Q115" i="2"/>
  <c r="P115" i="2"/>
  <c r="O115" i="2"/>
  <c r="M115" i="2"/>
  <c r="L115" i="2"/>
  <c r="K115" i="2"/>
  <c r="I115" i="2"/>
  <c r="H115" i="2"/>
  <c r="G115" i="2"/>
  <c r="E115" i="2"/>
  <c r="D115" i="2"/>
  <c r="C115" i="2"/>
  <c r="W114" i="2"/>
  <c r="V114" i="2"/>
  <c r="U114" i="2"/>
  <c r="S114" i="2"/>
  <c r="R114" i="2"/>
  <c r="Q114" i="2"/>
  <c r="O114" i="2"/>
  <c r="N114" i="2"/>
  <c r="M114" i="2"/>
  <c r="K114" i="2"/>
  <c r="J114" i="2"/>
  <c r="I114" i="2"/>
  <c r="G114" i="2"/>
  <c r="F114" i="2"/>
  <c r="E114" i="2"/>
  <c r="C114" i="2"/>
  <c r="B114" i="2"/>
  <c r="W113" i="2"/>
  <c r="U113" i="2"/>
  <c r="T113" i="2"/>
  <c r="S113" i="2"/>
  <c r="Q113" i="2"/>
  <c r="P113" i="2"/>
  <c r="O113" i="2"/>
  <c r="M113" i="2"/>
  <c r="L113" i="2"/>
  <c r="K113" i="2"/>
  <c r="I113" i="2"/>
  <c r="H113" i="2"/>
  <c r="G113" i="2"/>
  <c r="E113" i="2"/>
  <c r="D113" i="2"/>
  <c r="C113" i="2"/>
  <c r="B113" i="2" a="1"/>
  <c r="V117" i="2" s="1"/>
  <c r="B113" i="2"/>
  <c r="U111" i="2"/>
  <c r="Q111" i="2"/>
  <c r="M111" i="2"/>
  <c r="I111" i="2"/>
  <c r="E111" i="2"/>
  <c r="W110" i="2"/>
  <c r="S110" i="2"/>
  <c r="O110" i="2"/>
  <c r="K110" i="2"/>
  <c r="G110" i="2"/>
  <c r="C110" i="2"/>
  <c r="U109" i="2"/>
  <c r="Q109" i="2"/>
  <c r="M109" i="2"/>
  <c r="I109" i="2"/>
  <c r="E109" i="2"/>
  <c r="W108" i="2"/>
  <c r="S108" i="2"/>
  <c r="O108" i="2"/>
  <c r="K108" i="2"/>
  <c r="G108" i="2"/>
  <c r="C108" i="2"/>
  <c r="U107" i="2"/>
  <c r="Q107" i="2"/>
  <c r="M107" i="2"/>
  <c r="I107" i="2"/>
  <c r="E107" i="2"/>
  <c r="W106" i="2"/>
  <c r="S106" i="2"/>
  <c r="O106" i="2"/>
  <c r="K106" i="2"/>
  <c r="G106" i="2"/>
  <c r="C106" i="2"/>
  <c r="U105" i="2"/>
  <c r="Q105" i="2"/>
  <c r="M105" i="2"/>
  <c r="I105" i="2"/>
  <c r="E105" i="2"/>
  <c r="W104" i="2"/>
  <c r="S104" i="2"/>
  <c r="O104" i="2"/>
  <c r="K104" i="2"/>
  <c r="G104" i="2"/>
  <c r="C104" i="2"/>
  <c r="U103" i="2"/>
  <c r="Q103" i="2"/>
  <c r="M103" i="2"/>
  <c r="I103" i="2"/>
  <c r="E103" i="2"/>
  <c r="W102" i="2"/>
  <c r="S102" i="2"/>
  <c r="O102" i="2"/>
  <c r="K102" i="2"/>
  <c r="G102" i="2"/>
  <c r="C102" i="2"/>
  <c r="U101" i="2"/>
  <c r="Q101" i="2"/>
  <c r="M101" i="2"/>
  <c r="I101" i="2"/>
  <c r="E101" i="2"/>
  <c r="W100" i="2"/>
  <c r="S100" i="2"/>
  <c r="O100" i="2"/>
  <c r="K100" i="2"/>
  <c r="G100" i="2"/>
  <c r="C100" i="2"/>
  <c r="U99" i="2"/>
  <c r="Q99" i="2"/>
  <c r="M99" i="2"/>
  <c r="I99" i="2"/>
  <c r="E99" i="2"/>
  <c r="W98" i="2"/>
  <c r="S98" i="2"/>
  <c r="O98" i="2"/>
  <c r="K98" i="2"/>
  <c r="G98" i="2"/>
  <c r="C98" i="2"/>
  <c r="U97" i="2"/>
  <c r="Q97" i="2"/>
  <c r="M97" i="2"/>
  <c r="I97" i="2"/>
  <c r="E97" i="2"/>
  <c r="W96" i="2"/>
  <c r="S96" i="2"/>
  <c r="O96" i="2"/>
  <c r="K96" i="2"/>
  <c r="G96" i="2"/>
  <c r="C96" i="2"/>
  <c r="B96" i="2" a="1"/>
  <c r="V111" i="2" s="1"/>
  <c r="B93" i="2" a="1"/>
  <c r="W93" i="2" s="1"/>
  <c r="U91" i="2"/>
  <c r="Q91" i="2"/>
  <c r="M91" i="2"/>
  <c r="I91" i="2"/>
  <c r="E91" i="2"/>
  <c r="W90" i="2"/>
  <c r="S90" i="2"/>
  <c r="O90" i="2"/>
  <c r="K90" i="2"/>
  <c r="G90" i="2"/>
  <c r="C90" i="2"/>
  <c r="B90" i="2" a="1"/>
  <c r="V91" i="2" s="1"/>
  <c r="V88" i="2"/>
  <c r="U88" i="2"/>
  <c r="R88" i="2"/>
  <c r="Q88" i="2"/>
  <c r="N88" i="2"/>
  <c r="M88" i="2"/>
  <c r="J88" i="2"/>
  <c r="I88" i="2"/>
  <c r="F88" i="2"/>
  <c r="E88" i="2"/>
  <c r="B88" i="2"/>
  <c r="W87" i="2"/>
  <c r="T87" i="2"/>
  <c r="S87" i="2"/>
  <c r="P87" i="2"/>
  <c r="O87" i="2"/>
  <c r="L87" i="2"/>
  <c r="K87" i="2"/>
  <c r="H87" i="2"/>
  <c r="G87" i="2"/>
  <c r="D87" i="2"/>
  <c r="C87" i="2"/>
  <c r="V86" i="2"/>
  <c r="U86" i="2"/>
  <c r="R86" i="2"/>
  <c r="Q86" i="2"/>
  <c r="N86" i="2"/>
  <c r="M86" i="2"/>
  <c r="J86" i="2"/>
  <c r="I86" i="2"/>
  <c r="F86" i="2"/>
  <c r="E86" i="2"/>
  <c r="B86" i="2"/>
  <c r="W85" i="2"/>
  <c r="T85" i="2"/>
  <c r="S85" i="2"/>
  <c r="P85" i="2"/>
  <c r="O85" i="2"/>
  <c r="L85" i="2"/>
  <c r="K85" i="2"/>
  <c r="H85" i="2"/>
  <c r="G85" i="2"/>
  <c r="D85" i="2"/>
  <c r="C85" i="2"/>
  <c r="B85" i="2" a="1"/>
  <c r="W88" i="2" s="1"/>
  <c r="B75" i="2" a="1"/>
  <c r="T83" i="2" s="1"/>
  <c r="AS33" i="2"/>
  <c r="AS32" i="2"/>
  <c r="AS29" i="2"/>
  <c r="AS28" i="2"/>
  <c r="AS27" i="2" a="1"/>
  <c r="AS30" i="2" s="1"/>
  <c r="AQ33" i="2"/>
  <c r="AQ32" i="2"/>
  <c r="AQ30" i="2"/>
  <c r="AQ29" i="2"/>
  <c r="AQ28" i="2"/>
  <c r="AQ27" i="2" a="1"/>
  <c r="AQ31" i="2" s="1"/>
  <c r="AQ27" i="2"/>
  <c r="AR27" i="2" s="1"/>
  <c r="AP33" i="2"/>
  <c r="AP32" i="2"/>
  <c r="AP30" i="2"/>
  <c r="AP29" i="2"/>
  <c r="AP28" i="2"/>
  <c r="AP27" i="2" a="1"/>
  <c r="AP31" i="2" s="1"/>
  <c r="AP27" i="2"/>
  <c r="AN33" i="2"/>
  <c r="AN32" i="2"/>
  <c r="AN30" i="2"/>
  <c r="AN29" i="2"/>
  <c r="AN28" i="2"/>
  <c r="AN27" i="2" a="1"/>
  <c r="AN31" i="2" s="1"/>
  <c r="AN27" i="2"/>
  <c r="AL33" i="2"/>
  <c r="AL32" i="2"/>
  <c r="AL30" i="2"/>
  <c r="AL29" i="2"/>
  <c r="AL28" i="2"/>
  <c r="AL27" i="2" a="1"/>
  <c r="AL31" i="2" s="1"/>
  <c r="AL27" i="2"/>
  <c r="V26" i="2"/>
  <c r="O26" i="2"/>
  <c r="K26" i="2"/>
  <c r="J26" i="2"/>
  <c r="F26" i="2"/>
  <c r="U24" i="2"/>
  <c r="T24" i="2"/>
  <c r="P24" i="2"/>
  <c r="L24" i="2"/>
  <c r="H24" i="2"/>
  <c r="E24" i="2"/>
  <c r="D24" i="2"/>
  <c r="C24" i="2"/>
  <c r="AS24" i="2"/>
  <c r="AS21" i="2" a="1"/>
  <c r="AS22" i="2" s="1"/>
  <c r="AS21" i="2"/>
  <c r="AQ24" i="2"/>
  <c r="AQ23" i="2"/>
  <c r="AQ22" i="2"/>
  <c r="AQ21" i="2" a="1"/>
  <c r="AQ25" i="2" s="1"/>
  <c r="AQ21" i="2"/>
  <c r="AP21" i="2" a="1"/>
  <c r="AP23" i="2" s="1"/>
  <c r="AN24" i="2"/>
  <c r="AN23" i="2"/>
  <c r="AN22" i="2"/>
  <c r="AN21" i="2" a="1"/>
  <c r="AN25" i="2" s="1"/>
  <c r="AN21" i="2"/>
  <c r="AL21" i="2" a="1"/>
  <c r="AL23" i="2" s="1"/>
  <c r="AH36" i="2"/>
  <c r="AH35" i="2"/>
  <c r="AH34" i="2"/>
  <c r="AH32" i="2"/>
  <c r="AH31" i="2"/>
  <c r="AH30" i="2"/>
  <c r="AH28" i="2"/>
  <c r="AH27" i="2"/>
  <c r="AH26" i="2"/>
  <c r="AH24" i="2"/>
  <c r="AH23" i="2"/>
  <c r="AH22" i="2"/>
  <c r="AH21" i="2" a="1"/>
  <c r="AH33" i="2" s="1"/>
  <c r="AH21" i="2"/>
  <c r="AF21" i="2" a="1"/>
  <c r="AF35" i="2" s="1"/>
  <c r="AE35" i="2"/>
  <c r="AE34" i="2"/>
  <c r="AE31" i="2"/>
  <c r="AE30" i="2"/>
  <c r="AE27" i="2"/>
  <c r="AE26" i="2"/>
  <c r="AE23" i="2"/>
  <c r="AE22" i="2"/>
  <c r="AE21" i="2" a="1"/>
  <c r="AE36" i="2" s="1"/>
  <c r="AC36" i="2"/>
  <c r="AC35" i="2"/>
  <c r="AC34" i="2"/>
  <c r="AC32" i="2"/>
  <c r="AC31" i="2"/>
  <c r="AC30" i="2"/>
  <c r="AC28" i="2"/>
  <c r="AC27" i="2"/>
  <c r="AC26" i="2"/>
  <c r="AC24" i="2"/>
  <c r="AC23" i="2"/>
  <c r="AC22" i="2"/>
  <c r="AC21" i="2" a="1"/>
  <c r="AC33" i="2" s="1"/>
  <c r="AC21" i="2"/>
  <c r="AA36" i="2"/>
  <c r="AA32" i="2"/>
  <c r="AA28" i="2"/>
  <c r="AA24" i="2"/>
  <c r="AA21" i="2" a="1"/>
  <c r="AA34" i="2" s="1"/>
  <c r="AA21" i="2"/>
  <c r="AT18" i="2"/>
  <c r="AR18" i="2"/>
  <c r="AP18" i="2" a="1"/>
  <c r="AP18" i="2" s="1"/>
  <c r="AN18" i="2" a="1"/>
  <c r="AN18" i="2"/>
  <c r="AL18" i="2" a="1"/>
  <c r="AL18" i="2" s="1"/>
  <c r="J18" i="2"/>
  <c r="E18" i="2"/>
  <c r="AS15" i="2" a="1"/>
  <c r="AS16" i="2" s="1"/>
  <c r="AQ15" i="2" a="1"/>
  <c r="AQ15" i="2" s="1"/>
  <c r="AP15" i="2" a="1"/>
  <c r="AP16" i="2" s="1"/>
  <c r="AP15" i="2"/>
  <c r="AN16" i="2"/>
  <c r="AN15" i="2" a="1"/>
  <c r="AN15" i="2"/>
  <c r="AL16" i="2"/>
  <c r="AL15" i="2" a="1"/>
  <c r="AL15" i="2" s="1"/>
  <c r="U12" i="2"/>
  <c r="T12" i="2"/>
  <c r="Q12" i="2"/>
  <c r="M12" i="2"/>
  <c r="I12" i="2"/>
  <c r="AS12" i="2"/>
  <c r="AS11" i="2"/>
  <c r="AS10" i="2" a="1"/>
  <c r="AS10" i="2" s="1"/>
  <c r="AT10" i="2" s="1"/>
  <c r="AQ12" i="2"/>
  <c r="AQ11" i="2"/>
  <c r="AQ10" i="2" a="1"/>
  <c r="AQ10" i="2"/>
  <c r="AR10" i="2" s="1"/>
  <c r="AL12" i="2"/>
  <c r="AL11" i="2"/>
  <c r="AL10" i="2" a="1"/>
  <c r="AL10" i="2"/>
  <c r="AH16" i="2"/>
  <c r="AH15" i="2"/>
  <c r="AH12" i="2"/>
  <c r="AH11" i="2"/>
  <c r="AH10" i="2" a="1"/>
  <c r="AH17" i="2" s="1"/>
  <c r="AF10" i="2" a="1"/>
  <c r="AF16" i="2" s="1"/>
  <c r="AE17" i="2"/>
  <c r="AE16" i="2"/>
  <c r="AE15" i="2"/>
  <c r="AE13" i="2"/>
  <c r="AE12" i="2"/>
  <c r="AE11" i="2"/>
  <c r="AE10" i="2" a="1"/>
  <c r="AE18" i="2" s="1"/>
  <c r="AE10" i="2"/>
  <c r="AC10" i="2" a="1"/>
  <c r="AC16" i="2" s="1"/>
  <c r="AA17" i="2"/>
  <c r="AA16" i="2"/>
  <c r="AA15" i="2"/>
  <c r="AA13" i="2"/>
  <c r="AA12" i="2"/>
  <c r="AA11" i="2"/>
  <c r="AA10" i="2" a="1"/>
  <c r="AA18" i="2" s="1"/>
  <c r="AA10" i="2"/>
  <c r="AR21" i="2" l="1"/>
  <c r="AC14" i="2"/>
  <c r="AC18" i="2"/>
  <c r="AF14" i="2"/>
  <c r="AF33" i="2"/>
  <c r="AC11" i="2"/>
  <c r="AF11" i="2"/>
  <c r="AQ16" i="2"/>
  <c r="AR15" i="2" s="1"/>
  <c r="AA29" i="2"/>
  <c r="AA33" i="2"/>
  <c r="AC10" i="2"/>
  <c r="AC13" i="2"/>
  <c r="AC17" i="2"/>
  <c r="AF10" i="2"/>
  <c r="AF13" i="2"/>
  <c r="AF17" i="2"/>
  <c r="AH14" i="2"/>
  <c r="AH18" i="2"/>
  <c r="AS15" i="2"/>
  <c r="AT15" i="2" s="1"/>
  <c r="AA23" i="2"/>
  <c r="AA27" i="2"/>
  <c r="AA31" i="2"/>
  <c r="AA35" i="2"/>
  <c r="AE25" i="2"/>
  <c r="AE29" i="2"/>
  <c r="AE33" i="2"/>
  <c r="AF21" i="2"/>
  <c r="AF24" i="2"/>
  <c r="AF28" i="2"/>
  <c r="AF32" i="2"/>
  <c r="AF36" i="2"/>
  <c r="AL21" i="2"/>
  <c r="AL24" i="2"/>
  <c r="AP21" i="2"/>
  <c r="AP24" i="2"/>
  <c r="AS23" i="2"/>
  <c r="AT21" i="2" s="1"/>
  <c r="AS31" i="2"/>
  <c r="B75" i="2"/>
  <c r="E75" i="2"/>
  <c r="I75" i="2"/>
  <c r="M75" i="2"/>
  <c r="Q75" i="2"/>
  <c r="U75" i="2"/>
  <c r="C76" i="2"/>
  <c r="G76" i="2"/>
  <c r="K76" i="2"/>
  <c r="O76" i="2"/>
  <c r="S76" i="2"/>
  <c r="W76" i="2"/>
  <c r="E77" i="2"/>
  <c r="I77" i="2"/>
  <c r="M77" i="2"/>
  <c r="Q77" i="2"/>
  <c r="U77" i="2"/>
  <c r="C78" i="2"/>
  <c r="G78" i="2"/>
  <c r="K78" i="2"/>
  <c r="O78" i="2"/>
  <c r="S78" i="2"/>
  <c r="W78" i="2"/>
  <c r="E79" i="2"/>
  <c r="I79" i="2"/>
  <c r="M79" i="2"/>
  <c r="Q79" i="2"/>
  <c r="U79" i="2"/>
  <c r="C80" i="2"/>
  <c r="G80" i="2"/>
  <c r="K80" i="2"/>
  <c r="O80" i="2"/>
  <c r="S80" i="2"/>
  <c r="W80" i="2"/>
  <c r="E81" i="2"/>
  <c r="I81" i="2"/>
  <c r="M81" i="2"/>
  <c r="Q81" i="2"/>
  <c r="U81" i="2"/>
  <c r="C82" i="2"/>
  <c r="G82" i="2"/>
  <c r="K82" i="2"/>
  <c r="O82" i="2"/>
  <c r="S82" i="2"/>
  <c r="W82" i="2"/>
  <c r="E83" i="2"/>
  <c r="I83" i="2"/>
  <c r="M83" i="2"/>
  <c r="Q83" i="2"/>
  <c r="U83" i="2"/>
  <c r="F85" i="2"/>
  <c r="J85" i="2"/>
  <c r="N85" i="2"/>
  <c r="R85" i="2"/>
  <c r="V85" i="2"/>
  <c r="D86" i="2"/>
  <c r="H86" i="2"/>
  <c r="L86" i="2"/>
  <c r="P86" i="2"/>
  <c r="T86" i="2"/>
  <c r="B87" i="2"/>
  <c r="F87" i="2"/>
  <c r="J87" i="2"/>
  <c r="N87" i="2"/>
  <c r="R87" i="2"/>
  <c r="V87" i="2"/>
  <c r="D88" i="2"/>
  <c r="H88" i="2"/>
  <c r="L88" i="2"/>
  <c r="P88" i="2"/>
  <c r="T88" i="2"/>
  <c r="B90" i="2"/>
  <c r="E90" i="2"/>
  <c r="I90" i="2"/>
  <c r="M90" i="2"/>
  <c r="Q90" i="2"/>
  <c r="U90" i="2"/>
  <c r="C91" i="2"/>
  <c r="G91" i="2"/>
  <c r="K91" i="2"/>
  <c r="O91" i="2"/>
  <c r="S91" i="2"/>
  <c r="W91" i="2"/>
  <c r="D93" i="2"/>
  <c r="H93" i="2"/>
  <c r="L93" i="2"/>
  <c r="P93" i="2"/>
  <c r="T93" i="2"/>
  <c r="B96" i="2"/>
  <c r="E96" i="2"/>
  <c r="I96" i="2"/>
  <c r="M96" i="2"/>
  <c r="Q96" i="2"/>
  <c r="U96" i="2"/>
  <c r="C97" i="2"/>
  <c r="G97" i="2"/>
  <c r="K97" i="2"/>
  <c r="O97" i="2"/>
  <c r="S97" i="2"/>
  <c r="W97" i="2"/>
  <c r="E98" i="2"/>
  <c r="I98" i="2"/>
  <c r="M98" i="2"/>
  <c r="Q98" i="2"/>
  <c r="U98" i="2"/>
  <c r="C99" i="2"/>
  <c r="G99" i="2"/>
  <c r="K99" i="2"/>
  <c r="O99" i="2"/>
  <c r="S99" i="2"/>
  <c r="W99" i="2"/>
  <c r="E100" i="2"/>
  <c r="I100" i="2"/>
  <c r="M100" i="2"/>
  <c r="Q100" i="2"/>
  <c r="U100" i="2"/>
  <c r="C101" i="2"/>
  <c r="G101" i="2"/>
  <c r="K101" i="2"/>
  <c r="O101" i="2"/>
  <c r="S101" i="2"/>
  <c r="W101" i="2"/>
  <c r="E102" i="2"/>
  <c r="I102" i="2"/>
  <c r="M102" i="2"/>
  <c r="Q102" i="2"/>
  <c r="U102" i="2"/>
  <c r="C103" i="2"/>
  <c r="G103" i="2"/>
  <c r="K103" i="2"/>
  <c r="O103" i="2"/>
  <c r="S103" i="2"/>
  <c r="W103" i="2"/>
  <c r="E104" i="2"/>
  <c r="I104" i="2"/>
  <c r="M104" i="2"/>
  <c r="Q104" i="2"/>
  <c r="U104" i="2"/>
  <c r="C105" i="2"/>
  <c r="G105" i="2"/>
  <c r="K105" i="2"/>
  <c r="O105" i="2"/>
  <c r="S105" i="2"/>
  <c r="W105" i="2"/>
  <c r="E106" i="2"/>
  <c r="I106" i="2"/>
  <c r="M106" i="2"/>
  <c r="Q106" i="2"/>
  <c r="U106" i="2"/>
  <c r="C107" i="2"/>
  <c r="G107" i="2"/>
  <c r="K107" i="2"/>
  <c r="O107" i="2"/>
  <c r="S107" i="2"/>
  <c r="W107" i="2"/>
  <c r="E108" i="2"/>
  <c r="I108" i="2"/>
  <c r="M108" i="2"/>
  <c r="Q108" i="2"/>
  <c r="U108" i="2"/>
  <c r="C109" i="2"/>
  <c r="G109" i="2"/>
  <c r="K109" i="2"/>
  <c r="O109" i="2"/>
  <c r="S109" i="2"/>
  <c r="W109" i="2"/>
  <c r="E110" i="2"/>
  <c r="I110" i="2"/>
  <c r="M110" i="2"/>
  <c r="Q110" i="2"/>
  <c r="U110" i="2"/>
  <c r="C111" i="2"/>
  <c r="G111" i="2"/>
  <c r="K111" i="2"/>
  <c r="O111" i="2"/>
  <c r="S111" i="2"/>
  <c r="W111" i="2"/>
  <c r="E119" i="2"/>
  <c r="J119" i="2"/>
  <c r="P119" i="2"/>
  <c r="U119" i="2"/>
  <c r="D120" i="2"/>
  <c r="J120" i="2"/>
  <c r="O120" i="2"/>
  <c r="T120" i="2"/>
  <c r="D121" i="2"/>
  <c r="I121" i="2"/>
  <c r="N121" i="2"/>
  <c r="T121" i="2"/>
  <c r="C122" i="2"/>
  <c r="H122" i="2"/>
  <c r="N122" i="2"/>
  <c r="S122" i="2"/>
  <c r="B123" i="2"/>
  <c r="H123" i="2"/>
  <c r="M123" i="2"/>
  <c r="R123" i="2"/>
  <c r="B124" i="2"/>
  <c r="G124" i="2"/>
  <c r="L124" i="2"/>
  <c r="R124" i="2"/>
  <c r="W124" i="2"/>
  <c r="F125" i="2"/>
  <c r="L125" i="2"/>
  <c r="Q125" i="2"/>
  <c r="V125" i="2"/>
  <c r="E128" i="2"/>
  <c r="J128" i="2"/>
  <c r="O128" i="2"/>
  <c r="U128" i="2"/>
  <c r="D129" i="2"/>
  <c r="I129" i="2"/>
  <c r="O129" i="2"/>
  <c r="T129" i="2"/>
  <c r="C130" i="2"/>
  <c r="I130" i="2"/>
  <c r="N130" i="2"/>
  <c r="S130" i="2"/>
  <c r="C131" i="2"/>
  <c r="H131" i="2"/>
  <c r="M131" i="2"/>
  <c r="S131" i="2"/>
  <c r="B132" i="2"/>
  <c r="G132" i="2"/>
  <c r="M132" i="2"/>
  <c r="R132" i="2"/>
  <c r="W132" i="2"/>
  <c r="G133" i="2"/>
  <c r="L133" i="2"/>
  <c r="Q133" i="2"/>
  <c r="W133" i="2"/>
  <c r="F134" i="2"/>
  <c r="K134" i="2"/>
  <c r="Q134" i="2"/>
  <c r="V134" i="2"/>
  <c r="D136" i="2"/>
  <c r="J136" i="2"/>
  <c r="O136" i="2"/>
  <c r="T136" i="2"/>
  <c r="D137" i="2"/>
  <c r="I137" i="2"/>
  <c r="N137" i="2"/>
  <c r="T137" i="2"/>
  <c r="C138" i="2"/>
  <c r="H138" i="2"/>
  <c r="N138" i="2"/>
  <c r="S138" i="2"/>
  <c r="B139" i="2"/>
  <c r="H139" i="2"/>
  <c r="M139" i="2"/>
  <c r="R139" i="2"/>
  <c r="B140" i="2"/>
  <c r="G140" i="2"/>
  <c r="L140" i="2"/>
  <c r="R140" i="2"/>
  <c r="W140" i="2"/>
  <c r="F141" i="2"/>
  <c r="L141" i="2"/>
  <c r="Q141" i="2"/>
  <c r="V141" i="2"/>
  <c r="F142" i="2"/>
  <c r="K142" i="2"/>
  <c r="P142" i="2"/>
  <c r="V142" i="2"/>
  <c r="E143" i="2"/>
  <c r="J143" i="2"/>
  <c r="P143" i="2"/>
  <c r="U143" i="2"/>
  <c r="D144" i="2"/>
  <c r="J144" i="2"/>
  <c r="O144" i="2"/>
  <c r="T144" i="2"/>
  <c r="W147" i="2"/>
  <c r="S147" i="2"/>
  <c r="O147" i="2"/>
  <c r="K147" i="2"/>
  <c r="G147" i="2"/>
  <c r="C147" i="2"/>
  <c r="U146" i="2"/>
  <c r="Q146" i="2"/>
  <c r="M146" i="2"/>
  <c r="I146" i="2"/>
  <c r="E146" i="2"/>
  <c r="B146" i="2"/>
  <c r="V147" i="2"/>
  <c r="R147" i="2"/>
  <c r="N147" i="2"/>
  <c r="J147" i="2"/>
  <c r="F147" i="2"/>
  <c r="B147" i="2"/>
  <c r="T146" i="2"/>
  <c r="G146" i="2"/>
  <c r="L146" i="2"/>
  <c r="R146" i="2"/>
  <c r="D147" i="2"/>
  <c r="L147" i="2"/>
  <c r="T147" i="2"/>
  <c r="W162" i="2"/>
  <c r="S162" i="2"/>
  <c r="O162" i="2"/>
  <c r="K162" i="2"/>
  <c r="G162" i="2"/>
  <c r="C162" i="2"/>
  <c r="U161" i="2"/>
  <c r="Q161" i="2"/>
  <c r="M161" i="2"/>
  <c r="I161" i="2"/>
  <c r="E161" i="2"/>
  <c r="W160" i="2"/>
  <c r="S160" i="2"/>
  <c r="O160" i="2"/>
  <c r="K160" i="2"/>
  <c r="G160" i="2"/>
  <c r="C160" i="2"/>
  <c r="U159" i="2"/>
  <c r="Q159" i="2"/>
  <c r="M159" i="2"/>
  <c r="I159" i="2"/>
  <c r="E159" i="2"/>
  <c r="B159" i="2"/>
  <c r="V162" i="2"/>
  <c r="R162" i="2"/>
  <c r="N162" i="2"/>
  <c r="J162" i="2"/>
  <c r="F162" i="2"/>
  <c r="B162" i="2"/>
  <c r="T161" i="2"/>
  <c r="P161" i="2"/>
  <c r="L161" i="2"/>
  <c r="H161" i="2"/>
  <c r="D161" i="2"/>
  <c r="V160" i="2"/>
  <c r="R160" i="2"/>
  <c r="N160" i="2"/>
  <c r="J160" i="2"/>
  <c r="F160" i="2"/>
  <c r="B160" i="2"/>
  <c r="T159" i="2"/>
  <c r="P159" i="2"/>
  <c r="L159" i="2"/>
  <c r="H159" i="2"/>
  <c r="D159" i="2"/>
  <c r="J159" i="2"/>
  <c r="R159" i="2"/>
  <c r="D160" i="2"/>
  <c r="L160" i="2"/>
  <c r="T160" i="2"/>
  <c r="F161" i="2"/>
  <c r="N161" i="2"/>
  <c r="V161" i="2"/>
  <c r="H162" i="2"/>
  <c r="P162" i="2"/>
  <c r="J195" i="2"/>
  <c r="D196" i="2"/>
  <c r="T196" i="2"/>
  <c r="J206" i="2"/>
  <c r="D207" i="2"/>
  <c r="T207" i="2"/>
  <c r="N208" i="2"/>
  <c r="H209" i="2"/>
  <c r="B210" i="2"/>
  <c r="R210" i="2"/>
  <c r="L211" i="2"/>
  <c r="F212" i="2"/>
  <c r="V212" i="2"/>
  <c r="AP25" i="2"/>
  <c r="F75" i="2"/>
  <c r="J75" i="2"/>
  <c r="N75" i="2"/>
  <c r="R75" i="2"/>
  <c r="V75" i="2"/>
  <c r="D76" i="2"/>
  <c r="H76" i="2"/>
  <c r="L76" i="2"/>
  <c r="P76" i="2"/>
  <c r="T76" i="2"/>
  <c r="B77" i="2"/>
  <c r="F77" i="2"/>
  <c r="J77" i="2"/>
  <c r="N77" i="2"/>
  <c r="R77" i="2"/>
  <c r="V77" i="2"/>
  <c r="D78" i="2"/>
  <c r="H78" i="2"/>
  <c r="L78" i="2"/>
  <c r="P78" i="2"/>
  <c r="T78" i="2"/>
  <c r="B79" i="2"/>
  <c r="F79" i="2"/>
  <c r="J79" i="2"/>
  <c r="N79" i="2"/>
  <c r="R79" i="2"/>
  <c r="V79" i="2"/>
  <c r="D80" i="2"/>
  <c r="H80" i="2"/>
  <c r="L80" i="2"/>
  <c r="P80" i="2"/>
  <c r="T80" i="2"/>
  <c r="B81" i="2"/>
  <c r="F81" i="2"/>
  <c r="J81" i="2"/>
  <c r="N81" i="2"/>
  <c r="R81" i="2"/>
  <c r="V81" i="2"/>
  <c r="D82" i="2"/>
  <c r="H82" i="2"/>
  <c r="L82" i="2"/>
  <c r="P82" i="2"/>
  <c r="T82" i="2"/>
  <c r="B83" i="2"/>
  <c r="F83" i="2"/>
  <c r="J83" i="2"/>
  <c r="N83" i="2"/>
  <c r="R83" i="2"/>
  <c r="V83" i="2"/>
  <c r="F90" i="2"/>
  <c r="J90" i="2"/>
  <c r="N90" i="2"/>
  <c r="R90" i="2"/>
  <c r="V90" i="2"/>
  <c r="D91" i="2"/>
  <c r="H91" i="2"/>
  <c r="L91" i="2"/>
  <c r="P91" i="2"/>
  <c r="T91" i="2"/>
  <c r="B93" i="2"/>
  <c r="E93" i="2"/>
  <c r="I93" i="2"/>
  <c r="M93" i="2"/>
  <c r="Q93" i="2"/>
  <c r="U93" i="2"/>
  <c r="F96" i="2"/>
  <c r="J96" i="2"/>
  <c r="N96" i="2"/>
  <c r="R96" i="2"/>
  <c r="V96" i="2"/>
  <c r="D97" i="2"/>
  <c r="H97" i="2"/>
  <c r="L97" i="2"/>
  <c r="P97" i="2"/>
  <c r="T97" i="2"/>
  <c r="B98" i="2"/>
  <c r="F98" i="2"/>
  <c r="J98" i="2"/>
  <c r="N98" i="2"/>
  <c r="R98" i="2"/>
  <c r="V98" i="2"/>
  <c r="D99" i="2"/>
  <c r="H99" i="2"/>
  <c r="L99" i="2"/>
  <c r="P99" i="2"/>
  <c r="T99" i="2"/>
  <c r="B100" i="2"/>
  <c r="F100" i="2"/>
  <c r="J100" i="2"/>
  <c r="N100" i="2"/>
  <c r="R100" i="2"/>
  <c r="V100" i="2"/>
  <c r="D101" i="2"/>
  <c r="H101" i="2"/>
  <c r="L101" i="2"/>
  <c r="P101" i="2"/>
  <c r="T101" i="2"/>
  <c r="B102" i="2"/>
  <c r="F102" i="2"/>
  <c r="J102" i="2"/>
  <c r="N102" i="2"/>
  <c r="R102" i="2"/>
  <c r="V102" i="2"/>
  <c r="D103" i="2"/>
  <c r="H103" i="2"/>
  <c r="L103" i="2"/>
  <c r="P103" i="2"/>
  <c r="T103" i="2"/>
  <c r="B104" i="2"/>
  <c r="F104" i="2"/>
  <c r="J104" i="2"/>
  <c r="N104" i="2"/>
  <c r="R104" i="2"/>
  <c r="V104" i="2"/>
  <c r="D105" i="2"/>
  <c r="H105" i="2"/>
  <c r="L105" i="2"/>
  <c r="P105" i="2"/>
  <c r="T105" i="2"/>
  <c r="B106" i="2"/>
  <c r="F106" i="2"/>
  <c r="J106" i="2"/>
  <c r="N106" i="2"/>
  <c r="R106" i="2"/>
  <c r="V106" i="2"/>
  <c r="D107" i="2"/>
  <c r="H107" i="2"/>
  <c r="L107" i="2"/>
  <c r="P107" i="2"/>
  <c r="T107" i="2"/>
  <c r="B108" i="2"/>
  <c r="F108" i="2"/>
  <c r="J108" i="2"/>
  <c r="N108" i="2"/>
  <c r="R108" i="2"/>
  <c r="V108" i="2"/>
  <c r="D109" i="2"/>
  <c r="H109" i="2"/>
  <c r="L109" i="2"/>
  <c r="P109" i="2"/>
  <c r="T109" i="2"/>
  <c r="B110" i="2"/>
  <c r="F110" i="2"/>
  <c r="J110" i="2"/>
  <c r="N110" i="2"/>
  <c r="R110" i="2"/>
  <c r="V110" i="2"/>
  <c r="D111" i="2"/>
  <c r="H111" i="2"/>
  <c r="L111" i="2"/>
  <c r="P111" i="2"/>
  <c r="T111" i="2"/>
  <c r="B119" i="2"/>
  <c r="F119" i="2"/>
  <c r="L119" i="2"/>
  <c r="Q119" i="2"/>
  <c r="V119" i="2"/>
  <c r="F120" i="2"/>
  <c r="K120" i="2"/>
  <c r="P120" i="2"/>
  <c r="V120" i="2"/>
  <c r="E121" i="2"/>
  <c r="J121" i="2"/>
  <c r="P121" i="2"/>
  <c r="U121" i="2"/>
  <c r="D122" i="2"/>
  <c r="J122" i="2"/>
  <c r="O122" i="2"/>
  <c r="T122" i="2"/>
  <c r="D123" i="2"/>
  <c r="I123" i="2"/>
  <c r="N123" i="2"/>
  <c r="T123" i="2"/>
  <c r="C124" i="2"/>
  <c r="H124" i="2"/>
  <c r="N124" i="2"/>
  <c r="S124" i="2"/>
  <c r="B125" i="2"/>
  <c r="H125" i="2"/>
  <c r="M125" i="2"/>
  <c r="B128" i="2"/>
  <c r="F128" i="2"/>
  <c r="K128" i="2"/>
  <c r="Q128" i="2"/>
  <c r="V128" i="2"/>
  <c r="E129" i="2"/>
  <c r="K129" i="2"/>
  <c r="P129" i="2"/>
  <c r="U129" i="2"/>
  <c r="E130" i="2"/>
  <c r="J130" i="2"/>
  <c r="O130" i="2"/>
  <c r="U130" i="2"/>
  <c r="D131" i="2"/>
  <c r="I131" i="2"/>
  <c r="O131" i="2"/>
  <c r="T131" i="2"/>
  <c r="C132" i="2"/>
  <c r="I132" i="2"/>
  <c r="N132" i="2"/>
  <c r="S132" i="2"/>
  <c r="C133" i="2"/>
  <c r="H133" i="2"/>
  <c r="M133" i="2"/>
  <c r="S133" i="2"/>
  <c r="B134" i="2"/>
  <c r="G134" i="2"/>
  <c r="M134" i="2"/>
  <c r="R134" i="2"/>
  <c r="F136" i="2"/>
  <c r="K136" i="2"/>
  <c r="P136" i="2"/>
  <c r="V136" i="2"/>
  <c r="E137" i="2"/>
  <c r="J137" i="2"/>
  <c r="P137" i="2"/>
  <c r="U137" i="2"/>
  <c r="D138" i="2"/>
  <c r="J138" i="2"/>
  <c r="O138" i="2"/>
  <c r="T138" i="2"/>
  <c r="D139" i="2"/>
  <c r="I139" i="2"/>
  <c r="N139" i="2"/>
  <c r="T139" i="2"/>
  <c r="C140" i="2"/>
  <c r="H140" i="2"/>
  <c r="N140" i="2"/>
  <c r="S140" i="2"/>
  <c r="B141" i="2"/>
  <c r="H141" i="2"/>
  <c r="M141" i="2"/>
  <c r="R141" i="2"/>
  <c r="B142" i="2"/>
  <c r="G142" i="2"/>
  <c r="L142" i="2"/>
  <c r="R142" i="2"/>
  <c r="W142" i="2"/>
  <c r="F143" i="2"/>
  <c r="L143" i="2"/>
  <c r="Q143" i="2"/>
  <c r="V143" i="2"/>
  <c r="F144" i="2"/>
  <c r="K144" i="2"/>
  <c r="P144" i="2"/>
  <c r="C146" i="2"/>
  <c r="H146" i="2"/>
  <c r="N146" i="2"/>
  <c r="S146" i="2"/>
  <c r="E147" i="2"/>
  <c r="M147" i="2"/>
  <c r="U147" i="2"/>
  <c r="C159" i="2"/>
  <c r="K159" i="2"/>
  <c r="S159" i="2"/>
  <c r="E160" i="2"/>
  <c r="M160" i="2"/>
  <c r="U160" i="2"/>
  <c r="G161" i="2"/>
  <c r="O161" i="2"/>
  <c r="W161" i="2"/>
  <c r="I162" i="2"/>
  <c r="Q162" i="2"/>
  <c r="T163" i="2"/>
  <c r="P163" i="2"/>
  <c r="L163" i="2"/>
  <c r="H163" i="2"/>
  <c r="D163" i="2"/>
  <c r="W163" i="2"/>
  <c r="S163" i="2"/>
  <c r="O163" i="2"/>
  <c r="K163" i="2"/>
  <c r="G163" i="2"/>
  <c r="C163" i="2"/>
  <c r="J163" i="2"/>
  <c r="R163" i="2"/>
  <c r="N195" i="2"/>
  <c r="N206" i="2"/>
  <c r="H207" i="2"/>
  <c r="B208" i="2"/>
  <c r="R208" i="2"/>
  <c r="L209" i="2"/>
  <c r="F210" i="2"/>
  <c r="V210" i="2"/>
  <c r="P211" i="2"/>
  <c r="AA25" i="2"/>
  <c r="AF22" i="2"/>
  <c r="AF26" i="2"/>
  <c r="AF30" i="2"/>
  <c r="AF34" i="2"/>
  <c r="AL22" i="2"/>
  <c r="AP22" i="2"/>
  <c r="AS25" i="2"/>
  <c r="C75" i="2"/>
  <c r="G75" i="2"/>
  <c r="K75" i="2"/>
  <c r="O75" i="2"/>
  <c r="S75" i="2"/>
  <c r="W75" i="2"/>
  <c r="E76" i="2"/>
  <c r="I76" i="2"/>
  <c r="M76" i="2"/>
  <c r="Q76" i="2"/>
  <c r="U76" i="2"/>
  <c r="C77" i="2"/>
  <c r="G77" i="2"/>
  <c r="K77" i="2"/>
  <c r="O77" i="2"/>
  <c r="S77" i="2"/>
  <c r="W77" i="2"/>
  <c r="E78" i="2"/>
  <c r="I78" i="2"/>
  <c r="M78" i="2"/>
  <c r="Q78" i="2"/>
  <c r="U78" i="2"/>
  <c r="C79" i="2"/>
  <c r="G79" i="2"/>
  <c r="K79" i="2"/>
  <c r="O79" i="2"/>
  <c r="S79" i="2"/>
  <c r="W79" i="2"/>
  <c r="E80" i="2"/>
  <c r="I80" i="2"/>
  <c r="M80" i="2"/>
  <c r="Q80" i="2"/>
  <c r="U80" i="2"/>
  <c r="C81" i="2"/>
  <c r="G81" i="2"/>
  <c r="K81" i="2"/>
  <c r="O81" i="2"/>
  <c r="S81" i="2"/>
  <c r="W81" i="2"/>
  <c r="E82" i="2"/>
  <c r="I82" i="2"/>
  <c r="M82" i="2"/>
  <c r="Q82" i="2"/>
  <c r="U82" i="2"/>
  <c r="C83" i="2"/>
  <c r="G83" i="2"/>
  <c r="K83" i="2"/>
  <c r="O83" i="2"/>
  <c r="S83" i="2"/>
  <c r="W83" i="2"/>
  <c r="F93" i="2"/>
  <c r="J93" i="2"/>
  <c r="N93" i="2"/>
  <c r="R93" i="2"/>
  <c r="V93" i="2"/>
  <c r="T134" i="2"/>
  <c r="P134" i="2"/>
  <c r="L134" i="2"/>
  <c r="H134" i="2"/>
  <c r="D134" i="2"/>
  <c r="V133" i="2"/>
  <c r="R133" i="2"/>
  <c r="N133" i="2"/>
  <c r="J133" i="2"/>
  <c r="F133" i="2"/>
  <c r="B133" i="2"/>
  <c r="T132" i="2"/>
  <c r="P132" i="2"/>
  <c r="L132" i="2"/>
  <c r="H132" i="2"/>
  <c r="D132" i="2"/>
  <c r="V131" i="2"/>
  <c r="R131" i="2"/>
  <c r="N131" i="2"/>
  <c r="J131" i="2"/>
  <c r="F131" i="2"/>
  <c r="B131" i="2"/>
  <c r="T130" i="2"/>
  <c r="P130" i="2"/>
  <c r="L130" i="2"/>
  <c r="H130" i="2"/>
  <c r="D130" i="2"/>
  <c r="V129" i="2"/>
  <c r="R129" i="2"/>
  <c r="N129" i="2"/>
  <c r="J129" i="2"/>
  <c r="F129" i="2"/>
  <c r="B129" i="2"/>
  <c r="T128" i="2"/>
  <c r="P128" i="2"/>
  <c r="L128" i="2"/>
  <c r="H128" i="2"/>
  <c r="D128" i="2"/>
  <c r="G128" i="2"/>
  <c r="M128" i="2"/>
  <c r="R128" i="2"/>
  <c r="W128" i="2"/>
  <c r="G129" i="2"/>
  <c r="L129" i="2"/>
  <c r="Q129" i="2"/>
  <c r="W129" i="2"/>
  <c r="F130" i="2"/>
  <c r="K130" i="2"/>
  <c r="Q130" i="2"/>
  <c r="V130" i="2"/>
  <c r="E131" i="2"/>
  <c r="K131" i="2"/>
  <c r="P131" i="2"/>
  <c r="U131" i="2"/>
  <c r="E132" i="2"/>
  <c r="J132" i="2"/>
  <c r="O132" i="2"/>
  <c r="U132" i="2"/>
  <c r="D133" i="2"/>
  <c r="I133" i="2"/>
  <c r="O133" i="2"/>
  <c r="T133" i="2"/>
  <c r="C134" i="2"/>
  <c r="I134" i="2"/>
  <c r="N134" i="2"/>
  <c r="S134" i="2"/>
  <c r="U144" i="2"/>
  <c r="Q144" i="2"/>
  <c r="M144" i="2"/>
  <c r="I144" i="2"/>
  <c r="E144" i="2"/>
  <c r="W143" i="2"/>
  <c r="S143" i="2"/>
  <c r="O143" i="2"/>
  <c r="K143" i="2"/>
  <c r="G143" i="2"/>
  <c r="C143" i="2"/>
  <c r="U142" i="2"/>
  <c r="Q142" i="2"/>
  <c r="M142" i="2"/>
  <c r="I142" i="2"/>
  <c r="E142" i="2"/>
  <c r="W141" i="2"/>
  <c r="S141" i="2"/>
  <c r="O141" i="2"/>
  <c r="K141" i="2"/>
  <c r="G141" i="2"/>
  <c r="C141" i="2"/>
  <c r="U140" i="2"/>
  <c r="Q140" i="2"/>
  <c r="M140" i="2"/>
  <c r="I140" i="2"/>
  <c r="E140" i="2"/>
  <c r="W139" i="2"/>
  <c r="S139" i="2"/>
  <c r="O139" i="2"/>
  <c r="K139" i="2"/>
  <c r="G139" i="2"/>
  <c r="C139" i="2"/>
  <c r="U138" i="2"/>
  <c r="Q138" i="2"/>
  <c r="M138" i="2"/>
  <c r="I138" i="2"/>
  <c r="E138" i="2"/>
  <c r="W137" i="2"/>
  <c r="S137" i="2"/>
  <c r="O137" i="2"/>
  <c r="K137" i="2"/>
  <c r="G137" i="2"/>
  <c r="C137" i="2"/>
  <c r="U136" i="2"/>
  <c r="Q136" i="2"/>
  <c r="M136" i="2"/>
  <c r="I136" i="2"/>
  <c r="E136" i="2"/>
  <c r="B136" i="2"/>
  <c r="G136" i="2"/>
  <c r="L136" i="2"/>
  <c r="R136" i="2"/>
  <c r="W136" i="2"/>
  <c r="F137" i="2"/>
  <c r="L137" i="2"/>
  <c r="Q137" i="2"/>
  <c r="V137" i="2"/>
  <c r="F138" i="2"/>
  <c r="K138" i="2"/>
  <c r="P138" i="2"/>
  <c r="V138" i="2"/>
  <c r="E139" i="2"/>
  <c r="J139" i="2"/>
  <c r="P139" i="2"/>
  <c r="U139" i="2"/>
  <c r="D140" i="2"/>
  <c r="J140" i="2"/>
  <c r="O140" i="2"/>
  <c r="T140" i="2"/>
  <c r="D141" i="2"/>
  <c r="I141" i="2"/>
  <c r="N141" i="2"/>
  <c r="T141" i="2"/>
  <c r="C142" i="2"/>
  <c r="H142" i="2"/>
  <c r="N142" i="2"/>
  <c r="S142" i="2"/>
  <c r="B143" i="2"/>
  <c r="H143" i="2"/>
  <c r="M143" i="2"/>
  <c r="R143" i="2"/>
  <c r="B144" i="2"/>
  <c r="G144" i="2"/>
  <c r="L144" i="2"/>
  <c r="R144" i="2"/>
  <c r="W144" i="2"/>
  <c r="D146" i="2"/>
  <c r="J146" i="2"/>
  <c r="O146" i="2"/>
  <c r="V146" i="2"/>
  <c r="H147" i="2"/>
  <c r="P147" i="2"/>
  <c r="F159" i="2"/>
  <c r="N159" i="2"/>
  <c r="V159" i="2"/>
  <c r="H160" i="2"/>
  <c r="P160" i="2"/>
  <c r="B161" i="2"/>
  <c r="J161" i="2"/>
  <c r="R161" i="2"/>
  <c r="D162" i="2"/>
  <c r="L162" i="2"/>
  <c r="T162" i="2"/>
  <c r="W196" i="2"/>
  <c r="S196" i="2"/>
  <c r="O196" i="2"/>
  <c r="K196" i="2"/>
  <c r="G196" i="2"/>
  <c r="C196" i="2"/>
  <c r="U195" i="2"/>
  <c r="Q195" i="2"/>
  <c r="M195" i="2"/>
  <c r="I195" i="2"/>
  <c r="E195" i="2"/>
  <c r="B195" i="2"/>
  <c r="V196" i="2"/>
  <c r="R196" i="2"/>
  <c r="N196" i="2"/>
  <c r="J196" i="2"/>
  <c r="F196" i="2"/>
  <c r="B196" i="2"/>
  <c r="T195" i="2"/>
  <c r="P195" i="2"/>
  <c r="L195" i="2"/>
  <c r="H195" i="2"/>
  <c r="D195" i="2"/>
  <c r="U196" i="2"/>
  <c r="Q196" i="2"/>
  <c r="M196" i="2"/>
  <c r="I196" i="2"/>
  <c r="E196" i="2"/>
  <c r="W195" i="2"/>
  <c r="S195" i="2"/>
  <c r="O195" i="2"/>
  <c r="K195" i="2"/>
  <c r="G195" i="2"/>
  <c r="C195" i="2"/>
  <c r="R195" i="2"/>
  <c r="L196" i="2"/>
  <c r="U212" i="2"/>
  <c r="Q212" i="2"/>
  <c r="M212" i="2"/>
  <c r="I212" i="2"/>
  <c r="E212" i="2"/>
  <c r="W211" i="2"/>
  <c r="S211" i="2"/>
  <c r="O211" i="2"/>
  <c r="K211" i="2"/>
  <c r="G211" i="2"/>
  <c r="C211" i="2"/>
  <c r="U210" i="2"/>
  <c r="Q210" i="2"/>
  <c r="M210" i="2"/>
  <c r="I210" i="2"/>
  <c r="E210" i="2"/>
  <c r="W209" i="2"/>
  <c r="S209" i="2"/>
  <c r="O209" i="2"/>
  <c r="K209" i="2"/>
  <c r="G209" i="2"/>
  <c r="C209" i="2"/>
  <c r="U208" i="2"/>
  <c r="Q208" i="2"/>
  <c r="M208" i="2"/>
  <c r="I208" i="2"/>
  <c r="E208" i="2"/>
  <c r="W207" i="2"/>
  <c r="S207" i="2"/>
  <c r="O207" i="2"/>
  <c r="K207" i="2"/>
  <c r="G207" i="2"/>
  <c r="C207" i="2"/>
  <c r="U206" i="2"/>
  <c r="Q206" i="2"/>
  <c r="M206" i="2"/>
  <c r="I206" i="2"/>
  <c r="E206" i="2"/>
  <c r="B206" i="2"/>
  <c r="T212" i="2"/>
  <c r="P212" i="2"/>
  <c r="L212" i="2"/>
  <c r="H212" i="2"/>
  <c r="D212" i="2"/>
  <c r="V211" i="2"/>
  <c r="R211" i="2"/>
  <c r="N211" i="2"/>
  <c r="J211" i="2"/>
  <c r="F211" i="2"/>
  <c r="B211" i="2"/>
  <c r="T210" i="2"/>
  <c r="P210" i="2"/>
  <c r="L210" i="2"/>
  <c r="H210" i="2"/>
  <c r="D210" i="2"/>
  <c r="V209" i="2"/>
  <c r="R209" i="2"/>
  <c r="N209" i="2"/>
  <c r="J209" i="2"/>
  <c r="F209" i="2"/>
  <c r="B209" i="2"/>
  <c r="T208" i="2"/>
  <c r="P208" i="2"/>
  <c r="L208" i="2"/>
  <c r="H208" i="2"/>
  <c r="D208" i="2"/>
  <c r="V207" i="2"/>
  <c r="R207" i="2"/>
  <c r="N207" i="2"/>
  <c r="J207" i="2"/>
  <c r="F207" i="2"/>
  <c r="B207" i="2"/>
  <c r="T206" i="2"/>
  <c r="P206" i="2"/>
  <c r="L206" i="2"/>
  <c r="H206" i="2"/>
  <c r="D206" i="2"/>
  <c r="W212" i="2"/>
  <c r="S212" i="2"/>
  <c r="O212" i="2"/>
  <c r="K212" i="2"/>
  <c r="G212" i="2"/>
  <c r="C212" i="2"/>
  <c r="U211" i="2"/>
  <c r="Q211" i="2"/>
  <c r="M211" i="2"/>
  <c r="I211" i="2"/>
  <c r="E211" i="2"/>
  <c r="W210" i="2"/>
  <c r="S210" i="2"/>
  <c r="O210" i="2"/>
  <c r="K210" i="2"/>
  <c r="G210" i="2"/>
  <c r="C210" i="2"/>
  <c r="U209" i="2"/>
  <c r="Q209" i="2"/>
  <c r="M209" i="2"/>
  <c r="I209" i="2"/>
  <c r="E209" i="2"/>
  <c r="W208" i="2"/>
  <c r="S208" i="2"/>
  <c r="O208" i="2"/>
  <c r="K208" i="2"/>
  <c r="G208" i="2"/>
  <c r="C208" i="2"/>
  <c r="U207" i="2"/>
  <c r="Q207" i="2"/>
  <c r="M207" i="2"/>
  <c r="I207" i="2"/>
  <c r="E207" i="2"/>
  <c r="W206" i="2"/>
  <c r="S206" i="2"/>
  <c r="O206" i="2"/>
  <c r="K206" i="2"/>
  <c r="G206" i="2"/>
  <c r="C206" i="2"/>
  <c r="R206" i="2"/>
  <c r="L207" i="2"/>
  <c r="F208" i="2"/>
  <c r="V208" i="2"/>
  <c r="P209" i="2"/>
  <c r="J210" i="2"/>
  <c r="D211" i="2"/>
  <c r="T211" i="2"/>
  <c r="N212" i="2"/>
  <c r="AF18" i="2"/>
  <c r="AF25" i="2"/>
  <c r="AF29" i="2"/>
  <c r="AL25" i="2"/>
  <c r="AC15" i="2"/>
  <c r="AF15" i="2"/>
  <c r="W125" i="2"/>
  <c r="S125" i="2"/>
  <c r="O125" i="2"/>
  <c r="K125" i="2"/>
  <c r="G125" i="2"/>
  <c r="C125" i="2"/>
  <c r="U124" i="2"/>
  <c r="Q124" i="2"/>
  <c r="M124" i="2"/>
  <c r="I124" i="2"/>
  <c r="E124" i="2"/>
  <c r="W123" i="2"/>
  <c r="S123" i="2"/>
  <c r="O123" i="2"/>
  <c r="K123" i="2"/>
  <c r="G123" i="2"/>
  <c r="C123" i="2"/>
  <c r="U122" i="2"/>
  <c r="Q122" i="2"/>
  <c r="M122" i="2"/>
  <c r="I122" i="2"/>
  <c r="E122" i="2"/>
  <c r="W121" i="2"/>
  <c r="S121" i="2"/>
  <c r="O121" i="2"/>
  <c r="K121" i="2"/>
  <c r="G121" i="2"/>
  <c r="C121" i="2"/>
  <c r="U120" i="2"/>
  <c r="Q120" i="2"/>
  <c r="M120" i="2"/>
  <c r="I120" i="2"/>
  <c r="E120" i="2"/>
  <c r="W119" i="2"/>
  <c r="S119" i="2"/>
  <c r="O119" i="2"/>
  <c r="K119" i="2"/>
  <c r="G119" i="2"/>
  <c r="C119" i="2"/>
  <c r="H119" i="2"/>
  <c r="M119" i="2"/>
  <c r="R119" i="2"/>
  <c r="B120" i="2"/>
  <c r="G120" i="2"/>
  <c r="L120" i="2"/>
  <c r="R120" i="2"/>
  <c r="W120" i="2"/>
  <c r="F121" i="2"/>
  <c r="L121" i="2"/>
  <c r="Q121" i="2"/>
  <c r="V121" i="2"/>
  <c r="F122" i="2"/>
  <c r="K122" i="2"/>
  <c r="P122" i="2"/>
  <c r="V122" i="2"/>
  <c r="E123" i="2"/>
  <c r="J123" i="2"/>
  <c r="P123" i="2"/>
  <c r="U123" i="2"/>
  <c r="D124" i="2"/>
  <c r="J124" i="2"/>
  <c r="O124" i="2"/>
  <c r="T124" i="2"/>
  <c r="D125" i="2"/>
  <c r="I125" i="2"/>
  <c r="N125" i="2"/>
  <c r="T125" i="2"/>
  <c r="AA14" i="2"/>
  <c r="AC12" i="2"/>
  <c r="AE14" i="2"/>
  <c r="AF12" i="2"/>
  <c r="AH10" i="2"/>
  <c r="AH13" i="2"/>
  <c r="AA22" i="2"/>
  <c r="AA26" i="2"/>
  <c r="AA30" i="2"/>
  <c r="AC25" i="2"/>
  <c r="AC29" i="2"/>
  <c r="AE21" i="2"/>
  <c r="AE24" i="2"/>
  <c r="AE28" i="2"/>
  <c r="AE32" i="2"/>
  <c r="AF23" i="2"/>
  <c r="AF27" i="2"/>
  <c r="AF31" i="2"/>
  <c r="AH25" i="2"/>
  <c r="AI21" i="2" s="1"/>
  <c r="AH29" i="2"/>
  <c r="AS27" i="2"/>
  <c r="AT27" i="2" s="1"/>
  <c r="D75" i="2"/>
  <c r="H75" i="2"/>
  <c r="L75" i="2"/>
  <c r="P75" i="2"/>
  <c r="T75" i="2"/>
  <c r="B76" i="2"/>
  <c r="F76" i="2"/>
  <c r="J76" i="2"/>
  <c r="N76" i="2"/>
  <c r="R76" i="2"/>
  <c r="V76" i="2"/>
  <c r="D77" i="2"/>
  <c r="H77" i="2"/>
  <c r="L77" i="2"/>
  <c r="P77" i="2"/>
  <c r="T77" i="2"/>
  <c r="B78" i="2"/>
  <c r="F78" i="2"/>
  <c r="J78" i="2"/>
  <c r="N78" i="2"/>
  <c r="R78" i="2"/>
  <c r="V78" i="2"/>
  <c r="D79" i="2"/>
  <c r="H79" i="2"/>
  <c r="L79" i="2"/>
  <c r="P79" i="2"/>
  <c r="T79" i="2"/>
  <c r="B80" i="2"/>
  <c r="F80" i="2"/>
  <c r="J80" i="2"/>
  <c r="N80" i="2"/>
  <c r="R80" i="2"/>
  <c r="V80" i="2"/>
  <c r="D81" i="2"/>
  <c r="H81" i="2"/>
  <c r="L81" i="2"/>
  <c r="P81" i="2"/>
  <c r="T81" i="2"/>
  <c r="B82" i="2"/>
  <c r="F82" i="2"/>
  <c r="J82" i="2"/>
  <c r="N82" i="2"/>
  <c r="R82" i="2"/>
  <c r="V82" i="2"/>
  <c r="D83" i="2"/>
  <c r="H83" i="2"/>
  <c r="L83" i="2"/>
  <c r="P83" i="2"/>
  <c r="B85" i="2"/>
  <c r="E85" i="2"/>
  <c r="I85" i="2"/>
  <c r="M85" i="2"/>
  <c r="Q85" i="2"/>
  <c r="U85" i="2"/>
  <c r="C86" i="2"/>
  <c r="G86" i="2"/>
  <c r="K86" i="2"/>
  <c r="O86" i="2"/>
  <c r="S86" i="2"/>
  <c r="W86" i="2"/>
  <c r="E87" i="2"/>
  <c r="I87" i="2"/>
  <c r="M87" i="2"/>
  <c r="Q87" i="2"/>
  <c r="U87" i="2"/>
  <c r="C88" i="2"/>
  <c r="G88" i="2"/>
  <c r="K88" i="2"/>
  <c r="O88" i="2"/>
  <c r="S88" i="2"/>
  <c r="D90" i="2"/>
  <c r="H90" i="2"/>
  <c r="L90" i="2"/>
  <c r="P90" i="2"/>
  <c r="T90" i="2"/>
  <c r="B91" i="2"/>
  <c r="F91" i="2"/>
  <c r="J91" i="2"/>
  <c r="N91" i="2"/>
  <c r="R91" i="2"/>
  <c r="C93" i="2"/>
  <c r="G93" i="2"/>
  <c r="K93" i="2"/>
  <c r="O93" i="2"/>
  <c r="S93" i="2"/>
  <c r="D96" i="2"/>
  <c r="H96" i="2"/>
  <c r="L96" i="2"/>
  <c r="P96" i="2"/>
  <c r="T96" i="2"/>
  <c r="B97" i="2"/>
  <c r="F97" i="2"/>
  <c r="J97" i="2"/>
  <c r="N97" i="2"/>
  <c r="R97" i="2"/>
  <c r="V97" i="2"/>
  <c r="D98" i="2"/>
  <c r="H98" i="2"/>
  <c r="L98" i="2"/>
  <c r="P98" i="2"/>
  <c r="T98" i="2"/>
  <c r="B99" i="2"/>
  <c r="F99" i="2"/>
  <c r="J99" i="2"/>
  <c r="N99" i="2"/>
  <c r="R99" i="2"/>
  <c r="V99" i="2"/>
  <c r="D100" i="2"/>
  <c r="H100" i="2"/>
  <c r="L100" i="2"/>
  <c r="P100" i="2"/>
  <c r="T100" i="2"/>
  <c r="B101" i="2"/>
  <c r="F101" i="2"/>
  <c r="J101" i="2"/>
  <c r="N101" i="2"/>
  <c r="R101" i="2"/>
  <c r="V101" i="2"/>
  <c r="D102" i="2"/>
  <c r="H102" i="2"/>
  <c r="L102" i="2"/>
  <c r="P102" i="2"/>
  <c r="T102" i="2"/>
  <c r="B103" i="2"/>
  <c r="F103" i="2"/>
  <c r="J103" i="2"/>
  <c r="N103" i="2"/>
  <c r="R103" i="2"/>
  <c r="V103" i="2"/>
  <c r="D104" i="2"/>
  <c r="H104" i="2"/>
  <c r="L104" i="2"/>
  <c r="P104" i="2"/>
  <c r="T104" i="2"/>
  <c r="B105" i="2"/>
  <c r="F105" i="2"/>
  <c r="J105" i="2"/>
  <c r="N105" i="2"/>
  <c r="R105" i="2"/>
  <c r="V105" i="2"/>
  <c r="D106" i="2"/>
  <c r="H106" i="2"/>
  <c r="L106" i="2"/>
  <c r="P106" i="2"/>
  <c r="T106" i="2"/>
  <c r="B107" i="2"/>
  <c r="F107" i="2"/>
  <c r="J107" i="2"/>
  <c r="N107" i="2"/>
  <c r="R107" i="2"/>
  <c r="V107" i="2"/>
  <c r="D108" i="2"/>
  <c r="H108" i="2"/>
  <c r="L108" i="2"/>
  <c r="P108" i="2"/>
  <c r="T108" i="2"/>
  <c r="B109" i="2"/>
  <c r="F109" i="2"/>
  <c r="J109" i="2"/>
  <c r="N109" i="2"/>
  <c r="R109" i="2"/>
  <c r="V109" i="2"/>
  <c r="D110" i="2"/>
  <c r="H110" i="2"/>
  <c r="L110" i="2"/>
  <c r="P110" i="2"/>
  <c r="T110" i="2"/>
  <c r="B111" i="2"/>
  <c r="F111" i="2"/>
  <c r="J111" i="2"/>
  <c r="N111" i="2"/>
  <c r="R111" i="2"/>
  <c r="D119" i="2"/>
  <c r="I119" i="2"/>
  <c r="N119" i="2"/>
  <c r="T119" i="2"/>
  <c r="C120" i="2"/>
  <c r="H120" i="2"/>
  <c r="N120" i="2"/>
  <c r="S120" i="2"/>
  <c r="B121" i="2"/>
  <c r="H121" i="2"/>
  <c r="M121" i="2"/>
  <c r="R121" i="2"/>
  <c r="B122" i="2"/>
  <c r="G122" i="2"/>
  <c r="L122" i="2"/>
  <c r="R122" i="2"/>
  <c r="W122" i="2"/>
  <c r="F123" i="2"/>
  <c r="L123" i="2"/>
  <c r="Q123" i="2"/>
  <c r="V123" i="2"/>
  <c r="F124" i="2"/>
  <c r="K124" i="2"/>
  <c r="P124" i="2"/>
  <c r="V124" i="2"/>
  <c r="E125" i="2"/>
  <c r="J125" i="2"/>
  <c r="P125" i="2"/>
  <c r="U125" i="2"/>
  <c r="C128" i="2"/>
  <c r="I128" i="2"/>
  <c r="N128" i="2"/>
  <c r="S128" i="2"/>
  <c r="C129" i="2"/>
  <c r="H129" i="2"/>
  <c r="M129" i="2"/>
  <c r="S129" i="2"/>
  <c r="B130" i="2"/>
  <c r="G130" i="2"/>
  <c r="M130" i="2"/>
  <c r="R130" i="2"/>
  <c r="W130" i="2"/>
  <c r="G131" i="2"/>
  <c r="L131" i="2"/>
  <c r="Q131" i="2"/>
  <c r="W131" i="2"/>
  <c r="F132" i="2"/>
  <c r="K132" i="2"/>
  <c r="Q132" i="2"/>
  <c r="V132" i="2"/>
  <c r="E133" i="2"/>
  <c r="K133" i="2"/>
  <c r="P133" i="2"/>
  <c r="U133" i="2"/>
  <c r="E134" i="2"/>
  <c r="J134" i="2"/>
  <c r="O134" i="2"/>
  <c r="U134" i="2"/>
  <c r="C136" i="2"/>
  <c r="H136" i="2"/>
  <c r="N136" i="2"/>
  <c r="S136" i="2"/>
  <c r="B137" i="2"/>
  <c r="H137" i="2"/>
  <c r="M137" i="2"/>
  <c r="R137" i="2"/>
  <c r="B138" i="2"/>
  <c r="G138" i="2"/>
  <c r="L138" i="2"/>
  <c r="R138" i="2"/>
  <c r="W138" i="2"/>
  <c r="F139" i="2"/>
  <c r="L139" i="2"/>
  <c r="Q139" i="2"/>
  <c r="V139" i="2"/>
  <c r="F140" i="2"/>
  <c r="K140" i="2"/>
  <c r="P140" i="2"/>
  <c r="V140" i="2"/>
  <c r="E141" i="2"/>
  <c r="J141" i="2"/>
  <c r="P141" i="2"/>
  <c r="U141" i="2"/>
  <c r="D142" i="2"/>
  <c r="J142" i="2"/>
  <c r="O142" i="2"/>
  <c r="T142" i="2"/>
  <c r="D143" i="2"/>
  <c r="I143" i="2"/>
  <c r="N143" i="2"/>
  <c r="T143" i="2"/>
  <c r="C144" i="2"/>
  <c r="H144" i="2"/>
  <c r="N144" i="2"/>
  <c r="S144" i="2"/>
  <c r="F146" i="2"/>
  <c r="K146" i="2"/>
  <c r="P146" i="2"/>
  <c r="W146" i="2"/>
  <c r="I147" i="2"/>
  <c r="Q147" i="2"/>
  <c r="G159" i="2"/>
  <c r="O159" i="2"/>
  <c r="W159" i="2"/>
  <c r="I160" i="2"/>
  <c r="Q160" i="2"/>
  <c r="C161" i="2"/>
  <c r="K161" i="2"/>
  <c r="S161" i="2"/>
  <c r="E162" i="2"/>
  <c r="M162" i="2"/>
  <c r="U162" i="2"/>
  <c r="F163" i="2"/>
  <c r="N163" i="2"/>
  <c r="V163" i="2"/>
  <c r="F195" i="2"/>
  <c r="V195" i="2"/>
  <c r="P196" i="2"/>
  <c r="F206" i="2"/>
  <c r="V206" i="2"/>
  <c r="P207" i="2"/>
  <c r="J208" i="2"/>
  <c r="D209" i="2"/>
  <c r="T209" i="2"/>
  <c r="N210" i="2"/>
  <c r="H211" i="2"/>
  <c r="B212" i="2"/>
  <c r="R212" i="2"/>
  <c r="U253" i="2"/>
  <c r="Q253" i="2"/>
  <c r="M253" i="2"/>
  <c r="I253" i="2"/>
  <c r="E253" i="2"/>
  <c r="W252" i="2"/>
  <c r="S252" i="2"/>
  <c r="O252" i="2"/>
  <c r="K252" i="2"/>
  <c r="G252" i="2"/>
  <c r="C252" i="2"/>
  <c r="U251" i="2"/>
  <c r="Q251" i="2"/>
  <c r="M251" i="2"/>
  <c r="I251" i="2"/>
  <c r="E251" i="2"/>
  <c r="W250" i="2"/>
  <c r="S250" i="2"/>
  <c r="O250" i="2"/>
  <c r="K250" i="2"/>
  <c r="G250" i="2"/>
  <c r="C250" i="2"/>
  <c r="U249" i="2"/>
  <c r="Q249" i="2"/>
  <c r="M249" i="2"/>
  <c r="I249" i="2"/>
  <c r="E249" i="2"/>
  <c r="W248" i="2"/>
  <c r="S248" i="2"/>
  <c r="O248" i="2"/>
  <c r="K248" i="2"/>
  <c r="G248" i="2"/>
  <c r="C248" i="2"/>
  <c r="U247" i="2"/>
  <c r="Q247" i="2"/>
  <c r="M247" i="2"/>
  <c r="I247" i="2"/>
  <c r="E247" i="2"/>
  <c r="W246" i="2"/>
  <c r="S246" i="2"/>
  <c r="O246" i="2"/>
  <c r="K246" i="2"/>
  <c r="G246" i="2"/>
  <c r="C246" i="2"/>
  <c r="U245" i="2"/>
  <c r="Q245" i="2"/>
  <c r="M245" i="2"/>
  <c r="I245" i="2"/>
  <c r="E245" i="2"/>
  <c r="W244" i="2"/>
  <c r="S244" i="2"/>
  <c r="O244" i="2"/>
  <c r="K244" i="2"/>
  <c r="G244" i="2"/>
  <c r="C244" i="2"/>
  <c r="U243" i="2"/>
  <c r="Q243" i="2"/>
  <c r="M243" i="2"/>
  <c r="I243" i="2"/>
  <c r="E243" i="2"/>
  <c r="W242" i="2"/>
  <c r="S242" i="2"/>
  <c r="O242" i="2"/>
  <c r="K242" i="2"/>
  <c r="G242" i="2"/>
  <c r="C242" i="2"/>
  <c r="U241" i="2"/>
  <c r="Q241" i="2"/>
  <c r="M241" i="2"/>
  <c r="I241" i="2"/>
  <c r="E241" i="2"/>
  <c r="W240" i="2"/>
  <c r="S240" i="2"/>
  <c r="O240" i="2"/>
  <c r="K240" i="2"/>
  <c r="G240" i="2"/>
  <c r="C240" i="2"/>
  <c r="U239" i="2"/>
  <c r="Q239" i="2"/>
  <c r="M239" i="2"/>
  <c r="I239" i="2"/>
  <c r="E239" i="2"/>
  <c r="W238" i="2"/>
  <c r="S238" i="2"/>
  <c r="O238" i="2"/>
  <c r="K238" i="2"/>
  <c r="G238" i="2"/>
  <c r="C238" i="2"/>
  <c r="V253" i="2"/>
  <c r="R253" i="2"/>
  <c r="N253" i="2"/>
  <c r="J253" i="2"/>
  <c r="F253" i="2"/>
  <c r="B253" i="2"/>
  <c r="T252" i="2"/>
  <c r="P252" i="2"/>
  <c r="L252" i="2"/>
  <c r="H252" i="2"/>
  <c r="D252" i="2"/>
  <c r="V251" i="2"/>
  <c r="R251" i="2"/>
  <c r="N251" i="2"/>
  <c r="J251" i="2"/>
  <c r="F251" i="2"/>
  <c r="B251" i="2"/>
  <c r="T250" i="2"/>
  <c r="P250" i="2"/>
  <c r="L250" i="2"/>
  <c r="H250" i="2"/>
  <c r="D250" i="2"/>
  <c r="V249" i="2"/>
  <c r="R249" i="2"/>
  <c r="N249" i="2"/>
  <c r="J249" i="2"/>
  <c r="F249" i="2"/>
  <c r="B249" i="2"/>
  <c r="T248" i="2"/>
  <c r="P248" i="2"/>
  <c r="L248" i="2"/>
  <c r="H248" i="2"/>
  <c r="D248" i="2"/>
  <c r="V247" i="2"/>
  <c r="R247" i="2"/>
  <c r="N247" i="2"/>
  <c r="J247" i="2"/>
  <c r="F247" i="2"/>
  <c r="B247" i="2"/>
  <c r="T246" i="2"/>
  <c r="P246" i="2"/>
  <c r="L246" i="2"/>
  <c r="H246" i="2"/>
  <c r="D246" i="2"/>
  <c r="V245" i="2"/>
  <c r="R245" i="2"/>
  <c r="N245" i="2"/>
  <c r="J245" i="2"/>
  <c r="F245" i="2"/>
  <c r="B245" i="2"/>
  <c r="T244" i="2"/>
  <c r="P244" i="2"/>
  <c r="L244" i="2"/>
  <c r="H244" i="2"/>
  <c r="D244" i="2"/>
  <c r="V243" i="2"/>
  <c r="R243" i="2"/>
  <c r="N243" i="2"/>
  <c r="J243" i="2"/>
  <c r="F243" i="2"/>
  <c r="B243" i="2"/>
  <c r="T242" i="2"/>
  <c r="P242" i="2"/>
  <c r="L242" i="2"/>
  <c r="H242" i="2"/>
  <c r="D242" i="2"/>
  <c r="V241" i="2"/>
  <c r="R241" i="2"/>
  <c r="N241" i="2"/>
  <c r="J241" i="2"/>
  <c r="F241" i="2"/>
  <c r="B241" i="2"/>
  <c r="T240" i="2"/>
  <c r="P240" i="2"/>
  <c r="L240" i="2"/>
  <c r="H240" i="2"/>
  <c r="D240" i="2"/>
  <c r="V239" i="2"/>
  <c r="R239" i="2"/>
  <c r="N239" i="2"/>
  <c r="J239" i="2"/>
  <c r="F239" i="2"/>
  <c r="B239" i="2"/>
  <c r="T238" i="2"/>
  <c r="P238" i="2"/>
  <c r="L238" i="2"/>
  <c r="H238" i="2"/>
  <c r="D238" i="2"/>
  <c r="J238" i="2"/>
  <c r="R238" i="2"/>
  <c r="D239" i="2"/>
  <c r="L239" i="2"/>
  <c r="T239" i="2"/>
  <c r="F240" i="2"/>
  <c r="N240" i="2"/>
  <c r="V240" i="2"/>
  <c r="H241" i="2"/>
  <c r="P241" i="2"/>
  <c r="B242" i="2"/>
  <c r="J242" i="2"/>
  <c r="R242" i="2"/>
  <c r="D243" i="2"/>
  <c r="L243" i="2"/>
  <c r="T243" i="2"/>
  <c r="F244" i="2"/>
  <c r="N244" i="2"/>
  <c r="V244" i="2"/>
  <c r="H245" i="2"/>
  <c r="P245" i="2"/>
  <c r="B246" i="2"/>
  <c r="J246" i="2"/>
  <c r="R246" i="2"/>
  <c r="D247" i="2"/>
  <c r="L247" i="2"/>
  <c r="T247" i="2"/>
  <c r="F248" i="2"/>
  <c r="N248" i="2"/>
  <c r="V248" i="2"/>
  <c r="H249" i="2"/>
  <c r="P249" i="2"/>
  <c r="B250" i="2"/>
  <c r="J250" i="2"/>
  <c r="R250" i="2"/>
  <c r="D251" i="2"/>
  <c r="L251" i="2"/>
  <c r="T251" i="2"/>
  <c r="F252" i="2"/>
  <c r="N252" i="2"/>
  <c r="V252" i="2"/>
  <c r="H253" i="2"/>
  <c r="P253" i="2"/>
  <c r="T267" i="2"/>
  <c r="P267" i="2"/>
  <c r="L267" i="2"/>
  <c r="H267" i="2"/>
  <c r="D267" i="2"/>
  <c r="V266" i="2"/>
  <c r="R266" i="2"/>
  <c r="N266" i="2"/>
  <c r="J266" i="2"/>
  <c r="F266" i="2"/>
  <c r="B266" i="2"/>
  <c r="T265" i="2"/>
  <c r="P265" i="2"/>
  <c r="L265" i="2"/>
  <c r="H265" i="2"/>
  <c r="D265" i="2"/>
  <c r="V264" i="2"/>
  <c r="R264" i="2"/>
  <c r="N264" i="2"/>
  <c r="J264" i="2"/>
  <c r="F264" i="2"/>
  <c r="B264" i="2"/>
  <c r="T263" i="2"/>
  <c r="P263" i="2"/>
  <c r="L263" i="2"/>
  <c r="H263" i="2"/>
  <c r="D263" i="2"/>
  <c r="V262" i="2"/>
  <c r="R262" i="2"/>
  <c r="N262" i="2"/>
  <c r="J262" i="2"/>
  <c r="F262" i="2"/>
  <c r="B262" i="2"/>
  <c r="T261" i="2"/>
  <c r="P261" i="2"/>
  <c r="L261" i="2"/>
  <c r="H261" i="2"/>
  <c r="D261" i="2"/>
  <c r="U267" i="2"/>
  <c r="Q267" i="2"/>
  <c r="M267" i="2"/>
  <c r="I267" i="2"/>
  <c r="E267" i="2"/>
  <c r="W266" i="2"/>
  <c r="S266" i="2"/>
  <c r="O266" i="2"/>
  <c r="K266" i="2"/>
  <c r="G266" i="2"/>
  <c r="C266" i="2"/>
  <c r="U265" i="2"/>
  <c r="Q265" i="2"/>
  <c r="M265" i="2"/>
  <c r="I265" i="2"/>
  <c r="E265" i="2"/>
  <c r="W264" i="2"/>
  <c r="S264" i="2"/>
  <c r="O264" i="2"/>
  <c r="K264" i="2"/>
  <c r="G264" i="2"/>
  <c r="C264" i="2"/>
  <c r="U263" i="2"/>
  <c r="Q263" i="2"/>
  <c r="M263" i="2"/>
  <c r="I263" i="2"/>
  <c r="E263" i="2"/>
  <c r="W262" i="2"/>
  <c r="S262" i="2"/>
  <c r="O262" i="2"/>
  <c r="K262" i="2"/>
  <c r="G262" i="2"/>
  <c r="C262" i="2"/>
  <c r="U261" i="2"/>
  <c r="Q261" i="2"/>
  <c r="M261" i="2"/>
  <c r="I261" i="2"/>
  <c r="E261" i="2"/>
  <c r="B261" i="2"/>
  <c r="J261" i="2"/>
  <c r="R261" i="2"/>
  <c r="D262" i="2"/>
  <c r="L262" i="2"/>
  <c r="T262" i="2"/>
  <c r="F263" i="2"/>
  <c r="N263" i="2"/>
  <c r="V263" i="2"/>
  <c r="H264" i="2"/>
  <c r="P264" i="2"/>
  <c r="B265" i="2"/>
  <c r="J265" i="2"/>
  <c r="R265" i="2"/>
  <c r="D266" i="2"/>
  <c r="L266" i="2"/>
  <c r="T266" i="2"/>
  <c r="F267" i="2"/>
  <c r="N267" i="2"/>
  <c r="V267" i="2"/>
  <c r="B288" i="2"/>
  <c r="I288" i="2"/>
  <c r="Q288" i="2"/>
  <c r="C289" i="2"/>
  <c r="K289" i="2"/>
  <c r="F155" i="2"/>
  <c r="J155" i="2"/>
  <c r="N155" i="2"/>
  <c r="R155" i="2"/>
  <c r="V155" i="2"/>
  <c r="F156" i="2"/>
  <c r="J156" i="2"/>
  <c r="N156" i="2"/>
  <c r="R156" i="2"/>
  <c r="V156" i="2"/>
  <c r="D157" i="2"/>
  <c r="H157" i="2"/>
  <c r="L157" i="2"/>
  <c r="P157" i="2"/>
  <c r="T157" i="2"/>
  <c r="B158" i="2"/>
  <c r="F158" i="2"/>
  <c r="J158" i="2"/>
  <c r="N158" i="2"/>
  <c r="R158" i="2"/>
  <c r="V158" i="2"/>
  <c r="D167" i="2"/>
  <c r="H167" i="2"/>
  <c r="L167" i="2"/>
  <c r="P167" i="2"/>
  <c r="T167" i="2"/>
  <c r="B168" i="2"/>
  <c r="F168" i="2"/>
  <c r="J168" i="2"/>
  <c r="N168" i="2"/>
  <c r="R168" i="2"/>
  <c r="V168" i="2"/>
  <c r="D169" i="2"/>
  <c r="H169" i="2"/>
  <c r="L169" i="2"/>
  <c r="P169" i="2"/>
  <c r="T169" i="2"/>
  <c r="B170" i="2"/>
  <c r="F170" i="2"/>
  <c r="J170" i="2"/>
  <c r="N170" i="2"/>
  <c r="R170" i="2"/>
  <c r="V170" i="2"/>
  <c r="D171" i="2"/>
  <c r="H171" i="2"/>
  <c r="L171" i="2"/>
  <c r="P171" i="2"/>
  <c r="T171" i="2"/>
  <c r="D179" i="2"/>
  <c r="H179" i="2"/>
  <c r="L179" i="2"/>
  <c r="P179" i="2"/>
  <c r="T179" i="2"/>
  <c r="B180" i="2"/>
  <c r="F180" i="2"/>
  <c r="J180" i="2"/>
  <c r="N180" i="2"/>
  <c r="R180" i="2"/>
  <c r="V180" i="2"/>
  <c r="D181" i="2"/>
  <c r="H181" i="2"/>
  <c r="L181" i="2"/>
  <c r="P181" i="2"/>
  <c r="T181" i="2"/>
  <c r="B182" i="2"/>
  <c r="F182" i="2"/>
  <c r="J182" i="2"/>
  <c r="N182" i="2"/>
  <c r="R182" i="2"/>
  <c r="V182" i="2"/>
  <c r="D183" i="2"/>
  <c r="H183" i="2"/>
  <c r="L183" i="2"/>
  <c r="P183" i="2"/>
  <c r="T183" i="2"/>
  <c r="B184" i="2"/>
  <c r="F184" i="2"/>
  <c r="J184" i="2"/>
  <c r="N184" i="2"/>
  <c r="R184" i="2"/>
  <c r="V184" i="2"/>
  <c r="F191" i="2"/>
  <c r="J191" i="2"/>
  <c r="N191" i="2"/>
  <c r="R191" i="2"/>
  <c r="V191" i="2"/>
  <c r="D192" i="2"/>
  <c r="H192" i="2"/>
  <c r="L192" i="2"/>
  <c r="P192" i="2"/>
  <c r="T192" i="2"/>
  <c r="B193" i="2"/>
  <c r="F193" i="2"/>
  <c r="J193" i="2"/>
  <c r="N193" i="2"/>
  <c r="R193" i="2"/>
  <c r="V193" i="2"/>
  <c r="F199" i="2"/>
  <c r="J199" i="2"/>
  <c r="N199" i="2"/>
  <c r="R199" i="2"/>
  <c r="V199" i="2"/>
  <c r="D200" i="2"/>
  <c r="H200" i="2"/>
  <c r="L200" i="2"/>
  <c r="P200" i="2"/>
  <c r="T200" i="2"/>
  <c r="B201" i="2"/>
  <c r="F201" i="2"/>
  <c r="J201" i="2"/>
  <c r="N201" i="2"/>
  <c r="R201" i="2"/>
  <c r="V201" i="2"/>
  <c r="D202" i="2"/>
  <c r="H202" i="2"/>
  <c r="L202" i="2"/>
  <c r="P202" i="2"/>
  <c r="T202" i="2"/>
  <c r="B203" i="2"/>
  <c r="F203" i="2"/>
  <c r="J203" i="2"/>
  <c r="N203" i="2"/>
  <c r="R203" i="2"/>
  <c r="V203" i="2"/>
  <c r="D217" i="2"/>
  <c r="H217" i="2"/>
  <c r="L217" i="2"/>
  <c r="P217" i="2"/>
  <c r="T217" i="2"/>
  <c r="B218" i="2"/>
  <c r="F218" i="2"/>
  <c r="J218" i="2"/>
  <c r="N218" i="2"/>
  <c r="R218" i="2"/>
  <c r="V218" i="2"/>
  <c r="D219" i="2"/>
  <c r="H219" i="2"/>
  <c r="L219" i="2"/>
  <c r="P219" i="2"/>
  <c r="T219" i="2"/>
  <c r="B220" i="2"/>
  <c r="F220" i="2"/>
  <c r="J220" i="2"/>
  <c r="N220" i="2"/>
  <c r="R220" i="2"/>
  <c r="V220" i="2"/>
  <c r="D221" i="2"/>
  <c r="H221" i="2"/>
  <c r="L221" i="2"/>
  <c r="P221" i="2"/>
  <c r="T221" i="2"/>
  <c r="B222" i="2"/>
  <c r="F222" i="2"/>
  <c r="J222" i="2"/>
  <c r="N222" i="2"/>
  <c r="R222" i="2"/>
  <c r="V222" i="2"/>
  <c r="D223" i="2"/>
  <c r="H223" i="2"/>
  <c r="L223" i="2"/>
  <c r="P223" i="2"/>
  <c r="T223" i="2"/>
  <c r="B224" i="2"/>
  <c r="F224" i="2"/>
  <c r="J224" i="2"/>
  <c r="N224" i="2"/>
  <c r="R224" i="2"/>
  <c r="V224" i="2"/>
  <c r="D225" i="2"/>
  <c r="H225" i="2"/>
  <c r="L225" i="2"/>
  <c r="P225" i="2"/>
  <c r="T225" i="2"/>
  <c r="E238" i="2"/>
  <c r="M238" i="2"/>
  <c r="U238" i="2"/>
  <c r="G239" i="2"/>
  <c r="O239" i="2"/>
  <c r="W239" i="2"/>
  <c r="I240" i="2"/>
  <c r="Q240" i="2"/>
  <c r="C241" i="2"/>
  <c r="K241" i="2"/>
  <c r="S241" i="2"/>
  <c r="E242" i="2"/>
  <c r="M242" i="2"/>
  <c r="U242" i="2"/>
  <c r="G243" i="2"/>
  <c r="O243" i="2"/>
  <c r="W243" i="2"/>
  <c r="I244" i="2"/>
  <c r="Q244" i="2"/>
  <c r="C245" i="2"/>
  <c r="K245" i="2"/>
  <c r="S245" i="2"/>
  <c r="E246" i="2"/>
  <c r="M246" i="2"/>
  <c r="U246" i="2"/>
  <c r="G247" i="2"/>
  <c r="O247" i="2"/>
  <c r="W247" i="2"/>
  <c r="I248" i="2"/>
  <c r="Q248" i="2"/>
  <c r="C249" i="2"/>
  <c r="K249" i="2"/>
  <c r="S249" i="2"/>
  <c r="E250" i="2"/>
  <c r="M250" i="2"/>
  <c r="U250" i="2"/>
  <c r="G251" i="2"/>
  <c r="O251" i="2"/>
  <c r="W251" i="2"/>
  <c r="I252" i="2"/>
  <c r="Q252" i="2"/>
  <c r="C253" i="2"/>
  <c r="K253" i="2"/>
  <c r="S253" i="2"/>
  <c r="W259" i="2"/>
  <c r="S259" i="2"/>
  <c r="O259" i="2"/>
  <c r="K259" i="2"/>
  <c r="G259" i="2"/>
  <c r="C259" i="2"/>
  <c r="U258" i="2"/>
  <c r="Q258" i="2"/>
  <c r="M258" i="2"/>
  <c r="I258" i="2"/>
  <c r="E258" i="2"/>
  <c r="W257" i="2"/>
  <c r="S257" i="2"/>
  <c r="O257" i="2"/>
  <c r="K257" i="2"/>
  <c r="G257" i="2"/>
  <c r="C257" i="2"/>
  <c r="U256" i="2"/>
  <c r="Q256" i="2"/>
  <c r="M256" i="2"/>
  <c r="I256" i="2"/>
  <c r="E256" i="2"/>
  <c r="W255" i="2"/>
  <c r="S255" i="2"/>
  <c r="O255" i="2"/>
  <c r="K255" i="2"/>
  <c r="G255" i="2"/>
  <c r="C255" i="2"/>
  <c r="T259" i="2"/>
  <c r="P259" i="2"/>
  <c r="L259" i="2"/>
  <c r="H259" i="2"/>
  <c r="D259" i="2"/>
  <c r="V258" i="2"/>
  <c r="R258" i="2"/>
  <c r="N258" i="2"/>
  <c r="J258" i="2"/>
  <c r="F258" i="2"/>
  <c r="B258" i="2"/>
  <c r="T257" i="2"/>
  <c r="P257" i="2"/>
  <c r="L257" i="2"/>
  <c r="H257" i="2"/>
  <c r="D257" i="2"/>
  <c r="V256" i="2"/>
  <c r="R256" i="2"/>
  <c r="N256" i="2"/>
  <c r="J256" i="2"/>
  <c r="F256" i="2"/>
  <c r="B256" i="2"/>
  <c r="T255" i="2"/>
  <c r="P255" i="2"/>
  <c r="L255" i="2"/>
  <c r="H255" i="2"/>
  <c r="D255" i="2"/>
  <c r="J255" i="2"/>
  <c r="R255" i="2"/>
  <c r="D256" i="2"/>
  <c r="L256" i="2"/>
  <c r="T256" i="2"/>
  <c r="F257" i="2"/>
  <c r="N257" i="2"/>
  <c r="V257" i="2"/>
  <c r="H258" i="2"/>
  <c r="P258" i="2"/>
  <c r="B259" i="2"/>
  <c r="J259" i="2"/>
  <c r="R259" i="2"/>
  <c r="C261" i="2"/>
  <c r="K261" i="2"/>
  <c r="S261" i="2"/>
  <c r="E262" i="2"/>
  <c r="M262" i="2"/>
  <c r="U262" i="2"/>
  <c r="G263" i="2"/>
  <c r="O263" i="2"/>
  <c r="W263" i="2"/>
  <c r="I264" i="2"/>
  <c r="Q264" i="2"/>
  <c r="C265" i="2"/>
  <c r="K265" i="2"/>
  <c r="S265" i="2"/>
  <c r="E266" i="2"/>
  <c r="M266" i="2"/>
  <c r="U266" i="2"/>
  <c r="G267" i="2"/>
  <c r="O267" i="2"/>
  <c r="W267" i="2"/>
  <c r="U289" i="2"/>
  <c r="Q289" i="2"/>
  <c r="M289" i="2"/>
  <c r="I289" i="2"/>
  <c r="E289" i="2"/>
  <c r="W288" i="2"/>
  <c r="S288" i="2"/>
  <c r="O288" i="2"/>
  <c r="K288" i="2"/>
  <c r="G288" i="2"/>
  <c r="C288" i="2"/>
  <c r="V289" i="2"/>
  <c r="R289" i="2"/>
  <c r="N289" i="2"/>
  <c r="J289" i="2"/>
  <c r="F289" i="2"/>
  <c r="B289" i="2"/>
  <c r="T288" i="2"/>
  <c r="P288" i="2"/>
  <c r="L288" i="2"/>
  <c r="H288" i="2"/>
  <c r="D288" i="2"/>
  <c r="J288" i="2"/>
  <c r="R288" i="2"/>
  <c r="D289" i="2"/>
  <c r="L289" i="2"/>
  <c r="T289" i="2"/>
  <c r="F113" i="2"/>
  <c r="J113" i="2"/>
  <c r="N113" i="2"/>
  <c r="R113" i="2"/>
  <c r="V113" i="2"/>
  <c r="D114" i="2"/>
  <c r="H114" i="2"/>
  <c r="L114" i="2"/>
  <c r="P114" i="2"/>
  <c r="T114" i="2"/>
  <c r="B115" i="2"/>
  <c r="F115" i="2"/>
  <c r="J115" i="2"/>
  <c r="N115" i="2"/>
  <c r="R115" i="2"/>
  <c r="V115" i="2"/>
  <c r="D116" i="2"/>
  <c r="H116" i="2"/>
  <c r="L116" i="2"/>
  <c r="P116" i="2"/>
  <c r="T116" i="2"/>
  <c r="B117" i="2"/>
  <c r="F117" i="2"/>
  <c r="J117" i="2"/>
  <c r="N117" i="2"/>
  <c r="R117" i="2"/>
  <c r="F149" i="2"/>
  <c r="J149" i="2"/>
  <c r="N149" i="2"/>
  <c r="R149" i="2"/>
  <c r="V149" i="2"/>
  <c r="D150" i="2"/>
  <c r="H150" i="2"/>
  <c r="L150" i="2"/>
  <c r="P150" i="2"/>
  <c r="T150" i="2"/>
  <c r="B151" i="2"/>
  <c r="F151" i="2"/>
  <c r="J151" i="2"/>
  <c r="N151" i="2"/>
  <c r="R151" i="2"/>
  <c r="V151" i="2"/>
  <c r="D152" i="2"/>
  <c r="H152" i="2"/>
  <c r="L152" i="2"/>
  <c r="P152" i="2"/>
  <c r="C155" i="2"/>
  <c r="G155" i="2"/>
  <c r="K155" i="2"/>
  <c r="O155" i="2"/>
  <c r="S155" i="2"/>
  <c r="C156" i="2"/>
  <c r="G156" i="2"/>
  <c r="K156" i="2"/>
  <c r="O156" i="2"/>
  <c r="S156" i="2"/>
  <c r="W156" i="2"/>
  <c r="E157" i="2"/>
  <c r="I157" i="2"/>
  <c r="M157" i="2"/>
  <c r="Q157" i="2"/>
  <c r="U157" i="2"/>
  <c r="C158" i="2"/>
  <c r="G158" i="2"/>
  <c r="K158" i="2"/>
  <c r="O158" i="2"/>
  <c r="S158" i="2"/>
  <c r="B167" i="2"/>
  <c r="E167" i="2"/>
  <c r="I167" i="2"/>
  <c r="M167" i="2"/>
  <c r="Q167" i="2"/>
  <c r="U167" i="2"/>
  <c r="C168" i="2"/>
  <c r="G168" i="2"/>
  <c r="K168" i="2"/>
  <c r="O168" i="2"/>
  <c r="S168" i="2"/>
  <c r="W168" i="2"/>
  <c r="E169" i="2"/>
  <c r="I169" i="2"/>
  <c r="M169" i="2"/>
  <c r="Q169" i="2"/>
  <c r="U169" i="2"/>
  <c r="C170" i="2"/>
  <c r="G170" i="2"/>
  <c r="K170" i="2"/>
  <c r="O170" i="2"/>
  <c r="S170" i="2"/>
  <c r="W170" i="2"/>
  <c r="E171" i="2"/>
  <c r="I171" i="2"/>
  <c r="M171" i="2"/>
  <c r="Q171" i="2"/>
  <c r="U171" i="2"/>
  <c r="F173" i="2"/>
  <c r="J173" i="2"/>
  <c r="N173" i="2"/>
  <c r="R173" i="2"/>
  <c r="V173" i="2"/>
  <c r="D174" i="2"/>
  <c r="H174" i="2"/>
  <c r="L174" i="2"/>
  <c r="P174" i="2"/>
  <c r="T174" i="2"/>
  <c r="B175" i="2"/>
  <c r="F175" i="2"/>
  <c r="J175" i="2"/>
  <c r="N175" i="2"/>
  <c r="R175" i="2"/>
  <c r="V175" i="2"/>
  <c r="D176" i="2"/>
  <c r="H176" i="2"/>
  <c r="L176" i="2"/>
  <c r="P176" i="2"/>
  <c r="B179" i="2"/>
  <c r="E179" i="2"/>
  <c r="I179" i="2"/>
  <c r="M179" i="2"/>
  <c r="Q179" i="2"/>
  <c r="U179" i="2"/>
  <c r="C180" i="2"/>
  <c r="G180" i="2"/>
  <c r="K180" i="2"/>
  <c r="O180" i="2"/>
  <c r="S180" i="2"/>
  <c r="W180" i="2"/>
  <c r="E181" i="2"/>
  <c r="I181" i="2"/>
  <c r="M181" i="2"/>
  <c r="Q181" i="2"/>
  <c r="U181" i="2"/>
  <c r="C182" i="2"/>
  <c r="G182" i="2"/>
  <c r="K182" i="2"/>
  <c r="O182" i="2"/>
  <c r="S182" i="2"/>
  <c r="W182" i="2"/>
  <c r="E183" i="2"/>
  <c r="I183" i="2"/>
  <c r="M183" i="2"/>
  <c r="Q183" i="2"/>
  <c r="U183" i="2"/>
  <c r="C184" i="2"/>
  <c r="G184" i="2"/>
  <c r="K184" i="2"/>
  <c r="O184" i="2"/>
  <c r="S184" i="2"/>
  <c r="W184" i="2"/>
  <c r="F186" i="2"/>
  <c r="J186" i="2"/>
  <c r="N186" i="2"/>
  <c r="R186" i="2"/>
  <c r="V186" i="2"/>
  <c r="D187" i="2"/>
  <c r="H187" i="2"/>
  <c r="L187" i="2"/>
  <c r="P187" i="2"/>
  <c r="T187" i="2"/>
  <c r="B188" i="2"/>
  <c r="F188" i="2"/>
  <c r="J188" i="2"/>
  <c r="N188" i="2"/>
  <c r="R188" i="2"/>
  <c r="C191" i="2"/>
  <c r="G191" i="2"/>
  <c r="K191" i="2"/>
  <c r="O191" i="2"/>
  <c r="S191" i="2"/>
  <c r="W191" i="2"/>
  <c r="E192" i="2"/>
  <c r="I192" i="2"/>
  <c r="M192" i="2"/>
  <c r="Q192" i="2"/>
  <c r="U192" i="2"/>
  <c r="C193" i="2"/>
  <c r="G193" i="2"/>
  <c r="K193" i="2"/>
  <c r="O193" i="2"/>
  <c r="S193" i="2"/>
  <c r="W193" i="2"/>
  <c r="C199" i="2"/>
  <c r="G199" i="2"/>
  <c r="K199" i="2"/>
  <c r="O199" i="2"/>
  <c r="S199" i="2"/>
  <c r="W199" i="2"/>
  <c r="E200" i="2"/>
  <c r="I200" i="2"/>
  <c r="M200" i="2"/>
  <c r="Q200" i="2"/>
  <c r="U200" i="2"/>
  <c r="C201" i="2"/>
  <c r="G201" i="2"/>
  <c r="K201" i="2"/>
  <c r="O201" i="2"/>
  <c r="S201" i="2"/>
  <c r="W201" i="2"/>
  <c r="E202" i="2"/>
  <c r="I202" i="2"/>
  <c r="M202" i="2"/>
  <c r="Q202" i="2"/>
  <c r="U202" i="2"/>
  <c r="C203" i="2"/>
  <c r="G203" i="2"/>
  <c r="K203" i="2"/>
  <c r="O203" i="2"/>
  <c r="S203" i="2"/>
  <c r="W203" i="2"/>
  <c r="B217" i="2"/>
  <c r="E217" i="2"/>
  <c r="I217" i="2"/>
  <c r="M217" i="2"/>
  <c r="Q217" i="2"/>
  <c r="U217" i="2"/>
  <c r="C218" i="2"/>
  <c r="G218" i="2"/>
  <c r="K218" i="2"/>
  <c r="O218" i="2"/>
  <c r="S218" i="2"/>
  <c r="W218" i="2"/>
  <c r="E219" i="2"/>
  <c r="I219" i="2"/>
  <c r="M219" i="2"/>
  <c r="Q219" i="2"/>
  <c r="U219" i="2"/>
  <c r="C220" i="2"/>
  <c r="G220" i="2"/>
  <c r="K220" i="2"/>
  <c r="O220" i="2"/>
  <c r="S220" i="2"/>
  <c r="W220" i="2"/>
  <c r="E221" i="2"/>
  <c r="I221" i="2"/>
  <c r="M221" i="2"/>
  <c r="Q221" i="2"/>
  <c r="U221" i="2"/>
  <c r="C222" i="2"/>
  <c r="G222" i="2"/>
  <c r="K222" i="2"/>
  <c r="O222" i="2"/>
  <c r="S222" i="2"/>
  <c r="W222" i="2"/>
  <c r="E223" i="2"/>
  <c r="I223" i="2"/>
  <c r="M223" i="2"/>
  <c r="Q223" i="2"/>
  <c r="U223" i="2"/>
  <c r="C224" i="2"/>
  <c r="G224" i="2"/>
  <c r="K224" i="2"/>
  <c r="O224" i="2"/>
  <c r="S224" i="2"/>
  <c r="W224" i="2"/>
  <c r="E225" i="2"/>
  <c r="I225" i="2"/>
  <c r="M225" i="2"/>
  <c r="Q225" i="2"/>
  <c r="U225" i="2"/>
  <c r="F227" i="2"/>
  <c r="J227" i="2"/>
  <c r="N227" i="2"/>
  <c r="R227" i="2"/>
  <c r="V227" i="2"/>
  <c r="D228" i="2"/>
  <c r="H228" i="2"/>
  <c r="L228" i="2"/>
  <c r="P228" i="2"/>
  <c r="T228" i="2"/>
  <c r="B229" i="2"/>
  <c r="F229" i="2"/>
  <c r="J229" i="2"/>
  <c r="N229" i="2"/>
  <c r="R229" i="2"/>
  <c r="V229" i="2"/>
  <c r="D230" i="2"/>
  <c r="H230" i="2"/>
  <c r="L230" i="2"/>
  <c r="P230" i="2"/>
  <c r="T230" i="2"/>
  <c r="B232" i="2"/>
  <c r="E232" i="2"/>
  <c r="I232" i="2"/>
  <c r="M232" i="2"/>
  <c r="Q232" i="2"/>
  <c r="U232" i="2"/>
  <c r="C233" i="2"/>
  <c r="G233" i="2"/>
  <c r="M233" i="2"/>
  <c r="R233" i="2"/>
  <c r="F238" i="2"/>
  <c r="N238" i="2"/>
  <c r="V238" i="2"/>
  <c r="H239" i="2"/>
  <c r="P239" i="2"/>
  <c r="B240" i="2"/>
  <c r="J240" i="2"/>
  <c r="R240" i="2"/>
  <c r="D241" i="2"/>
  <c r="L241" i="2"/>
  <c r="T241" i="2"/>
  <c r="F242" i="2"/>
  <c r="N242" i="2"/>
  <c r="V242" i="2"/>
  <c r="H243" i="2"/>
  <c r="P243" i="2"/>
  <c r="B244" i="2"/>
  <c r="J244" i="2"/>
  <c r="R244" i="2"/>
  <c r="D245" i="2"/>
  <c r="L245" i="2"/>
  <c r="T245" i="2"/>
  <c r="F246" i="2"/>
  <c r="N246" i="2"/>
  <c r="V246" i="2"/>
  <c r="H247" i="2"/>
  <c r="P247" i="2"/>
  <c r="B248" i="2"/>
  <c r="J248" i="2"/>
  <c r="R248" i="2"/>
  <c r="D249" i="2"/>
  <c r="L249" i="2"/>
  <c r="T249" i="2"/>
  <c r="F250" i="2"/>
  <c r="N250" i="2"/>
  <c r="V250" i="2"/>
  <c r="H251" i="2"/>
  <c r="P251" i="2"/>
  <c r="B252" i="2"/>
  <c r="J252" i="2"/>
  <c r="R252" i="2"/>
  <c r="D253" i="2"/>
  <c r="L253" i="2"/>
  <c r="T253" i="2"/>
  <c r="E255" i="2"/>
  <c r="M255" i="2"/>
  <c r="U255" i="2"/>
  <c r="G256" i="2"/>
  <c r="O256" i="2"/>
  <c r="W256" i="2"/>
  <c r="I257" i="2"/>
  <c r="Q257" i="2"/>
  <c r="C258" i="2"/>
  <c r="K258" i="2"/>
  <c r="S258" i="2"/>
  <c r="E259" i="2"/>
  <c r="M259" i="2"/>
  <c r="U259" i="2"/>
  <c r="F261" i="2"/>
  <c r="N261" i="2"/>
  <c r="V261" i="2"/>
  <c r="H262" i="2"/>
  <c r="P262" i="2"/>
  <c r="B263" i="2"/>
  <c r="J263" i="2"/>
  <c r="R263" i="2"/>
  <c r="D264" i="2"/>
  <c r="L264" i="2"/>
  <c r="T264" i="2"/>
  <c r="F265" i="2"/>
  <c r="N265" i="2"/>
  <c r="V265" i="2"/>
  <c r="H266" i="2"/>
  <c r="P266" i="2"/>
  <c r="B267" i="2"/>
  <c r="J267" i="2"/>
  <c r="R267" i="2"/>
  <c r="E288" i="2"/>
  <c r="M288" i="2"/>
  <c r="U288" i="2"/>
  <c r="G289" i="2"/>
  <c r="O289" i="2"/>
  <c r="W289" i="2"/>
  <c r="F167" i="2"/>
  <c r="J167" i="2"/>
  <c r="N167" i="2"/>
  <c r="R167" i="2"/>
  <c r="V167" i="2"/>
  <c r="D168" i="2"/>
  <c r="H168" i="2"/>
  <c r="L168" i="2"/>
  <c r="P168" i="2"/>
  <c r="T168" i="2"/>
  <c r="B169" i="2"/>
  <c r="F169" i="2"/>
  <c r="J169" i="2"/>
  <c r="N169" i="2"/>
  <c r="R169" i="2"/>
  <c r="V169" i="2"/>
  <c r="D170" i="2"/>
  <c r="H170" i="2"/>
  <c r="L170" i="2"/>
  <c r="P170" i="2"/>
  <c r="T170" i="2"/>
  <c r="B171" i="2"/>
  <c r="F171" i="2"/>
  <c r="J171" i="2"/>
  <c r="N171" i="2"/>
  <c r="R171" i="2"/>
  <c r="F179" i="2"/>
  <c r="J179" i="2"/>
  <c r="N179" i="2"/>
  <c r="R179" i="2"/>
  <c r="V179" i="2"/>
  <c r="D180" i="2"/>
  <c r="H180" i="2"/>
  <c r="L180" i="2"/>
  <c r="P180" i="2"/>
  <c r="T180" i="2"/>
  <c r="B181" i="2"/>
  <c r="F181" i="2"/>
  <c r="J181" i="2"/>
  <c r="N181" i="2"/>
  <c r="R181" i="2"/>
  <c r="V181" i="2"/>
  <c r="D182" i="2"/>
  <c r="H182" i="2"/>
  <c r="L182" i="2"/>
  <c r="P182" i="2"/>
  <c r="T182" i="2"/>
  <c r="B183" i="2"/>
  <c r="F183" i="2"/>
  <c r="J183" i="2"/>
  <c r="N183" i="2"/>
  <c r="R183" i="2"/>
  <c r="V183" i="2"/>
  <c r="D184" i="2"/>
  <c r="H184" i="2"/>
  <c r="L184" i="2"/>
  <c r="P184" i="2"/>
  <c r="D191" i="2"/>
  <c r="H191" i="2"/>
  <c r="L191" i="2"/>
  <c r="P191" i="2"/>
  <c r="T191" i="2"/>
  <c r="B192" i="2"/>
  <c r="F192" i="2"/>
  <c r="J192" i="2"/>
  <c r="N192" i="2"/>
  <c r="R192" i="2"/>
  <c r="V192" i="2"/>
  <c r="D193" i="2"/>
  <c r="H193" i="2"/>
  <c r="L193" i="2"/>
  <c r="P193" i="2"/>
  <c r="D199" i="2"/>
  <c r="H199" i="2"/>
  <c r="L199" i="2"/>
  <c r="P199" i="2"/>
  <c r="T199" i="2"/>
  <c r="B200" i="2"/>
  <c r="F200" i="2"/>
  <c r="J200" i="2"/>
  <c r="N200" i="2"/>
  <c r="R200" i="2"/>
  <c r="V200" i="2"/>
  <c r="D201" i="2"/>
  <c r="H201" i="2"/>
  <c r="L201" i="2"/>
  <c r="P201" i="2"/>
  <c r="T201" i="2"/>
  <c r="B202" i="2"/>
  <c r="F202" i="2"/>
  <c r="J202" i="2"/>
  <c r="N202" i="2"/>
  <c r="R202" i="2"/>
  <c r="V202" i="2"/>
  <c r="D203" i="2"/>
  <c r="H203" i="2"/>
  <c r="L203" i="2"/>
  <c r="P203" i="2"/>
  <c r="F217" i="2"/>
  <c r="J217" i="2"/>
  <c r="N217" i="2"/>
  <c r="R217" i="2"/>
  <c r="V217" i="2"/>
  <c r="D218" i="2"/>
  <c r="H218" i="2"/>
  <c r="L218" i="2"/>
  <c r="P218" i="2"/>
  <c r="T218" i="2"/>
  <c r="B219" i="2"/>
  <c r="F219" i="2"/>
  <c r="J219" i="2"/>
  <c r="N219" i="2"/>
  <c r="R219" i="2"/>
  <c r="V219" i="2"/>
  <c r="D220" i="2"/>
  <c r="H220" i="2"/>
  <c r="L220" i="2"/>
  <c r="P220" i="2"/>
  <c r="T220" i="2"/>
  <c r="B221" i="2"/>
  <c r="F221" i="2"/>
  <c r="J221" i="2"/>
  <c r="N221" i="2"/>
  <c r="R221" i="2"/>
  <c r="V221" i="2"/>
  <c r="D222" i="2"/>
  <c r="H222" i="2"/>
  <c r="L222" i="2"/>
  <c r="P222" i="2"/>
  <c r="T222" i="2"/>
  <c r="B223" i="2"/>
  <c r="F223" i="2"/>
  <c r="J223" i="2"/>
  <c r="N223" i="2"/>
  <c r="R223" i="2"/>
  <c r="V223" i="2"/>
  <c r="D224" i="2"/>
  <c r="H224" i="2"/>
  <c r="L224" i="2"/>
  <c r="P224" i="2"/>
  <c r="T224" i="2"/>
  <c r="B225" i="2"/>
  <c r="F225" i="2"/>
  <c r="J225" i="2"/>
  <c r="N225" i="2"/>
  <c r="R225" i="2"/>
  <c r="C227" i="2"/>
  <c r="G227" i="2"/>
  <c r="K227" i="2"/>
  <c r="O227" i="2"/>
  <c r="S227" i="2"/>
  <c r="W227" i="2"/>
  <c r="E228" i="2"/>
  <c r="I228" i="2"/>
  <c r="M228" i="2"/>
  <c r="Q228" i="2"/>
  <c r="U228" i="2"/>
  <c r="C229" i="2"/>
  <c r="G229" i="2"/>
  <c r="K229" i="2"/>
  <c r="O229" i="2"/>
  <c r="S229" i="2"/>
  <c r="W229" i="2"/>
  <c r="E230" i="2"/>
  <c r="I230" i="2"/>
  <c r="M230" i="2"/>
  <c r="Q230" i="2"/>
  <c r="T233" i="2"/>
  <c r="P233" i="2"/>
  <c r="L233" i="2"/>
  <c r="H233" i="2"/>
  <c r="F232" i="2"/>
  <c r="J232" i="2"/>
  <c r="N232" i="2"/>
  <c r="R232" i="2"/>
  <c r="V232" i="2"/>
  <c r="D233" i="2"/>
  <c r="I233" i="2"/>
  <c r="N233" i="2"/>
  <c r="S233" i="2"/>
  <c r="B238" i="2"/>
  <c r="I238" i="2"/>
  <c r="Q238" i="2"/>
  <c r="C239" i="2"/>
  <c r="K239" i="2"/>
  <c r="S239" i="2"/>
  <c r="E240" i="2"/>
  <c r="M240" i="2"/>
  <c r="U240" i="2"/>
  <c r="G241" i="2"/>
  <c r="O241" i="2"/>
  <c r="W241" i="2"/>
  <c r="I242" i="2"/>
  <c r="Q242" i="2"/>
  <c r="C243" i="2"/>
  <c r="K243" i="2"/>
  <c r="S243" i="2"/>
  <c r="E244" i="2"/>
  <c r="M244" i="2"/>
  <c r="U244" i="2"/>
  <c r="G245" i="2"/>
  <c r="O245" i="2"/>
  <c r="W245" i="2"/>
  <c r="I246" i="2"/>
  <c r="Q246" i="2"/>
  <c r="C247" i="2"/>
  <c r="K247" i="2"/>
  <c r="S247" i="2"/>
  <c r="E248" i="2"/>
  <c r="M248" i="2"/>
  <c r="U248" i="2"/>
  <c r="G249" i="2"/>
  <c r="O249" i="2"/>
  <c r="W249" i="2"/>
  <c r="I250" i="2"/>
  <c r="Q250" i="2"/>
  <c r="C251" i="2"/>
  <c r="K251" i="2"/>
  <c r="S251" i="2"/>
  <c r="E252" i="2"/>
  <c r="M252" i="2"/>
  <c r="U252" i="2"/>
  <c r="G253" i="2"/>
  <c r="O253" i="2"/>
  <c r="W253" i="2"/>
  <c r="F255" i="2"/>
  <c r="N255" i="2"/>
  <c r="V255" i="2"/>
  <c r="H256" i="2"/>
  <c r="P256" i="2"/>
  <c r="B257" i="2"/>
  <c r="J257" i="2"/>
  <c r="R257" i="2"/>
  <c r="D258" i="2"/>
  <c r="L258" i="2"/>
  <c r="T258" i="2"/>
  <c r="F259" i="2"/>
  <c r="N259" i="2"/>
  <c r="V259" i="2"/>
  <c r="G261" i="2"/>
  <c r="O261" i="2"/>
  <c r="W261" i="2"/>
  <c r="I262" i="2"/>
  <c r="Q262" i="2"/>
  <c r="C263" i="2"/>
  <c r="K263" i="2"/>
  <c r="S263" i="2"/>
  <c r="E264" i="2"/>
  <c r="M264" i="2"/>
  <c r="U264" i="2"/>
  <c r="G265" i="2"/>
  <c r="O265" i="2"/>
  <c r="W265" i="2"/>
  <c r="I266" i="2"/>
  <c r="Q266" i="2"/>
  <c r="C267" i="2"/>
  <c r="K267" i="2"/>
  <c r="S267" i="2"/>
  <c r="F288" i="2"/>
  <c r="N288" i="2"/>
  <c r="V288" i="2"/>
  <c r="H289" i="2"/>
  <c r="P289" i="2"/>
  <c r="AD233" i="2"/>
  <c r="AH233" i="2"/>
  <c r="AL233" i="2"/>
  <c r="AP233" i="2"/>
  <c r="AT233" i="2"/>
  <c r="C235" i="2"/>
  <c r="G235" i="2"/>
  <c r="K235" i="2"/>
  <c r="O235" i="2"/>
  <c r="S235" i="2"/>
  <c r="W235" i="2"/>
  <c r="AA240" i="2"/>
  <c r="AE240" i="2"/>
  <c r="AI240" i="2"/>
  <c r="AM240" i="2"/>
  <c r="AQ240" i="2"/>
  <c r="AU240" i="2"/>
  <c r="F270" i="2"/>
  <c r="J270" i="2"/>
  <c r="N270" i="2"/>
  <c r="R270" i="2"/>
  <c r="V270" i="2"/>
  <c r="D271" i="2"/>
  <c r="H271" i="2"/>
  <c r="L271" i="2"/>
  <c r="P271" i="2"/>
  <c r="T271" i="2"/>
  <c r="B272" i="2"/>
  <c r="F272" i="2"/>
  <c r="J272" i="2"/>
  <c r="N272" i="2"/>
  <c r="R272" i="2"/>
  <c r="V272" i="2"/>
  <c r="D273" i="2"/>
  <c r="H273" i="2"/>
  <c r="L273" i="2"/>
  <c r="P273" i="2"/>
  <c r="T273" i="2"/>
  <c r="B274" i="2"/>
  <c r="F274" i="2"/>
  <c r="J274" i="2"/>
  <c r="N274" i="2"/>
  <c r="R274" i="2"/>
  <c r="V274" i="2"/>
  <c r="D275" i="2"/>
  <c r="H275" i="2"/>
  <c r="L275" i="2"/>
  <c r="P275" i="2"/>
  <c r="T275" i="2"/>
  <c r="B276" i="2"/>
  <c r="F276" i="2"/>
  <c r="J276" i="2"/>
  <c r="N276" i="2"/>
  <c r="R276" i="2"/>
  <c r="V276" i="2"/>
  <c r="C278" i="2"/>
  <c r="G278" i="2"/>
  <c r="K278" i="2"/>
  <c r="O278" i="2"/>
  <c r="S278" i="2"/>
  <c r="W278" i="2"/>
  <c r="E279" i="2"/>
  <c r="I279" i="2"/>
  <c r="M279" i="2"/>
  <c r="Q279" i="2"/>
  <c r="U279" i="2"/>
  <c r="C280" i="2"/>
  <c r="G280" i="2"/>
  <c r="K280" i="2"/>
  <c r="O280" i="2"/>
  <c r="S280" i="2"/>
  <c r="W280" i="2"/>
  <c r="E281" i="2"/>
  <c r="I281" i="2"/>
  <c r="M281" i="2"/>
  <c r="Q281" i="2"/>
  <c r="U281" i="2"/>
  <c r="C282" i="2"/>
  <c r="G282" i="2"/>
  <c r="K282" i="2"/>
  <c r="O282" i="2"/>
  <c r="S282" i="2"/>
  <c r="W282" i="2"/>
  <c r="E283" i="2"/>
  <c r="I283" i="2"/>
  <c r="M283" i="2"/>
  <c r="Q283" i="2"/>
  <c r="U283" i="2"/>
  <c r="C284" i="2"/>
  <c r="G284" i="2"/>
  <c r="K284" i="2"/>
  <c r="O284" i="2"/>
  <c r="S284" i="2"/>
  <c r="W284" i="2"/>
  <c r="E285" i="2"/>
  <c r="I285" i="2"/>
  <c r="M285" i="2"/>
  <c r="Q285" i="2"/>
  <c r="U285" i="2"/>
  <c r="C286" i="2"/>
  <c r="G286" i="2"/>
  <c r="K286" i="2"/>
  <c r="O286" i="2"/>
  <c r="S286" i="2"/>
  <c r="W286" i="2"/>
  <c r="F297" i="2"/>
  <c r="J297" i="2"/>
  <c r="N297" i="2"/>
  <c r="R297" i="2"/>
  <c r="V297" i="2"/>
  <c r="D301" i="2"/>
  <c r="H301" i="2"/>
  <c r="L301" i="2"/>
  <c r="P301" i="2"/>
  <c r="T301" i="2"/>
  <c r="B302" i="2"/>
  <c r="F302" i="2"/>
  <c r="J302" i="2"/>
  <c r="N302" i="2"/>
  <c r="R302" i="2"/>
  <c r="V302" i="2"/>
  <c r="D303" i="2"/>
  <c r="H303" i="2"/>
  <c r="L303" i="2"/>
  <c r="P303" i="2"/>
  <c r="T303" i="2"/>
  <c r="B304" i="2"/>
  <c r="F304" i="2"/>
  <c r="J304" i="2"/>
  <c r="N304" i="2"/>
  <c r="R304" i="2"/>
  <c r="V304" i="2"/>
  <c r="D309" i="2"/>
  <c r="H309" i="2"/>
  <c r="L309" i="2"/>
  <c r="P309" i="2"/>
  <c r="T309" i="2"/>
  <c r="B310" i="2"/>
  <c r="F310" i="2"/>
  <c r="J310" i="2"/>
  <c r="N310" i="2"/>
  <c r="R310" i="2"/>
  <c r="V310" i="2"/>
  <c r="D311" i="2"/>
  <c r="H311" i="2"/>
  <c r="L311" i="2"/>
  <c r="P311" i="2"/>
  <c r="T311" i="2"/>
  <c r="B312" i="2"/>
  <c r="F312" i="2"/>
  <c r="J312" i="2"/>
  <c r="N312" i="2"/>
  <c r="R312" i="2"/>
  <c r="V312" i="2"/>
  <c r="D313" i="2"/>
  <c r="H313" i="2"/>
  <c r="L313" i="2"/>
  <c r="P313" i="2"/>
  <c r="T313" i="2"/>
  <c r="B315" i="2"/>
  <c r="E315" i="2"/>
  <c r="I315" i="2"/>
  <c r="M315" i="2"/>
  <c r="Q315" i="2"/>
  <c r="U315" i="2"/>
  <c r="C316" i="2"/>
  <c r="G316" i="2"/>
  <c r="K316" i="2"/>
  <c r="O316" i="2"/>
  <c r="S316" i="2"/>
  <c r="W316" i="2"/>
  <c r="E317" i="2"/>
  <c r="I317" i="2"/>
  <c r="M317" i="2"/>
  <c r="Q317" i="2"/>
  <c r="U317" i="2"/>
  <c r="C318" i="2"/>
  <c r="G318" i="2"/>
  <c r="K318" i="2"/>
  <c r="O318" i="2"/>
  <c r="S318" i="2"/>
  <c r="W318" i="2"/>
  <c r="D321" i="2"/>
  <c r="H321" i="2"/>
  <c r="L321" i="2"/>
  <c r="P321" i="2"/>
  <c r="T321" i="2"/>
  <c r="B322" i="2"/>
  <c r="F322" i="2"/>
  <c r="J322" i="2"/>
  <c r="N322" i="2"/>
  <c r="R322" i="2"/>
  <c r="V322" i="2"/>
  <c r="D323" i="2"/>
  <c r="H323" i="2"/>
  <c r="L323" i="2"/>
  <c r="P323" i="2"/>
  <c r="T323" i="2"/>
  <c r="B324" i="2"/>
  <c r="F324" i="2"/>
  <c r="J324" i="2"/>
  <c r="N324" i="2"/>
  <c r="R324" i="2"/>
  <c r="V324" i="2"/>
  <c r="D325" i="2"/>
  <c r="H325" i="2"/>
  <c r="L325" i="2"/>
  <c r="P325" i="2"/>
  <c r="T325" i="2"/>
  <c r="B326" i="2"/>
  <c r="F326" i="2"/>
  <c r="J326" i="2"/>
  <c r="N326" i="2"/>
  <c r="R326" i="2"/>
  <c r="V326" i="2"/>
  <c r="D333" i="2"/>
  <c r="H333" i="2"/>
  <c r="L333" i="2"/>
  <c r="P333" i="2"/>
  <c r="T333" i="2"/>
  <c r="B334" i="2"/>
  <c r="F334" i="2"/>
  <c r="J334" i="2"/>
  <c r="N334" i="2"/>
  <c r="R334" i="2"/>
  <c r="V334" i="2"/>
  <c r="D335" i="2"/>
  <c r="H335" i="2"/>
  <c r="L335" i="2"/>
  <c r="P335" i="2"/>
  <c r="T335" i="2"/>
  <c r="B337" i="2"/>
  <c r="E337" i="2"/>
  <c r="I337" i="2"/>
  <c r="M337" i="2"/>
  <c r="Q337" i="2"/>
  <c r="U337" i="2"/>
  <c r="C338" i="2"/>
  <c r="G338" i="2"/>
  <c r="K338" i="2"/>
  <c r="O338" i="2"/>
  <c r="S338" i="2"/>
  <c r="W338" i="2"/>
  <c r="D341" i="2"/>
  <c r="H341" i="2"/>
  <c r="L341" i="2"/>
  <c r="P341" i="2"/>
  <c r="T341" i="2"/>
  <c r="B342" i="2"/>
  <c r="F342" i="2"/>
  <c r="J342" i="2"/>
  <c r="N342" i="2"/>
  <c r="R342" i="2"/>
  <c r="V342" i="2"/>
  <c r="D343" i="2"/>
  <c r="H343" i="2"/>
  <c r="L343" i="2"/>
  <c r="P343" i="2"/>
  <c r="T343" i="2"/>
  <c r="B344" i="2"/>
  <c r="F344" i="2"/>
  <c r="J344" i="2"/>
  <c r="N344" i="2"/>
  <c r="R344" i="2"/>
  <c r="V344" i="2"/>
  <c r="D345" i="2"/>
  <c r="H345" i="2"/>
  <c r="L345" i="2"/>
  <c r="P345" i="2"/>
  <c r="T345" i="2"/>
  <c r="B348" i="2"/>
  <c r="E348" i="2"/>
  <c r="I348" i="2"/>
  <c r="M348" i="2"/>
  <c r="Q348" i="2"/>
  <c r="U348" i="2"/>
  <c r="C349" i="2"/>
  <c r="G349" i="2"/>
  <c r="K349" i="2"/>
  <c r="O349" i="2"/>
  <c r="S349" i="2"/>
  <c r="W349" i="2"/>
  <c r="E350" i="2"/>
  <c r="I350" i="2"/>
  <c r="M350" i="2"/>
  <c r="Q350" i="2"/>
  <c r="U350" i="2"/>
  <c r="C351" i="2"/>
  <c r="G351" i="2"/>
  <c r="K351" i="2"/>
  <c r="O351" i="2"/>
  <c r="S351" i="2"/>
  <c r="W351" i="2"/>
  <c r="E352" i="2"/>
  <c r="I352" i="2"/>
  <c r="M352" i="2"/>
  <c r="Q352" i="2"/>
  <c r="U352" i="2"/>
  <c r="C353" i="2"/>
  <c r="G353" i="2"/>
  <c r="K353" i="2"/>
  <c r="O353" i="2"/>
  <c r="S353" i="2"/>
  <c r="W353" i="2"/>
  <c r="E354" i="2"/>
  <c r="I354" i="2"/>
  <c r="M354" i="2"/>
  <c r="Q354" i="2"/>
  <c r="U354" i="2"/>
  <c r="F359" i="2"/>
  <c r="J359" i="2"/>
  <c r="N359" i="2"/>
  <c r="R359" i="2"/>
  <c r="V359" i="2"/>
  <c r="D360" i="2"/>
  <c r="H360" i="2"/>
  <c r="L360" i="2"/>
  <c r="P360" i="2"/>
  <c r="T360" i="2"/>
  <c r="B361" i="2"/>
  <c r="F361" i="2"/>
  <c r="J361" i="2"/>
  <c r="N361" i="2"/>
  <c r="R361" i="2"/>
  <c r="V361" i="2"/>
  <c r="D362" i="2"/>
  <c r="H362" i="2"/>
  <c r="L362" i="2"/>
  <c r="P362" i="2"/>
  <c r="T362" i="2"/>
  <c r="B363" i="2"/>
  <c r="F363" i="2"/>
  <c r="J363" i="2"/>
  <c r="N363" i="2"/>
  <c r="R363" i="2"/>
  <c r="V363" i="2"/>
  <c r="D364" i="2"/>
  <c r="H364" i="2"/>
  <c r="L364" i="2"/>
  <c r="P364" i="2"/>
  <c r="T364" i="2"/>
  <c r="B365" i="2"/>
  <c r="F365" i="2"/>
  <c r="J365" i="2"/>
  <c r="N365" i="2"/>
  <c r="R365" i="2"/>
  <c r="V365" i="2"/>
  <c r="D366" i="2"/>
  <c r="H366" i="2"/>
  <c r="L366" i="2"/>
  <c r="P366" i="2"/>
  <c r="T366" i="2"/>
  <c r="B367" i="2"/>
  <c r="F367" i="2"/>
  <c r="J367" i="2"/>
  <c r="N367" i="2"/>
  <c r="R367" i="2"/>
  <c r="V367" i="2"/>
  <c r="D374" i="2"/>
  <c r="J374" i="2"/>
  <c r="O374" i="2"/>
  <c r="T374" i="2"/>
  <c r="D375" i="2"/>
  <c r="I375" i="2"/>
  <c r="N375" i="2"/>
  <c r="T377" i="2"/>
  <c r="P377" i="2"/>
  <c r="L377" i="2"/>
  <c r="H377" i="2"/>
  <c r="D377" i="2"/>
  <c r="G377" i="2"/>
  <c r="M377" i="2"/>
  <c r="R377" i="2"/>
  <c r="W377" i="2"/>
  <c r="F380" i="2"/>
  <c r="K380" i="2"/>
  <c r="P380" i="2"/>
  <c r="V380" i="2"/>
  <c r="E381" i="2"/>
  <c r="J381" i="2"/>
  <c r="P381" i="2"/>
  <c r="U381" i="2"/>
  <c r="D382" i="2"/>
  <c r="J382" i="2"/>
  <c r="O382" i="2"/>
  <c r="T382" i="2"/>
  <c r="D383" i="2"/>
  <c r="I383" i="2"/>
  <c r="N383" i="2"/>
  <c r="T383" i="2"/>
  <c r="C384" i="2"/>
  <c r="H384" i="2"/>
  <c r="N384" i="2"/>
  <c r="S384" i="2"/>
  <c r="B385" i="2"/>
  <c r="H385" i="2"/>
  <c r="M385" i="2"/>
  <c r="R385" i="2"/>
  <c r="B386" i="2"/>
  <c r="G386" i="2"/>
  <c r="L386" i="2"/>
  <c r="R386" i="2"/>
  <c r="W386" i="2"/>
  <c r="F387" i="2"/>
  <c r="L387" i="2"/>
  <c r="Q387" i="2"/>
  <c r="V387" i="2"/>
  <c r="F388" i="2"/>
  <c r="K388" i="2"/>
  <c r="P388" i="2"/>
  <c r="V388" i="2"/>
  <c r="E389" i="2"/>
  <c r="J389" i="2"/>
  <c r="P389" i="2"/>
  <c r="U389" i="2"/>
  <c r="D390" i="2"/>
  <c r="J390" i="2"/>
  <c r="O390" i="2"/>
  <c r="T390" i="2"/>
  <c r="D391" i="2"/>
  <c r="I391" i="2"/>
  <c r="N391" i="2"/>
  <c r="T391" i="2"/>
  <c r="C392" i="2"/>
  <c r="H392" i="2"/>
  <c r="N392" i="2"/>
  <c r="S392" i="2"/>
  <c r="B393" i="2"/>
  <c r="H393" i="2"/>
  <c r="M393" i="2"/>
  <c r="R393" i="2"/>
  <c r="B394" i="2"/>
  <c r="G394" i="2"/>
  <c r="L394" i="2"/>
  <c r="R394" i="2"/>
  <c r="W394" i="2"/>
  <c r="F395" i="2"/>
  <c r="L395" i="2"/>
  <c r="Q395" i="2"/>
  <c r="F397" i="2"/>
  <c r="N397" i="2"/>
  <c r="V397" i="2"/>
  <c r="H398" i="2"/>
  <c r="P398" i="2"/>
  <c r="B399" i="2"/>
  <c r="J399" i="2"/>
  <c r="R399" i="2"/>
  <c r="D400" i="2"/>
  <c r="L400" i="2"/>
  <c r="T400" i="2"/>
  <c r="F401" i="2"/>
  <c r="N401" i="2"/>
  <c r="V401" i="2"/>
  <c r="N430" i="2"/>
  <c r="F315" i="2"/>
  <c r="J315" i="2"/>
  <c r="N315" i="2"/>
  <c r="R315" i="2"/>
  <c r="V315" i="2"/>
  <c r="D316" i="2"/>
  <c r="H316" i="2"/>
  <c r="L316" i="2"/>
  <c r="P316" i="2"/>
  <c r="T316" i="2"/>
  <c r="B317" i="2"/>
  <c r="F317" i="2"/>
  <c r="J317" i="2"/>
  <c r="N317" i="2"/>
  <c r="R317" i="2"/>
  <c r="V317" i="2"/>
  <c r="D318" i="2"/>
  <c r="H318" i="2"/>
  <c r="L318" i="2"/>
  <c r="P318" i="2"/>
  <c r="T318" i="2"/>
  <c r="F337" i="2"/>
  <c r="J337" i="2"/>
  <c r="N337" i="2"/>
  <c r="R337" i="2"/>
  <c r="V337" i="2"/>
  <c r="D338" i="2"/>
  <c r="H338" i="2"/>
  <c r="L338" i="2"/>
  <c r="P338" i="2"/>
  <c r="T338" i="2"/>
  <c r="F348" i="2"/>
  <c r="J348" i="2"/>
  <c r="N348" i="2"/>
  <c r="R348" i="2"/>
  <c r="V348" i="2"/>
  <c r="D349" i="2"/>
  <c r="H349" i="2"/>
  <c r="L349" i="2"/>
  <c r="P349" i="2"/>
  <c r="T349" i="2"/>
  <c r="B350" i="2"/>
  <c r="F350" i="2"/>
  <c r="J350" i="2"/>
  <c r="N350" i="2"/>
  <c r="R350" i="2"/>
  <c r="V350" i="2"/>
  <c r="D351" i="2"/>
  <c r="H351" i="2"/>
  <c r="L351" i="2"/>
  <c r="P351" i="2"/>
  <c r="T351" i="2"/>
  <c r="B352" i="2"/>
  <c r="F352" i="2"/>
  <c r="J352" i="2"/>
  <c r="N352" i="2"/>
  <c r="R352" i="2"/>
  <c r="V352" i="2"/>
  <c r="D353" i="2"/>
  <c r="H353" i="2"/>
  <c r="L353" i="2"/>
  <c r="P353" i="2"/>
  <c r="T353" i="2"/>
  <c r="B354" i="2"/>
  <c r="F354" i="2"/>
  <c r="J354" i="2"/>
  <c r="N354" i="2"/>
  <c r="R354" i="2"/>
  <c r="V354" i="2"/>
  <c r="W395" i="2"/>
  <c r="S395" i="2"/>
  <c r="O395" i="2"/>
  <c r="K395" i="2"/>
  <c r="G395" i="2"/>
  <c r="C395" i="2"/>
  <c r="U394" i="2"/>
  <c r="Q394" i="2"/>
  <c r="M394" i="2"/>
  <c r="I394" i="2"/>
  <c r="E394" i="2"/>
  <c r="W393" i="2"/>
  <c r="S393" i="2"/>
  <c r="O393" i="2"/>
  <c r="K393" i="2"/>
  <c r="G393" i="2"/>
  <c r="C393" i="2"/>
  <c r="U392" i="2"/>
  <c r="Q392" i="2"/>
  <c r="M392" i="2"/>
  <c r="I392" i="2"/>
  <c r="E392" i="2"/>
  <c r="W391" i="2"/>
  <c r="S391" i="2"/>
  <c r="O391" i="2"/>
  <c r="K391" i="2"/>
  <c r="G391" i="2"/>
  <c r="C391" i="2"/>
  <c r="U390" i="2"/>
  <c r="Q390" i="2"/>
  <c r="M390" i="2"/>
  <c r="I390" i="2"/>
  <c r="E390" i="2"/>
  <c r="W389" i="2"/>
  <c r="S389" i="2"/>
  <c r="O389" i="2"/>
  <c r="K389" i="2"/>
  <c r="G389" i="2"/>
  <c r="C389" i="2"/>
  <c r="U388" i="2"/>
  <c r="Q388" i="2"/>
  <c r="M388" i="2"/>
  <c r="I388" i="2"/>
  <c r="E388" i="2"/>
  <c r="W387" i="2"/>
  <c r="S387" i="2"/>
  <c r="O387" i="2"/>
  <c r="K387" i="2"/>
  <c r="G387" i="2"/>
  <c r="C387" i="2"/>
  <c r="U386" i="2"/>
  <c r="Q386" i="2"/>
  <c r="M386" i="2"/>
  <c r="I386" i="2"/>
  <c r="E386" i="2"/>
  <c r="W385" i="2"/>
  <c r="S385" i="2"/>
  <c r="O385" i="2"/>
  <c r="K385" i="2"/>
  <c r="G385" i="2"/>
  <c r="C385" i="2"/>
  <c r="U384" i="2"/>
  <c r="Q384" i="2"/>
  <c r="M384" i="2"/>
  <c r="I384" i="2"/>
  <c r="E384" i="2"/>
  <c r="W383" i="2"/>
  <c r="S383" i="2"/>
  <c r="O383" i="2"/>
  <c r="K383" i="2"/>
  <c r="G383" i="2"/>
  <c r="C383" i="2"/>
  <c r="U382" i="2"/>
  <c r="Q382" i="2"/>
  <c r="M382" i="2"/>
  <c r="I382" i="2"/>
  <c r="E382" i="2"/>
  <c r="W381" i="2"/>
  <c r="S381" i="2"/>
  <c r="O381" i="2"/>
  <c r="K381" i="2"/>
  <c r="G381" i="2"/>
  <c r="C381" i="2"/>
  <c r="U380" i="2"/>
  <c r="Q380" i="2"/>
  <c r="M380" i="2"/>
  <c r="I380" i="2"/>
  <c r="E380" i="2"/>
  <c r="B380" i="2"/>
  <c r="G380" i="2"/>
  <c r="L380" i="2"/>
  <c r="R380" i="2"/>
  <c r="W380" i="2"/>
  <c r="F381" i="2"/>
  <c r="L381" i="2"/>
  <c r="Q381" i="2"/>
  <c r="V381" i="2"/>
  <c r="F382" i="2"/>
  <c r="K382" i="2"/>
  <c r="P382" i="2"/>
  <c r="V382" i="2"/>
  <c r="E383" i="2"/>
  <c r="J383" i="2"/>
  <c r="P383" i="2"/>
  <c r="U383" i="2"/>
  <c r="D384" i="2"/>
  <c r="J384" i="2"/>
  <c r="O384" i="2"/>
  <c r="T384" i="2"/>
  <c r="D385" i="2"/>
  <c r="I385" i="2"/>
  <c r="N385" i="2"/>
  <c r="T385" i="2"/>
  <c r="C386" i="2"/>
  <c r="H386" i="2"/>
  <c r="N386" i="2"/>
  <c r="S386" i="2"/>
  <c r="B387" i="2"/>
  <c r="H387" i="2"/>
  <c r="M387" i="2"/>
  <c r="R387" i="2"/>
  <c r="B388" i="2"/>
  <c r="G388" i="2"/>
  <c r="L388" i="2"/>
  <c r="R388" i="2"/>
  <c r="W388" i="2"/>
  <c r="F389" i="2"/>
  <c r="L389" i="2"/>
  <c r="Q389" i="2"/>
  <c r="V389" i="2"/>
  <c r="F390" i="2"/>
  <c r="K390" i="2"/>
  <c r="P390" i="2"/>
  <c r="V390" i="2"/>
  <c r="E391" i="2"/>
  <c r="J391" i="2"/>
  <c r="P391" i="2"/>
  <c r="U391" i="2"/>
  <c r="D392" i="2"/>
  <c r="J392" i="2"/>
  <c r="O392" i="2"/>
  <c r="T392" i="2"/>
  <c r="D393" i="2"/>
  <c r="I393" i="2"/>
  <c r="N393" i="2"/>
  <c r="T393" i="2"/>
  <c r="C394" i="2"/>
  <c r="H394" i="2"/>
  <c r="N394" i="2"/>
  <c r="S394" i="2"/>
  <c r="B395" i="2"/>
  <c r="H395" i="2"/>
  <c r="M395" i="2"/>
  <c r="R395" i="2"/>
  <c r="B397" i="2"/>
  <c r="G397" i="2"/>
  <c r="O397" i="2"/>
  <c r="W397" i="2"/>
  <c r="I398" i="2"/>
  <c r="Q398" i="2"/>
  <c r="C399" i="2"/>
  <c r="K399" i="2"/>
  <c r="S399" i="2"/>
  <c r="E400" i="2"/>
  <c r="M400" i="2"/>
  <c r="U400" i="2"/>
  <c r="G401" i="2"/>
  <c r="O401" i="2"/>
  <c r="V431" i="2"/>
  <c r="R431" i="2"/>
  <c r="N431" i="2"/>
  <c r="J431" i="2"/>
  <c r="F431" i="2"/>
  <c r="B431" i="2"/>
  <c r="T430" i="2"/>
  <c r="P430" i="2"/>
  <c r="L430" i="2"/>
  <c r="H430" i="2"/>
  <c r="D430" i="2"/>
  <c r="U431" i="2"/>
  <c r="Q431" i="2"/>
  <c r="M431" i="2"/>
  <c r="I431" i="2"/>
  <c r="E431" i="2"/>
  <c r="W430" i="2"/>
  <c r="S430" i="2"/>
  <c r="O430" i="2"/>
  <c r="K430" i="2"/>
  <c r="G430" i="2"/>
  <c r="C430" i="2"/>
  <c r="W431" i="2"/>
  <c r="S431" i="2"/>
  <c r="O431" i="2"/>
  <c r="K431" i="2"/>
  <c r="G431" i="2"/>
  <c r="C431" i="2"/>
  <c r="U430" i="2"/>
  <c r="Q430" i="2"/>
  <c r="M430" i="2"/>
  <c r="I430" i="2"/>
  <c r="E430" i="2"/>
  <c r="B430" i="2"/>
  <c r="R430" i="2"/>
  <c r="L431" i="2"/>
  <c r="F301" i="2"/>
  <c r="J301" i="2"/>
  <c r="N301" i="2"/>
  <c r="R301" i="2"/>
  <c r="V301" i="2"/>
  <c r="D302" i="2"/>
  <c r="H302" i="2"/>
  <c r="L302" i="2"/>
  <c r="P302" i="2"/>
  <c r="T302" i="2"/>
  <c r="B303" i="2"/>
  <c r="F303" i="2"/>
  <c r="J303" i="2"/>
  <c r="N303" i="2"/>
  <c r="R303" i="2"/>
  <c r="V303" i="2"/>
  <c r="D304" i="2"/>
  <c r="H304" i="2"/>
  <c r="L304" i="2"/>
  <c r="P304" i="2"/>
  <c r="T304" i="2"/>
  <c r="F309" i="2"/>
  <c r="J309" i="2"/>
  <c r="N309" i="2"/>
  <c r="R309" i="2"/>
  <c r="V309" i="2"/>
  <c r="D310" i="2"/>
  <c r="H310" i="2"/>
  <c r="L310" i="2"/>
  <c r="P310" i="2"/>
  <c r="T310" i="2"/>
  <c r="B311" i="2"/>
  <c r="F311" i="2"/>
  <c r="J311" i="2"/>
  <c r="N311" i="2"/>
  <c r="R311" i="2"/>
  <c r="V311" i="2"/>
  <c r="D312" i="2"/>
  <c r="H312" i="2"/>
  <c r="L312" i="2"/>
  <c r="P312" i="2"/>
  <c r="T312" i="2"/>
  <c r="B313" i="2"/>
  <c r="F313" i="2"/>
  <c r="J313" i="2"/>
  <c r="N313" i="2"/>
  <c r="R313" i="2"/>
  <c r="V313" i="2"/>
  <c r="C315" i="2"/>
  <c r="G315" i="2"/>
  <c r="K315" i="2"/>
  <c r="O315" i="2"/>
  <c r="S315" i="2"/>
  <c r="W315" i="2"/>
  <c r="E316" i="2"/>
  <c r="I316" i="2"/>
  <c r="M316" i="2"/>
  <c r="Q316" i="2"/>
  <c r="U316" i="2"/>
  <c r="C317" i="2"/>
  <c r="G317" i="2"/>
  <c r="K317" i="2"/>
  <c r="O317" i="2"/>
  <c r="S317" i="2"/>
  <c r="W317" i="2"/>
  <c r="E318" i="2"/>
  <c r="I318" i="2"/>
  <c r="M318" i="2"/>
  <c r="Q318" i="2"/>
  <c r="U318" i="2"/>
  <c r="F321" i="2"/>
  <c r="J321" i="2"/>
  <c r="N321" i="2"/>
  <c r="R321" i="2"/>
  <c r="V321" i="2"/>
  <c r="D322" i="2"/>
  <c r="H322" i="2"/>
  <c r="L322" i="2"/>
  <c r="P322" i="2"/>
  <c r="T322" i="2"/>
  <c r="B323" i="2"/>
  <c r="F323" i="2"/>
  <c r="J323" i="2"/>
  <c r="N323" i="2"/>
  <c r="R323" i="2"/>
  <c r="V323" i="2"/>
  <c r="D324" i="2"/>
  <c r="H324" i="2"/>
  <c r="L324" i="2"/>
  <c r="P324" i="2"/>
  <c r="T324" i="2"/>
  <c r="B325" i="2"/>
  <c r="F325" i="2"/>
  <c r="J325" i="2"/>
  <c r="N325" i="2"/>
  <c r="R325" i="2"/>
  <c r="V325" i="2"/>
  <c r="D326" i="2"/>
  <c r="H326" i="2"/>
  <c r="L326" i="2"/>
  <c r="P326" i="2"/>
  <c r="T326" i="2"/>
  <c r="F333" i="2"/>
  <c r="J333" i="2"/>
  <c r="N333" i="2"/>
  <c r="R333" i="2"/>
  <c r="V333" i="2"/>
  <c r="D334" i="2"/>
  <c r="H334" i="2"/>
  <c r="L334" i="2"/>
  <c r="P334" i="2"/>
  <c r="T334" i="2"/>
  <c r="B335" i="2"/>
  <c r="F335" i="2"/>
  <c r="J335" i="2"/>
  <c r="N335" i="2"/>
  <c r="R335" i="2"/>
  <c r="V335" i="2"/>
  <c r="C337" i="2"/>
  <c r="G337" i="2"/>
  <c r="K337" i="2"/>
  <c r="O337" i="2"/>
  <c r="S337" i="2"/>
  <c r="W337" i="2"/>
  <c r="E338" i="2"/>
  <c r="I338" i="2"/>
  <c r="M338" i="2"/>
  <c r="Q338" i="2"/>
  <c r="U338" i="2"/>
  <c r="F341" i="2"/>
  <c r="J341" i="2"/>
  <c r="N341" i="2"/>
  <c r="R341" i="2"/>
  <c r="V341" i="2"/>
  <c r="D342" i="2"/>
  <c r="H342" i="2"/>
  <c r="L342" i="2"/>
  <c r="P342" i="2"/>
  <c r="T342" i="2"/>
  <c r="B343" i="2"/>
  <c r="F343" i="2"/>
  <c r="J343" i="2"/>
  <c r="N343" i="2"/>
  <c r="R343" i="2"/>
  <c r="V343" i="2"/>
  <c r="D344" i="2"/>
  <c r="H344" i="2"/>
  <c r="L344" i="2"/>
  <c r="P344" i="2"/>
  <c r="T344" i="2"/>
  <c r="B345" i="2"/>
  <c r="F345" i="2"/>
  <c r="J345" i="2"/>
  <c r="N345" i="2"/>
  <c r="R345" i="2"/>
  <c r="V345" i="2"/>
  <c r="C348" i="2"/>
  <c r="G348" i="2"/>
  <c r="K348" i="2"/>
  <c r="O348" i="2"/>
  <c r="S348" i="2"/>
  <c r="W348" i="2"/>
  <c r="E349" i="2"/>
  <c r="I349" i="2"/>
  <c r="M349" i="2"/>
  <c r="Q349" i="2"/>
  <c r="U349" i="2"/>
  <c r="C350" i="2"/>
  <c r="G350" i="2"/>
  <c r="K350" i="2"/>
  <c r="O350" i="2"/>
  <c r="S350" i="2"/>
  <c r="W350" i="2"/>
  <c r="E351" i="2"/>
  <c r="I351" i="2"/>
  <c r="M351" i="2"/>
  <c r="Q351" i="2"/>
  <c r="U351" i="2"/>
  <c r="C352" i="2"/>
  <c r="G352" i="2"/>
  <c r="K352" i="2"/>
  <c r="O352" i="2"/>
  <c r="S352" i="2"/>
  <c r="W352" i="2"/>
  <c r="E353" i="2"/>
  <c r="I353" i="2"/>
  <c r="M353" i="2"/>
  <c r="Q353" i="2"/>
  <c r="U353" i="2"/>
  <c r="C354" i="2"/>
  <c r="G354" i="2"/>
  <c r="K354" i="2"/>
  <c r="O354" i="2"/>
  <c r="S354" i="2"/>
  <c r="W354" i="2"/>
  <c r="D359" i="2"/>
  <c r="H359" i="2"/>
  <c r="L359" i="2"/>
  <c r="P359" i="2"/>
  <c r="T359" i="2"/>
  <c r="B360" i="2"/>
  <c r="F360" i="2"/>
  <c r="J360" i="2"/>
  <c r="N360" i="2"/>
  <c r="R360" i="2"/>
  <c r="V360" i="2"/>
  <c r="D361" i="2"/>
  <c r="H361" i="2"/>
  <c r="L361" i="2"/>
  <c r="P361" i="2"/>
  <c r="T361" i="2"/>
  <c r="B362" i="2"/>
  <c r="F362" i="2"/>
  <c r="J362" i="2"/>
  <c r="N362" i="2"/>
  <c r="R362" i="2"/>
  <c r="V362" i="2"/>
  <c r="D363" i="2"/>
  <c r="H363" i="2"/>
  <c r="L363" i="2"/>
  <c r="P363" i="2"/>
  <c r="T363" i="2"/>
  <c r="B364" i="2"/>
  <c r="F364" i="2"/>
  <c r="J364" i="2"/>
  <c r="N364" i="2"/>
  <c r="R364" i="2"/>
  <c r="V364" i="2"/>
  <c r="D365" i="2"/>
  <c r="H365" i="2"/>
  <c r="L365" i="2"/>
  <c r="P365" i="2"/>
  <c r="T365" i="2"/>
  <c r="B366" i="2"/>
  <c r="F366" i="2"/>
  <c r="J366" i="2"/>
  <c r="N366" i="2"/>
  <c r="R366" i="2"/>
  <c r="V366" i="2"/>
  <c r="D367" i="2"/>
  <c r="H367" i="2"/>
  <c r="L367" i="2"/>
  <c r="P367" i="2"/>
  <c r="T367" i="2"/>
  <c r="W375" i="2"/>
  <c r="S375" i="2"/>
  <c r="O375" i="2"/>
  <c r="K375" i="2"/>
  <c r="G375" i="2"/>
  <c r="C375" i="2"/>
  <c r="U374" i="2"/>
  <c r="Q374" i="2"/>
  <c r="M374" i="2"/>
  <c r="I374" i="2"/>
  <c r="E374" i="2"/>
  <c r="B374" i="2"/>
  <c r="G374" i="2"/>
  <c r="L374" i="2"/>
  <c r="R374" i="2"/>
  <c r="W374" i="2"/>
  <c r="F375" i="2"/>
  <c r="L375" i="2"/>
  <c r="Q375" i="2"/>
  <c r="V375" i="2"/>
  <c r="C380" i="2"/>
  <c r="H380" i="2"/>
  <c r="N380" i="2"/>
  <c r="S380" i="2"/>
  <c r="B381" i="2"/>
  <c r="H381" i="2"/>
  <c r="M381" i="2"/>
  <c r="R381" i="2"/>
  <c r="B382" i="2"/>
  <c r="G382" i="2"/>
  <c r="L382" i="2"/>
  <c r="R382" i="2"/>
  <c r="W382" i="2"/>
  <c r="F383" i="2"/>
  <c r="L383" i="2"/>
  <c r="Q383" i="2"/>
  <c r="V383" i="2"/>
  <c r="F384" i="2"/>
  <c r="K384" i="2"/>
  <c r="P384" i="2"/>
  <c r="V384" i="2"/>
  <c r="E385" i="2"/>
  <c r="J385" i="2"/>
  <c r="P385" i="2"/>
  <c r="U385" i="2"/>
  <c r="D386" i="2"/>
  <c r="J386" i="2"/>
  <c r="O386" i="2"/>
  <c r="T386" i="2"/>
  <c r="D387" i="2"/>
  <c r="I387" i="2"/>
  <c r="N387" i="2"/>
  <c r="T387" i="2"/>
  <c r="C388" i="2"/>
  <c r="H388" i="2"/>
  <c r="N388" i="2"/>
  <c r="S388" i="2"/>
  <c r="B389" i="2"/>
  <c r="H389" i="2"/>
  <c r="M389" i="2"/>
  <c r="R389" i="2"/>
  <c r="B390" i="2"/>
  <c r="G390" i="2"/>
  <c r="L390" i="2"/>
  <c r="R390" i="2"/>
  <c r="W390" i="2"/>
  <c r="F391" i="2"/>
  <c r="L391" i="2"/>
  <c r="Q391" i="2"/>
  <c r="V391" i="2"/>
  <c r="F392" i="2"/>
  <c r="K392" i="2"/>
  <c r="P392" i="2"/>
  <c r="V392" i="2"/>
  <c r="E393" i="2"/>
  <c r="J393" i="2"/>
  <c r="P393" i="2"/>
  <c r="U393" i="2"/>
  <c r="D394" i="2"/>
  <c r="J394" i="2"/>
  <c r="O394" i="2"/>
  <c r="T394" i="2"/>
  <c r="D395" i="2"/>
  <c r="I395" i="2"/>
  <c r="N395" i="2"/>
  <c r="T395" i="2"/>
  <c r="T401" i="2"/>
  <c r="P401" i="2"/>
  <c r="L401" i="2"/>
  <c r="H401" i="2"/>
  <c r="D401" i="2"/>
  <c r="V400" i="2"/>
  <c r="R400" i="2"/>
  <c r="N400" i="2"/>
  <c r="J400" i="2"/>
  <c r="F400" i="2"/>
  <c r="B400" i="2"/>
  <c r="T399" i="2"/>
  <c r="P399" i="2"/>
  <c r="L399" i="2"/>
  <c r="H399" i="2"/>
  <c r="D399" i="2"/>
  <c r="V398" i="2"/>
  <c r="R398" i="2"/>
  <c r="N398" i="2"/>
  <c r="J398" i="2"/>
  <c r="F398" i="2"/>
  <c r="B398" i="2"/>
  <c r="T397" i="2"/>
  <c r="P397" i="2"/>
  <c r="L397" i="2"/>
  <c r="H397" i="2"/>
  <c r="D397" i="2"/>
  <c r="U401" i="2"/>
  <c r="Q401" i="2"/>
  <c r="M401" i="2"/>
  <c r="I401" i="2"/>
  <c r="E401" i="2"/>
  <c r="W400" i="2"/>
  <c r="S400" i="2"/>
  <c r="O400" i="2"/>
  <c r="K400" i="2"/>
  <c r="G400" i="2"/>
  <c r="C400" i="2"/>
  <c r="U399" i="2"/>
  <c r="Q399" i="2"/>
  <c r="M399" i="2"/>
  <c r="I399" i="2"/>
  <c r="E399" i="2"/>
  <c r="W398" i="2"/>
  <c r="S398" i="2"/>
  <c r="O398" i="2"/>
  <c r="K398" i="2"/>
  <c r="G398" i="2"/>
  <c r="C398" i="2"/>
  <c r="U397" i="2"/>
  <c r="Q397" i="2"/>
  <c r="M397" i="2"/>
  <c r="I397" i="2"/>
  <c r="E397" i="2"/>
  <c r="J397" i="2"/>
  <c r="R397" i="2"/>
  <c r="D398" i="2"/>
  <c r="L398" i="2"/>
  <c r="T398" i="2"/>
  <c r="F399" i="2"/>
  <c r="N399" i="2"/>
  <c r="V399" i="2"/>
  <c r="H400" i="2"/>
  <c r="P400" i="2"/>
  <c r="B401" i="2"/>
  <c r="J401" i="2"/>
  <c r="R401" i="2"/>
  <c r="F430" i="2"/>
  <c r="V430" i="2"/>
  <c r="P431" i="2"/>
  <c r="Z233" i="2"/>
  <c r="AC233" i="2"/>
  <c r="AG233" i="2"/>
  <c r="AK233" i="2"/>
  <c r="AO233" i="2"/>
  <c r="F235" i="2"/>
  <c r="J235" i="2"/>
  <c r="N235" i="2"/>
  <c r="R235" i="2"/>
  <c r="AD240" i="2"/>
  <c r="AH240" i="2"/>
  <c r="AL240" i="2"/>
  <c r="AP240" i="2"/>
  <c r="B270" i="2"/>
  <c r="E270" i="2"/>
  <c r="I270" i="2"/>
  <c r="M270" i="2"/>
  <c r="Q270" i="2"/>
  <c r="U270" i="2"/>
  <c r="C271" i="2"/>
  <c r="G271" i="2"/>
  <c r="K271" i="2"/>
  <c r="O271" i="2"/>
  <c r="S271" i="2"/>
  <c r="W271" i="2"/>
  <c r="E272" i="2"/>
  <c r="I272" i="2"/>
  <c r="M272" i="2"/>
  <c r="Q272" i="2"/>
  <c r="U272" i="2"/>
  <c r="C273" i="2"/>
  <c r="G273" i="2"/>
  <c r="K273" i="2"/>
  <c r="O273" i="2"/>
  <c r="S273" i="2"/>
  <c r="W273" i="2"/>
  <c r="E274" i="2"/>
  <c r="I274" i="2"/>
  <c r="M274" i="2"/>
  <c r="Q274" i="2"/>
  <c r="U274" i="2"/>
  <c r="C275" i="2"/>
  <c r="G275" i="2"/>
  <c r="K275" i="2"/>
  <c r="O275" i="2"/>
  <c r="S275" i="2"/>
  <c r="W275" i="2"/>
  <c r="E276" i="2"/>
  <c r="I276" i="2"/>
  <c r="M276" i="2"/>
  <c r="Q276" i="2"/>
  <c r="F278" i="2"/>
  <c r="J278" i="2"/>
  <c r="N278" i="2"/>
  <c r="R278" i="2"/>
  <c r="V278" i="2"/>
  <c r="D279" i="2"/>
  <c r="H279" i="2"/>
  <c r="L279" i="2"/>
  <c r="P279" i="2"/>
  <c r="T279" i="2"/>
  <c r="B280" i="2"/>
  <c r="F280" i="2"/>
  <c r="J280" i="2"/>
  <c r="N280" i="2"/>
  <c r="R280" i="2"/>
  <c r="V280" i="2"/>
  <c r="D281" i="2"/>
  <c r="H281" i="2"/>
  <c r="L281" i="2"/>
  <c r="P281" i="2"/>
  <c r="T281" i="2"/>
  <c r="B282" i="2"/>
  <c r="F282" i="2"/>
  <c r="J282" i="2"/>
  <c r="N282" i="2"/>
  <c r="R282" i="2"/>
  <c r="V282" i="2"/>
  <c r="D283" i="2"/>
  <c r="H283" i="2"/>
  <c r="L283" i="2"/>
  <c r="P283" i="2"/>
  <c r="T283" i="2"/>
  <c r="B284" i="2"/>
  <c r="F284" i="2"/>
  <c r="J284" i="2"/>
  <c r="N284" i="2"/>
  <c r="R284" i="2"/>
  <c r="V284" i="2"/>
  <c r="D285" i="2"/>
  <c r="H285" i="2"/>
  <c r="L285" i="2"/>
  <c r="P285" i="2"/>
  <c r="T285" i="2"/>
  <c r="B286" i="2"/>
  <c r="F286" i="2"/>
  <c r="J286" i="2"/>
  <c r="N286" i="2"/>
  <c r="R286" i="2"/>
  <c r="F291" i="2"/>
  <c r="J291" i="2"/>
  <c r="N291" i="2"/>
  <c r="R291" i="2"/>
  <c r="V291" i="2"/>
  <c r="D292" i="2"/>
  <c r="H292" i="2"/>
  <c r="L292" i="2"/>
  <c r="P292" i="2"/>
  <c r="T292" i="2"/>
  <c r="B293" i="2"/>
  <c r="F293" i="2"/>
  <c r="J293" i="2"/>
  <c r="N293" i="2"/>
  <c r="R293" i="2"/>
  <c r="V293" i="2"/>
  <c r="D294" i="2"/>
  <c r="H294" i="2"/>
  <c r="L294" i="2"/>
  <c r="P294" i="2"/>
  <c r="B297" i="2"/>
  <c r="E297" i="2"/>
  <c r="I297" i="2"/>
  <c r="M297" i="2"/>
  <c r="Q297" i="2"/>
  <c r="F298" i="2"/>
  <c r="J298" i="2"/>
  <c r="N298" i="2"/>
  <c r="R298" i="2"/>
  <c r="V298" i="2"/>
  <c r="D299" i="2"/>
  <c r="H299" i="2"/>
  <c r="L299" i="2"/>
  <c r="P299" i="2"/>
  <c r="T299" i="2"/>
  <c r="B300" i="2"/>
  <c r="F300" i="2"/>
  <c r="J300" i="2"/>
  <c r="N300" i="2"/>
  <c r="R300" i="2"/>
  <c r="C301" i="2"/>
  <c r="G301" i="2"/>
  <c r="K301" i="2"/>
  <c r="O301" i="2"/>
  <c r="S301" i="2"/>
  <c r="W301" i="2"/>
  <c r="E302" i="2"/>
  <c r="I302" i="2"/>
  <c r="M302" i="2"/>
  <c r="Q302" i="2"/>
  <c r="U302" i="2"/>
  <c r="C303" i="2"/>
  <c r="G303" i="2"/>
  <c r="K303" i="2"/>
  <c r="O303" i="2"/>
  <c r="S303" i="2"/>
  <c r="W303" i="2"/>
  <c r="E304" i="2"/>
  <c r="I304" i="2"/>
  <c r="M304" i="2"/>
  <c r="Q304" i="2"/>
  <c r="F305" i="2"/>
  <c r="J305" i="2"/>
  <c r="N305" i="2"/>
  <c r="R305" i="2"/>
  <c r="C309" i="2"/>
  <c r="G309" i="2"/>
  <c r="K309" i="2"/>
  <c r="O309" i="2"/>
  <c r="S309" i="2"/>
  <c r="W309" i="2"/>
  <c r="E310" i="2"/>
  <c r="I310" i="2"/>
  <c r="M310" i="2"/>
  <c r="Q310" i="2"/>
  <c r="U310" i="2"/>
  <c r="C311" i="2"/>
  <c r="G311" i="2"/>
  <c r="K311" i="2"/>
  <c r="O311" i="2"/>
  <c r="S311" i="2"/>
  <c r="W311" i="2"/>
  <c r="E312" i="2"/>
  <c r="I312" i="2"/>
  <c r="M312" i="2"/>
  <c r="Q312" i="2"/>
  <c r="U312" i="2"/>
  <c r="C313" i="2"/>
  <c r="G313" i="2"/>
  <c r="K313" i="2"/>
  <c r="O313" i="2"/>
  <c r="S313" i="2"/>
  <c r="D315" i="2"/>
  <c r="H315" i="2"/>
  <c r="L315" i="2"/>
  <c r="P315" i="2"/>
  <c r="T315" i="2"/>
  <c r="B316" i="2"/>
  <c r="F316" i="2"/>
  <c r="J316" i="2"/>
  <c r="N316" i="2"/>
  <c r="R316" i="2"/>
  <c r="V316" i="2"/>
  <c r="D317" i="2"/>
  <c r="H317" i="2"/>
  <c r="L317" i="2"/>
  <c r="P317" i="2"/>
  <c r="T317" i="2"/>
  <c r="B318" i="2"/>
  <c r="F318" i="2"/>
  <c r="J318" i="2"/>
  <c r="N318" i="2"/>
  <c r="R318" i="2"/>
  <c r="C321" i="2"/>
  <c r="G321" i="2"/>
  <c r="K321" i="2"/>
  <c r="O321" i="2"/>
  <c r="S321" i="2"/>
  <c r="W321" i="2"/>
  <c r="E322" i="2"/>
  <c r="I322" i="2"/>
  <c r="M322" i="2"/>
  <c r="Q322" i="2"/>
  <c r="U322" i="2"/>
  <c r="C323" i="2"/>
  <c r="G323" i="2"/>
  <c r="K323" i="2"/>
  <c r="O323" i="2"/>
  <c r="S323" i="2"/>
  <c r="W323" i="2"/>
  <c r="E324" i="2"/>
  <c r="I324" i="2"/>
  <c r="M324" i="2"/>
  <c r="Q324" i="2"/>
  <c r="U324" i="2"/>
  <c r="C325" i="2"/>
  <c r="G325" i="2"/>
  <c r="K325" i="2"/>
  <c r="O325" i="2"/>
  <c r="S325" i="2"/>
  <c r="W325" i="2"/>
  <c r="E326" i="2"/>
  <c r="I326" i="2"/>
  <c r="M326" i="2"/>
  <c r="Q326" i="2"/>
  <c r="F328" i="2"/>
  <c r="J328" i="2"/>
  <c r="N328" i="2"/>
  <c r="R328" i="2"/>
  <c r="V328" i="2"/>
  <c r="D329" i="2"/>
  <c r="H329" i="2"/>
  <c r="L329" i="2"/>
  <c r="P329" i="2"/>
  <c r="T329" i="2"/>
  <c r="B330" i="2"/>
  <c r="F330" i="2"/>
  <c r="J330" i="2"/>
  <c r="N330" i="2"/>
  <c r="R330" i="2"/>
  <c r="C333" i="2"/>
  <c r="G333" i="2"/>
  <c r="K333" i="2"/>
  <c r="O333" i="2"/>
  <c r="S333" i="2"/>
  <c r="W333" i="2"/>
  <c r="E334" i="2"/>
  <c r="I334" i="2"/>
  <c r="M334" i="2"/>
  <c r="Q334" i="2"/>
  <c r="U334" i="2"/>
  <c r="C335" i="2"/>
  <c r="G335" i="2"/>
  <c r="K335" i="2"/>
  <c r="O335" i="2"/>
  <c r="S335" i="2"/>
  <c r="D337" i="2"/>
  <c r="H337" i="2"/>
  <c r="L337" i="2"/>
  <c r="P337" i="2"/>
  <c r="T337" i="2"/>
  <c r="B338" i="2"/>
  <c r="F338" i="2"/>
  <c r="J338" i="2"/>
  <c r="N338" i="2"/>
  <c r="R338" i="2"/>
  <c r="C341" i="2"/>
  <c r="G341" i="2"/>
  <c r="K341" i="2"/>
  <c r="O341" i="2"/>
  <c r="S341" i="2"/>
  <c r="W341" i="2"/>
  <c r="E342" i="2"/>
  <c r="I342" i="2"/>
  <c r="M342" i="2"/>
  <c r="Q342" i="2"/>
  <c r="U342" i="2"/>
  <c r="C343" i="2"/>
  <c r="G343" i="2"/>
  <c r="K343" i="2"/>
  <c r="O343" i="2"/>
  <c r="S343" i="2"/>
  <c r="W343" i="2"/>
  <c r="E344" i="2"/>
  <c r="I344" i="2"/>
  <c r="M344" i="2"/>
  <c r="Q344" i="2"/>
  <c r="U344" i="2"/>
  <c r="C345" i="2"/>
  <c r="G345" i="2"/>
  <c r="K345" i="2"/>
  <c r="O345" i="2"/>
  <c r="S345" i="2"/>
  <c r="D348" i="2"/>
  <c r="H348" i="2"/>
  <c r="L348" i="2"/>
  <c r="P348" i="2"/>
  <c r="T348" i="2"/>
  <c r="B349" i="2"/>
  <c r="F349" i="2"/>
  <c r="J349" i="2"/>
  <c r="N349" i="2"/>
  <c r="R349" i="2"/>
  <c r="V349" i="2"/>
  <c r="D350" i="2"/>
  <c r="H350" i="2"/>
  <c r="L350" i="2"/>
  <c r="P350" i="2"/>
  <c r="T350" i="2"/>
  <c r="B351" i="2"/>
  <c r="F351" i="2"/>
  <c r="J351" i="2"/>
  <c r="N351" i="2"/>
  <c r="R351" i="2"/>
  <c r="V351" i="2"/>
  <c r="D352" i="2"/>
  <c r="H352" i="2"/>
  <c r="L352" i="2"/>
  <c r="P352" i="2"/>
  <c r="T352" i="2"/>
  <c r="B353" i="2"/>
  <c r="F353" i="2"/>
  <c r="J353" i="2"/>
  <c r="N353" i="2"/>
  <c r="R353" i="2"/>
  <c r="V353" i="2"/>
  <c r="D354" i="2"/>
  <c r="H354" i="2"/>
  <c r="L354" i="2"/>
  <c r="P354" i="2"/>
  <c r="B359" i="2"/>
  <c r="E359" i="2"/>
  <c r="I359" i="2"/>
  <c r="M359" i="2"/>
  <c r="Q359" i="2"/>
  <c r="U359" i="2"/>
  <c r="C360" i="2"/>
  <c r="G360" i="2"/>
  <c r="K360" i="2"/>
  <c r="O360" i="2"/>
  <c r="S360" i="2"/>
  <c r="W360" i="2"/>
  <c r="E361" i="2"/>
  <c r="I361" i="2"/>
  <c r="M361" i="2"/>
  <c r="Q361" i="2"/>
  <c r="U361" i="2"/>
  <c r="C362" i="2"/>
  <c r="G362" i="2"/>
  <c r="K362" i="2"/>
  <c r="O362" i="2"/>
  <c r="S362" i="2"/>
  <c r="W362" i="2"/>
  <c r="E363" i="2"/>
  <c r="I363" i="2"/>
  <c r="M363" i="2"/>
  <c r="Q363" i="2"/>
  <c r="U363" i="2"/>
  <c r="C364" i="2"/>
  <c r="G364" i="2"/>
  <c r="K364" i="2"/>
  <c r="O364" i="2"/>
  <c r="S364" i="2"/>
  <c r="W364" i="2"/>
  <c r="E365" i="2"/>
  <c r="I365" i="2"/>
  <c r="M365" i="2"/>
  <c r="Q365" i="2"/>
  <c r="U365" i="2"/>
  <c r="C366" i="2"/>
  <c r="G366" i="2"/>
  <c r="K366" i="2"/>
  <c r="O366" i="2"/>
  <c r="S366" i="2"/>
  <c r="W366" i="2"/>
  <c r="E367" i="2"/>
  <c r="I367" i="2"/>
  <c r="M367" i="2"/>
  <c r="Q367" i="2"/>
  <c r="C374" i="2"/>
  <c r="H374" i="2"/>
  <c r="N374" i="2"/>
  <c r="S374" i="2"/>
  <c r="B375" i="2"/>
  <c r="H375" i="2"/>
  <c r="M375" i="2"/>
  <c r="R375" i="2"/>
  <c r="B377" i="2"/>
  <c r="F377" i="2"/>
  <c r="K377" i="2"/>
  <c r="Q377" i="2"/>
  <c r="V377" i="2"/>
  <c r="D380" i="2"/>
  <c r="J380" i="2"/>
  <c r="O380" i="2"/>
  <c r="T380" i="2"/>
  <c r="D381" i="2"/>
  <c r="I381" i="2"/>
  <c r="N381" i="2"/>
  <c r="T381" i="2"/>
  <c r="C382" i="2"/>
  <c r="H382" i="2"/>
  <c r="N382" i="2"/>
  <c r="S382" i="2"/>
  <c r="B383" i="2"/>
  <c r="H383" i="2"/>
  <c r="M383" i="2"/>
  <c r="R383" i="2"/>
  <c r="B384" i="2"/>
  <c r="G384" i="2"/>
  <c r="L384" i="2"/>
  <c r="R384" i="2"/>
  <c r="W384" i="2"/>
  <c r="F385" i="2"/>
  <c r="L385" i="2"/>
  <c r="Q385" i="2"/>
  <c r="V385" i="2"/>
  <c r="F386" i="2"/>
  <c r="K386" i="2"/>
  <c r="P386" i="2"/>
  <c r="V386" i="2"/>
  <c r="E387" i="2"/>
  <c r="J387" i="2"/>
  <c r="P387" i="2"/>
  <c r="U387" i="2"/>
  <c r="D388" i="2"/>
  <c r="J388" i="2"/>
  <c r="O388" i="2"/>
  <c r="T388" i="2"/>
  <c r="D389" i="2"/>
  <c r="I389" i="2"/>
  <c r="N389" i="2"/>
  <c r="T389" i="2"/>
  <c r="C390" i="2"/>
  <c r="H390" i="2"/>
  <c r="N390" i="2"/>
  <c r="S390" i="2"/>
  <c r="B391" i="2"/>
  <c r="H391" i="2"/>
  <c r="M391" i="2"/>
  <c r="R391" i="2"/>
  <c r="B392" i="2"/>
  <c r="G392" i="2"/>
  <c r="L392" i="2"/>
  <c r="R392" i="2"/>
  <c r="W392" i="2"/>
  <c r="F393" i="2"/>
  <c r="L393" i="2"/>
  <c r="Q393" i="2"/>
  <c r="V393" i="2"/>
  <c r="F394" i="2"/>
  <c r="K394" i="2"/>
  <c r="P394" i="2"/>
  <c r="V394" i="2"/>
  <c r="E395" i="2"/>
  <c r="J395" i="2"/>
  <c r="P395" i="2"/>
  <c r="U395" i="2"/>
  <c r="C397" i="2"/>
  <c r="K397" i="2"/>
  <c r="S397" i="2"/>
  <c r="E398" i="2"/>
  <c r="M398" i="2"/>
  <c r="U398" i="2"/>
  <c r="G399" i="2"/>
  <c r="O399" i="2"/>
  <c r="W399" i="2"/>
  <c r="I400" i="2"/>
  <c r="Q400" i="2"/>
  <c r="C401" i="2"/>
  <c r="K401" i="2"/>
  <c r="S401" i="2"/>
  <c r="J430" i="2"/>
  <c r="D431" i="2"/>
  <c r="T431" i="2"/>
  <c r="F403" i="2"/>
  <c r="J403" i="2"/>
  <c r="N403" i="2"/>
  <c r="R403" i="2"/>
  <c r="V403" i="2"/>
  <c r="D404" i="2"/>
  <c r="H404" i="2"/>
  <c r="L404" i="2"/>
  <c r="P404" i="2"/>
  <c r="T404" i="2"/>
  <c r="B405" i="2"/>
  <c r="F405" i="2"/>
  <c r="J405" i="2"/>
  <c r="N405" i="2"/>
  <c r="R405" i="2"/>
  <c r="V405" i="2"/>
  <c r="D406" i="2"/>
  <c r="H406" i="2"/>
  <c r="L406" i="2"/>
  <c r="P406" i="2"/>
  <c r="T406" i="2"/>
  <c r="B407" i="2"/>
  <c r="F407" i="2"/>
  <c r="J407" i="2"/>
  <c r="N407" i="2"/>
  <c r="R407" i="2"/>
  <c r="V407" i="2"/>
  <c r="D408" i="2"/>
  <c r="H408" i="2"/>
  <c r="L408" i="2"/>
  <c r="P408" i="2"/>
  <c r="T408" i="2"/>
  <c r="B409" i="2"/>
  <c r="F409" i="2"/>
  <c r="J409" i="2"/>
  <c r="N409" i="2"/>
  <c r="R409" i="2"/>
  <c r="V409" i="2"/>
  <c r="C412" i="2"/>
  <c r="G412" i="2"/>
  <c r="K412" i="2"/>
  <c r="O412" i="2"/>
  <c r="S412" i="2"/>
  <c r="W412" i="2"/>
  <c r="E413" i="2"/>
  <c r="I413" i="2"/>
  <c r="M413" i="2"/>
  <c r="Q413" i="2"/>
  <c r="U413" i="2"/>
  <c r="C414" i="2"/>
  <c r="G414" i="2"/>
  <c r="K414" i="2"/>
  <c r="O414" i="2"/>
  <c r="S414" i="2"/>
  <c r="W414" i="2"/>
  <c r="E415" i="2"/>
  <c r="I415" i="2"/>
  <c r="M415" i="2"/>
  <c r="Q415" i="2"/>
  <c r="U415" i="2"/>
  <c r="C416" i="2"/>
  <c r="G416" i="2"/>
  <c r="K416" i="2"/>
  <c r="O416" i="2"/>
  <c r="S416" i="2"/>
  <c r="W416" i="2"/>
  <c r="E417" i="2"/>
  <c r="I417" i="2"/>
  <c r="M417" i="2"/>
  <c r="Q417" i="2"/>
  <c r="U417" i="2"/>
  <c r="C418" i="2"/>
  <c r="G418" i="2"/>
  <c r="K418" i="2"/>
  <c r="O418" i="2"/>
  <c r="S418" i="2"/>
  <c r="W418" i="2"/>
  <c r="D420" i="2"/>
  <c r="H420" i="2"/>
  <c r="L420" i="2"/>
  <c r="P420" i="2"/>
  <c r="T420" i="2"/>
  <c r="B421" i="2"/>
  <c r="F421" i="2"/>
  <c r="J421" i="2"/>
  <c r="N421" i="2"/>
  <c r="R421" i="2"/>
  <c r="V421" i="2"/>
  <c r="D422" i="2"/>
  <c r="H422" i="2"/>
  <c r="L422" i="2"/>
  <c r="P422" i="2"/>
  <c r="T422" i="2"/>
  <c r="B423" i="2"/>
  <c r="F423" i="2"/>
  <c r="J423" i="2"/>
  <c r="N423" i="2"/>
  <c r="R423" i="2"/>
  <c r="V423" i="2"/>
  <c r="D424" i="2"/>
  <c r="H424" i="2"/>
  <c r="L424" i="2"/>
  <c r="P424" i="2"/>
  <c r="T424" i="2"/>
  <c r="B425" i="2"/>
  <c r="F425" i="2"/>
  <c r="J425" i="2"/>
  <c r="N425" i="2"/>
  <c r="R425" i="2"/>
  <c r="V425" i="2"/>
  <c r="D426" i="2"/>
  <c r="H426" i="2"/>
  <c r="L426" i="2"/>
  <c r="P426" i="2"/>
  <c r="T426" i="2"/>
  <c r="B427" i="2"/>
  <c r="F427" i="2"/>
  <c r="J427" i="2"/>
  <c r="N427" i="2"/>
  <c r="R427" i="2"/>
  <c r="V427" i="2"/>
  <c r="D428" i="2"/>
  <c r="H428" i="2"/>
  <c r="L428" i="2"/>
  <c r="P428" i="2"/>
  <c r="T428" i="2"/>
  <c r="D433" i="2"/>
  <c r="H433" i="2"/>
  <c r="L433" i="2"/>
  <c r="P433" i="2"/>
  <c r="T433" i="2"/>
  <c r="B434" i="2"/>
  <c r="F434" i="2"/>
  <c r="J434" i="2"/>
  <c r="N434" i="2"/>
  <c r="R434" i="2"/>
  <c r="V434" i="2"/>
  <c r="D435" i="2"/>
  <c r="H435" i="2"/>
  <c r="L435" i="2"/>
  <c r="P435" i="2"/>
  <c r="T435" i="2"/>
  <c r="B436" i="2"/>
  <c r="F436" i="2"/>
  <c r="J436" i="2"/>
  <c r="N436" i="2"/>
  <c r="R436" i="2"/>
  <c r="V436" i="2"/>
  <c r="D440" i="2"/>
  <c r="H440" i="2"/>
  <c r="L440" i="2"/>
  <c r="P440" i="2"/>
  <c r="T440" i="2"/>
  <c r="B441" i="2"/>
  <c r="F441" i="2"/>
  <c r="J441" i="2"/>
  <c r="N441" i="2"/>
  <c r="R441" i="2"/>
  <c r="V441" i="2"/>
  <c r="D442" i="2"/>
  <c r="H442" i="2"/>
  <c r="L442" i="2"/>
  <c r="P442" i="2"/>
  <c r="T442" i="2"/>
  <c r="B443" i="2"/>
  <c r="E443" i="2"/>
  <c r="I443" i="2"/>
  <c r="M443" i="2"/>
  <c r="Q443" i="2"/>
  <c r="U443" i="2"/>
  <c r="C444" i="2"/>
  <c r="G444" i="2"/>
  <c r="K444" i="2"/>
  <c r="O444" i="2"/>
  <c r="S444" i="2"/>
  <c r="W444" i="2"/>
  <c r="E445" i="2"/>
  <c r="I445" i="2"/>
  <c r="M445" i="2"/>
  <c r="Q445" i="2"/>
  <c r="U445" i="2"/>
  <c r="C446" i="2"/>
  <c r="G446" i="2"/>
  <c r="K446" i="2"/>
  <c r="O446" i="2"/>
  <c r="S446" i="2"/>
  <c r="W446" i="2"/>
  <c r="B451" i="2"/>
  <c r="E451" i="2"/>
  <c r="I451" i="2"/>
  <c r="M451" i="2"/>
  <c r="Q451" i="2"/>
  <c r="U451" i="2"/>
  <c r="C452" i="2"/>
  <c r="G452" i="2"/>
  <c r="K452" i="2"/>
  <c r="O452" i="2"/>
  <c r="S452" i="2"/>
  <c r="W452" i="2"/>
  <c r="E453" i="2"/>
  <c r="I453" i="2"/>
  <c r="M453" i="2"/>
  <c r="Q453" i="2"/>
  <c r="U453" i="2"/>
  <c r="C454" i="2"/>
  <c r="G454" i="2"/>
  <c r="K454" i="2"/>
  <c r="O454" i="2"/>
  <c r="S454" i="2"/>
  <c r="W454" i="2"/>
  <c r="E455" i="2"/>
  <c r="I455" i="2"/>
  <c r="M455" i="2"/>
  <c r="Q455" i="2"/>
  <c r="U455" i="2"/>
  <c r="V460" i="2"/>
  <c r="R460" i="2"/>
  <c r="N460" i="2"/>
  <c r="J460" i="2"/>
  <c r="F460" i="2"/>
  <c r="B460" i="2"/>
  <c r="T459" i="2"/>
  <c r="F457" i="2"/>
  <c r="J457" i="2"/>
  <c r="N457" i="2"/>
  <c r="R457" i="2"/>
  <c r="V457" i="2"/>
  <c r="D458" i="2"/>
  <c r="H458" i="2"/>
  <c r="L458" i="2"/>
  <c r="P458" i="2"/>
  <c r="T458" i="2"/>
  <c r="B459" i="2"/>
  <c r="F459" i="2"/>
  <c r="J459" i="2"/>
  <c r="N459" i="2"/>
  <c r="R459" i="2"/>
  <c r="W459" i="2"/>
  <c r="G460" i="2"/>
  <c r="L460" i="2"/>
  <c r="Q460" i="2"/>
  <c r="W460" i="2"/>
  <c r="E463" i="2"/>
  <c r="J463" i="2"/>
  <c r="P463" i="2"/>
  <c r="U463" i="2"/>
  <c r="D464" i="2"/>
  <c r="J464" i="2"/>
  <c r="O464" i="2"/>
  <c r="T464" i="2"/>
  <c r="D465" i="2"/>
  <c r="I465" i="2"/>
  <c r="N465" i="2"/>
  <c r="T465" i="2"/>
  <c r="C466" i="2"/>
  <c r="H466" i="2"/>
  <c r="N466" i="2"/>
  <c r="S466" i="2"/>
  <c r="B467" i="2"/>
  <c r="H467" i="2"/>
  <c r="M467" i="2"/>
  <c r="R467" i="2"/>
  <c r="B468" i="2"/>
  <c r="G468" i="2"/>
  <c r="L468" i="2"/>
  <c r="R468" i="2"/>
  <c r="B475" i="2"/>
  <c r="F475" i="2"/>
  <c r="L475" i="2"/>
  <c r="Q475" i="2"/>
  <c r="V475" i="2"/>
  <c r="F476" i="2"/>
  <c r="K476" i="2"/>
  <c r="P476" i="2"/>
  <c r="V476" i="2"/>
  <c r="E477" i="2"/>
  <c r="J477" i="2"/>
  <c r="P477" i="2"/>
  <c r="C479" i="2"/>
  <c r="I479" i="2"/>
  <c r="N479" i="2"/>
  <c r="S479" i="2"/>
  <c r="C480" i="2"/>
  <c r="H480" i="2"/>
  <c r="M480" i="2"/>
  <c r="S480" i="2"/>
  <c r="B483" i="2"/>
  <c r="F483" i="2"/>
  <c r="L483" i="2"/>
  <c r="Q483" i="2"/>
  <c r="V483" i="2"/>
  <c r="F484" i="2"/>
  <c r="K484" i="2"/>
  <c r="P484" i="2"/>
  <c r="V484" i="2"/>
  <c r="E485" i="2"/>
  <c r="J485" i="2"/>
  <c r="P485" i="2"/>
  <c r="U485" i="2"/>
  <c r="D486" i="2"/>
  <c r="J486" i="2"/>
  <c r="O486" i="2"/>
  <c r="T486" i="2"/>
  <c r="D487" i="2"/>
  <c r="I487" i="2"/>
  <c r="N487" i="2"/>
  <c r="F443" i="2"/>
  <c r="J443" i="2"/>
  <c r="N443" i="2"/>
  <c r="R443" i="2"/>
  <c r="V443" i="2"/>
  <c r="D444" i="2"/>
  <c r="H444" i="2"/>
  <c r="L444" i="2"/>
  <c r="P444" i="2"/>
  <c r="T444" i="2"/>
  <c r="B445" i="2"/>
  <c r="F445" i="2"/>
  <c r="J445" i="2"/>
  <c r="N445" i="2"/>
  <c r="R445" i="2"/>
  <c r="V445" i="2"/>
  <c r="D446" i="2"/>
  <c r="H446" i="2"/>
  <c r="L446" i="2"/>
  <c r="P446" i="2"/>
  <c r="T446" i="2"/>
  <c r="F451" i="2"/>
  <c r="J451" i="2"/>
  <c r="N451" i="2"/>
  <c r="R451" i="2"/>
  <c r="V451" i="2"/>
  <c r="D452" i="2"/>
  <c r="H452" i="2"/>
  <c r="L452" i="2"/>
  <c r="P452" i="2"/>
  <c r="T452" i="2"/>
  <c r="B453" i="2"/>
  <c r="F453" i="2"/>
  <c r="J453" i="2"/>
  <c r="N453" i="2"/>
  <c r="R453" i="2"/>
  <c r="V453" i="2"/>
  <c r="D454" i="2"/>
  <c r="H454" i="2"/>
  <c r="L454" i="2"/>
  <c r="P454" i="2"/>
  <c r="T454" i="2"/>
  <c r="B455" i="2"/>
  <c r="F455" i="2"/>
  <c r="J455" i="2"/>
  <c r="N455" i="2"/>
  <c r="R455" i="2"/>
  <c r="V455" i="2"/>
  <c r="W477" i="2"/>
  <c r="S477" i="2"/>
  <c r="O477" i="2"/>
  <c r="K477" i="2"/>
  <c r="G477" i="2"/>
  <c r="C477" i="2"/>
  <c r="U476" i="2"/>
  <c r="Q476" i="2"/>
  <c r="M476" i="2"/>
  <c r="I476" i="2"/>
  <c r="E476" i="2"/>
  <c r="W475" i="2"/>
  <c r="S475" i="2"/>
  <c r="O475" i="2"/>
  <c r="K475" i="2"/>
  <c r="G475" i="2"/>
  <c r="C475" i="2"/>
  <c r="H475" i="2"/>
  <c r="M475" i="2"/>
  <c r="R475" i="2"/>
  <c r="B476" i="2"/>
  <c r="G476" i="2"/>
  <c r="L476" i="2"/>
  <c r="R476" i="2"/>
  <c r="W476" i="2"/>
  <c r="F477" i="2"/>
  <c r="L477" i="2"/>
  <c r="Q477" i="2"/>
  <c r="V477" i="2"/>
  <c r="W487" i="2"/>
  <c r="S487" i="2"/>
  <c r="O487" i="2"/>
  <c r="K487" i="2"/>
  <c r="G487" i="2"/>
  <c r="C487" i="2"/>
  <c r="U486" i="2"/>
  <c r="Q486" i="2"/>
  <c r="M486" i="2"/>
  <c r="I486" i="2"/>
  <c r="E486" i="2"/>
  <c r="W485" i="2"/>
  <c r="S485" i="2"/>
  <c r="O485" i="2"/>
  <c r="K485" i="2"/>
  <c r="G485" i="2"/>
  <c r="C485" i="2"/>
  <c r="U484" i="2"/>
  <c r="Q484" i="2"/>
  <c r="M484" i="2"/>
  <c r="I484" i="2"/>
  <c r="E484" i="2"/>
  <c r="W483" i="2"/>
  <c r="S483" i="2"/>
  <c r="O483" i="2"/>
  <c r="K483" i="2"/>
  <c r="G483" i="2"/>
  <c r="C483" i="2"/>
  <c r="H483" i="2"/>
  <c r="M483" i="2"/>
  <c r="R483" i="2"/>
  <c r="B484" i="2"/>
  <c r="G484" i="2"/>
  <c r="L484" i="2"/>
  <c r="R484" i="2"/>
  <c r="W484" i="2"/>
  <c r="F485" i="2"/>
  <c r="L485" i="2"/>
  <c r="Q485" i="2"/>
  <c r="V485" i="2"/>
  <c r="F486" i="2"/>
  <c r="K486" i="2"/>
  <c r="P486" i="2"/>
  <c r="V486" i="2"/>
  <c r="E487" i="2"/>
  <c r="J487" i="2"/>
  <c r="P487" i="2"/>
  <c r="U487" i="2"/>
  <c r="F420" i="2"/>
  <c r="J420" i="2"/>
  <c r="N420" i="2"/>
  <c r="R420" i="2"/>
  <c r="V420" i="2"/>
  <c r="D421" i="2"/>
  <c r="H421" i="2"/>
  <c r="L421" i="2"/>
  <c r="P421" i="2"/>
  <c r="T421" i="2"/>
  <c r="B422" i="2"/>
  <c r="F422" i="2"/>
  <c r="J422" i="2"/>
  <c r="N422" i="2"/>
  <c r="R422" i="2"/>
  <c r="V422" i="2"/>
  <c r="D423" i="2"/>
  <c r="H423" i="2"/>
  <c r="L423" i="2"/>
  <c r="P423" i="2"/>
  <c r="T423" i="2"/>
  <c r="B424" i="2"/>
  <c r="F424" i="2"/>
  <c r="J424" i="2"/>
  <c r="N424" i="2"/>
  <c r="R424" i="2"/>
  <c r="V424" i="2"/>
  <c r="D425" i="2"/>
  <c r="H425" i="2"/>
  <c r="L425" i="2"/>
  <c r="P425" i="2"/>
  <c r="T425" i="2"/>
  <c r="B426" i="2"/>
  <c r="F426" i="2"/>
  <c r="J426" i="2"/>
  <c r="N426" i="2"/>
  <c r="R426" i="2"/>
  <c r="V426" i="2"/>
  <c r="D427" i="2"/>
  <c r="H427" i="2"/>
  <c r="L427" i="2"/>
  <c r="P427" i="2"/>
  <c r="T427" i="2"/>
  <c r="B428" i="2"/>
  <c r="F428" i="2"/>
  <c r="J428" i="2"/>
  <c r="N428" i="2"/>
  <c r="R428" i="2"/>
  <c r="V428" i="2"/>
  <c r="F433" i="2"/>
  <c r="J433" i="2"/>
  <c r="N433" i="2"/>
  <c r="R433" i="2"/>
  <c r="V433" i="2"/>
  <c r="D434" i="2"/>
  <c r="H434" i="2"/>
  <c r="L434" i="2"/>
  <c r="P434" i="2"/>
  <c r="T434" i="2"/>
  <c r="B435" i="2"/>
  <c r="F435" i="2"/>
  <c r="J435" i="2"/>
  <c r="N435" i="2"/>
  <c r="R435" i="2"/>
  <c r="V435" i="2"/>
  <c r="D436" i="2"/>
  <c r="H436" i="2"/>
  <c r="L436" i="2"/>
  <c r="P436" i="2"/>
  <c r="T436" i="2"/>
  <c r="F440" i="2"/>
  <c r="J440" i="2"/>
  <c r="N440" i="2"/>
  <c r="R440" i="2"/>
  <c r="V440" i="2"/>
  <c r="D441" i="2"/>
  <c r="H441" i="2"/>
  <c r="L441" i="2"/>
  <c r="P441" i="2"/>
  <c r="T441" i="2"/>
  <c r="B442" i="2"/>
  <c r="F442" i="2"/>
  <c r="J442" i="2"/>
  <c r="N442" i="2"/>
  <c r="R442" i="2"/>
  <c r="V442" i="2"/>
  <c r="C443" i="2"/>
  <c r="G443" i="2"/>
  <c r="K443" i="2"/>
  <c r="O443" i="2"/>
  <c r="S443" i="2"/>
  <c r="W443" i="2"/>
  <c r="E444" i="2"/>
  <c r="I444" i="2"/>
  <c r="M444" i="2"/>
  <c r="Q444" i="2"/>
  <c r="U444" i="2"/>
  <c r="C445" i="2"/>
  <c r="G445" i="2"/>
  <c r="K445" i="2"/>
  <c r="O445" i="2"/>
  <c r="S445" i="2"/>
  <c r="W445" i="2"/>
  <c r="E446" i="2"/>
  <c r="I446" i="2"/>
  <c r="M446" i="2"/>
  <c r="Q446" i="2"/>
  <c r="U446" i="2"/>
  <c r="F447" i="2"/>
  <c r="J447" i="2"/>
  <c r="N447" i="2"/>
  <c r="R447" i="2"/>
  <c r="V447" i="2"/>
  <c r="C451" i="2"/>
  <c r="G451" i="2"/>
  <c r="K451" i="2"/>
  <c r="O451" i="2"/>
  <c r="S451" i="2"/>
  <c r="W451" i="2"/>
  <c r="E452" i="2"/>
  <c r="I452" i="2"/>
  <c r="M452" i="2"/>
  <c r="Q452" i="2"/>
  <c r="U452" i="2"/>
  <c r="C453" i="2"/>
  <c r="G453" i="2"/>
  <c r="K453" i="2"/>
  <c r="O453" i="2"/>
  <c r="S453" i="2"/>
  <c r="W453" i="2"/>
  <c r="E454" i="2"/>
  <c r="I454" i="2"/>
  <c r="M454" i="2"/>
  <c r="Q454" i="2"/>
  <c r="U454" i="2"/>
  <c r="C455" i="2"/>
  <c r="G455" i="2"/>
  <c r="K455" i="2"/>
  <c r="O455" i="2"/>
  <c r="S455" i="2"/>
  <c r="W455" i="2"/>
  <c r="D457" i="2"/>
  <c r="H457" i="2"/>
  <c r="L457" i="2"/>
  <c r="P457" i="2"/>
  <c r="T457" i="2"/>
  <c r="B458" i="2"/>
  <c r="F458" i="2"/>
  <c r="J458" i="2"/>
  <c r="N458" i="2"/>
  <c r="R458" i="2"/>
  <c r="V458" i="2"/>
  <c r="D459" i="2"/>
  <c r="H459" i="2"/>
  <c r="L459" i="2"/>
  <c r="P459" i="2"/>
  <c r="U459" i="2"/>
  <c r="D460" i="2"/>
  <c r="I460" i="2"/>
  <c r="O460" i="2"/>
  <c r="T460" i="2"/>
  <c r="U468" i="2"/>
  <c r="Q468" i="2"/>
  <c r="M468" i="2"/>
  <c r="I468" i="2"/>
  <c r="E468" i="2"/>
  <c r="W467" i="2"/>
  <c r="S467" i="2"/>
  <c r="O467" i="2"/>
  <c r="K467" i="2"/>
  <c r="G467" i="2"/>
  <c r="C467" i="2"/>
  <c r="U466" i="2"/>
  <c r="Q466" i="2"/>
  <c r="M466" i="2"/>
  <c r="I466" i="2"/>
  <c r="E466" i="2"/>
  <c r="W465" i="2"/>
  <c r="S465" i="2"/>
  <c r="O465" i="2"/>
  <c r="K465" i="2"/>
  <c r="G465" i="2"/>
  <c r="C465" i="2"/>
  <c r="U464" i="2"/>
  <c r="Q464" i="2"/>
  <c r="M464" i="2"/>
  <c r="I464" i="2"/>
  <c r="E464" i="2"/>
  <c r="W463" i="2"/>
  <c r="S463" i="2"/>
  <c r="O463" i="2"/>
  <c r="K463" i="2"/>
  <c r="G463" i="2"/>
  <c r="C463" i="2"/>
  <c r="H463" i="2"/>
  <c r="M463" i="2"/>
  <c r="R463" i="2"/>
  <c r="B464" i="2"/>
  <c r="G464" i="2"/>
  <c r="L464" i="2"/>
  <c r="R464" i="2"/>
  <c r="W464" i="2"/>
  <c r="F465" i="2"/>
  <c r="L465" i="2"/>
  <c r="Q465" i="2"/>
  <c r="V465" i="2"/>
  <c r="F466" i="2"/>
  <c r="K466" i="2"/>
  <c r="P466" i="2"/>
  <c r="V466" i="2"/>
  <c r="E467" i="2"/>
  <c r="J467" i="2"/>
  <c r="P467" i="2"/>
  <c r="U467" i="2"/>
  <c r="D468" i="2"/>
  <c r="J468" i="2"/>
  <c r="O468" i="2"/>
  <c r="T468" i="2"/>
  <c r="D475" i="2"/>
  <c r="I475" i="2"/>
  <c r="N475" i="2"/>
  <c r="T475" i="2"/>
  <c r="C476" i="2"/>
  <c r="H476" i="2"/>
  <c r="N476" i="2"/>
  <c r="S476" i="2"/>
  <c r="B477" i="2"/>
  <c r="H477" i="2"/>
  <c r="M477" i="2"/>
  <c r="R477" i="2"/>
  <c r="B479" i="2"/>
  <c r="F479" i="2"/>
  <c r="K479" i="2"/>
  <c r="Q479" i="2"/>
  <c r="V479" i="2"/>
  <c r="E480" i="2"/>
  <c r="K480" i="2"/>
  <c r="P480" i="2"/>
  <c r="D483" i="2"/>
  <c r="I483" i="2"/>
  <c r="N483" i="2"/>
  <c r="T483" i="2"/>
  <c r="C484" i="2"/>
  <c r="H484" i="2"/>
  <c r="N484" i="2"/>
  <c r="S484" i="2"/>
  <c r="B485" i="2"/>
  <c r="H485" i="2"/>
  <c r="M485" i="2"/>
  <c r="R485" i="2"/>
  <c r="B486" i="2"/>
  <c r="G486" i="2"/>
  <c r="L486" i="2"/>
  <c r="R486" i="2"/>
  <c r="W486" i="2"/>
  <c r="F487" i="2"/>
  <c r="L487" i="2"/>
  <c r="Q487" i="2"/>
  <c r="V487" i="2"/>
  <c r="F369" i="2"/>
  <c r="J369" i="2"/>
  <c r="N369" i="2"/>
  <c r="R369" i="2"/>
  <c r="V369" i="2"/>
  <c r="D370" i="2"/>
  <c r="H370" i="2"/>
  <c r="L370" i="2"/>
  <c r="P370" i="2"/>
  <c r="T370" i="2"/>
  <c r="B371" i="2"/>
  <c r="F371" i="2"/>
  <c r="J371" i="2"/>
  <c r="N371" i="2"/>
  <c r="R371" i="2"/>
  <c r="V371" i="2"/>
  <c r="D372" i="2"/>
  <c r="H372" i="2"/>
  <c r="L372" i="2"/>
  <c r="P372" i="2"/>
  <c r="B403" i="2"/>
  <c r="E403" i="2"/>
  <c r="I403" i="2"/>
  <c r="M403" i="2"/>
  <c r="Q403" i="2"/>
  <c r="U403" i="2"/>
  <c r="C404" i="2"/>
  <c r="G404" i="2"/>
  <c r="K404" i="2"/>
  <c r="O404" i="2"/>
  <c r="S404" i="2"/>
  <c r="W404" i="2"/>
  <c r="E405" i="2"/>
  <c r="I405" i="2"/>
  <c r="M405" i="2"/>
  <c r="Q405" i="2"/>
  <c r="U405" i="2"/>
  <c r="C406" i="2"/>
  <c r="G406" i="2"/>
  <c r="K406" i="2"/>
  <c r="O406" i="2"/>
  <c r="S406" i="2"/>
  <c r="W406" i="2"/>
  <c r="E407" i="2"/>
  <c r="I407" i="2"/>
  <c r="M407" i="2"/>
  <c r="Q407" i="2"/>
  <c r="U407" i="2"/>
  <c r="C408" i="2"/>
  <c r="G408" i="2"/>
  <c r="K408" i="2"/>
  <c r="O408" i="2"/>
  <c r="S408" i="2"/>
  <c r="W408" i="2"/>
  <c r="E409" i="2"/>
  <c r="I409" i="2"/>
  <c r="M409" i="2"/>
  <c r="Q409" i="2"/>
  <c r="F412" i="2"/>
  <c r="J412" i="2"/>
  <c r="N412" i="2"/>
  <c r="R412" i="2"/>
  <c r="V412" i="2"/>
  <c r="D413" i="2"/>
  <c r="H413" i="2"/>
  <c r="L413" i="2"/>
  <c r="P413" i="2"/>
  <c r="T413" i="2"/>
  <c r="B414" i="2"/>
  <c r="F414" i="2"/>
  <c r="J414" i="2"/>
  <c r="N414" i="2"/>
  <c r="R414" i="2"/>
  <c r="V414" i="2"/>
  <c r="D415" i="2"/>
  <c r="H415" i="2"/>
  <c r="L415" i="2"/>
  <c r="P415" i="2"/>
  <c r="T415" i="2"/>
  <c r="B416" i="2"/>
  <c r="F416" i="2"/>
  <c r="J416" i="2"/>
  <c r="N416" i="2"/>
  <c r="R416" i="2"/>
  <c r="V416" i="2"/>
  <c r="D417" i="2"/>
  <c r="H417" i="2"/>
  <c r="L417" i="2"/>
  <c r="P417" i="2"/>
  <c r="T417" i="2"/>
  <c r="B418" i="2"/>
  <c r="F418" i="2"/>
  <c r="J418" i="2"/>
  <c r="N418" i="2"/>
  <c r="R418" i="2"/>
  <c r="C420" i="2"/>
  <c r="G420" i="2"/>
  <c r="K420" i="2"/>
  <c r="O420" i="2"/>
  <c r="S420" i="2"/>
  <c r="W420" i="2"/>
  <c r="E421" i="2"/>
  <c r="I421" i="2"/>
  <c r="M421" i="2"/>
  <c r="Q421" i="2"/>
  <c r="U421" i="2"/>
  <c r="C422" i="2"/>
  <c r="G422" i="2"/>
  <c r="K422" i="2"/>
  <c r="O422" i="2"/>
  <c r="S422" i="2"/>
  <c r="W422" i="2"/>
  <c r="E423" i="2"/>
  <c r="I423" i="2"/>
  <c r="M423" i="2"/>
  <c r="Q423" i="2"/>
  <c r="U423" i="2"/>
  <c r="C424" i="2"/>
  <c r="G424" i="2"/>
  <c r="K424" i="2"/>
  <c r="O424" i="2"/>
  <c r="S424" i="2"/>
  <c r="W424" i="2"/>
  <c r="E425" i="2"/>
  <c r="I425" i="2"/>
  <c r="M425" i="2"/>
  <c r="Q425" i="2"/>
  <c r="U425" i="2"/>
  <c r="C426" i="2"/>
  <c r="G426" i="2"/>
  <c r="K426" i="2"/>
  <c r="O426" i="2"/>
  <c r="S426" i="2"/>
  <c r="W426" i="2"/>
  <c r="E427" i="2"/>
  <c r="I427" i="2"/>
  <c r="M427" i="2"/>
  <c r="Q427" i="2"/>
  <c r="U427" i="2"/>
  <c r="C428" i="2"/>
  <c r="G428" i="2"/>
  <c r="K428" i="2"/>
  <c r="O428" i="2"/>
  <c r="S428" i="2"/>
  <c r="C433" i="2"/>
  <c r="G433" i="2"/>
  <c r="K433" i="2"/>
  <c r="O433" i="2"/>
  <c r="S433" i="2"/>
  <c r="W433" i="2"/>
  <c r="E434" i="2"/>
  <c r="I434" i="2"/>
  <c r="M434" i="2"/>
  <c r="Q434" i="2"/>
  <c r="U434" i="2"/>
  <c r="C435" i="2"/>
  <c r="G435" i="2"/>
  <c r="K435" i="2"/>
  <c r="O435" i="2"/>
  <c r="S435" i="2"/>
  <c r="W435" i="2"/>
  <c r="E436" i="2"/>
  <c r="I436" i="2"/>
  <c r="M436" i="2"/>
  <c r="Q436" i="2"/>
  <c r="F439" i="2"/>
  <c r="J439" i="2"/>
  <c r="N439" i="2"/>
  <c r="R439" i="2"/>
  <c r="C440" i="2"/>
  <c r="G440" i="2"/>
  <c r="K440" i="2"/>
  <c r="O440" i="2"/>
  <c r="S440" i="2"/>
  <c r="W440" i="2"/>
  <c r="E441" i="2"/>
  <c r="I441" i="2"/>
  <c r="M441" i="2"/>
  <c r="Q441" i="2"/>
  <c r="U441" i="2"/>
  <c r="C442" i="2"/>
  <c r="G442" i="2"/>
  <c r="K442" i="2"/>
  <c r="O442" i="2"/>
  <c r="S442" i="2"/>
  <c r="D443" i="2"/>
  <c r="H443" i="2"/>
  <c r="L443" i="2"/>
  <c r="P443" i="2"/>
  <c r="T443" i="2"/>
  <c r="B444" i="2"/>
  <c r="F444" i="2"/>
  <c r="J444" i="2"/>
  <c r="N444" i="2"/>
  <c r="R444" i="2"/>
  <c r="V444" i="2"/>
  <c r="D445" i="2"/>
  <c r="H445" i="2"/>
  <c r="L445" i="2"/>
  <c r="P445" i="2"/>
  <c r="T445" i="2"/>
  <c r="B446" i="2"/>
  <c r="F446" i="2"/>
  <c r="J446" i="2"/>
  <c r="N446" i="2"/>
  <c r="R446" i="2"/>
  <c r="C447" i="2"/>
  <c r="G447" i="2"/>
  <c r="K447" i="2"/>
  <c r="O447" i="2"/>
  <c r="S447" i="2"/>
  <c r="D451" i="2"/>
  <c r="H451" i="2"/>
  <c r="L451" i="2"/>
  <c r="P451" i="2"/>
  <c r="T451" i="2"/>
  <c r="B452" i="2"/>
  <c r="F452" i="2"/>
  <c r="J452" i="2"/>
  <c r="N452" i="2"/>
  <c r="R452" i="2"/>
  <c r="V452" i="2"/>
  <c r="D453" i="2"/>
  <c r="H453" i="2"/>
  <c r="L453" i="2"/>
  <c r="P453" i="2"/>
  <c r="T453" i="2"/>
  <c r="B454" i="2"/>
  <c r="F454" i="2"/>
  <c r="J454" i="2"/>
  <c r="N454" i="2"/>
  <c r="R454" i="2"/>
  <c r="V454" i="2"/>
  <c r="D455" i="2"/>
  <c r="H455" i="2"/>
  <c r="L455" i="2"/>
  <c r="P455" i="2"/>
  <c r="B457" i="2"/>
  <c r="E457" i="2"/>
  <c r="I457" i="2"/>
  <c r="M457" i="2"/>
  <c r="Q457" i="2"/>
  <c r="U457" i="2"/>
  <c r="C458" i="2"/>
  <c r="G458" i="2"/>
  <c r="K458" i="2"/>
  <c r="O458" i="2"/>
  <c r="S458" i="2"/>
  <c r="W458" i="2"/>
  <c r="E459" i="2"/>
  <c r="I459" i="2"/>
  <c r="M459" i="2"/>
  <c r="Q459" i="2"/>
  <c r="V459" i="2"/>
  <c r="E460" i="2"/>
  <c r="K460" i="2"/>
  <c r="P460" i="2"/>
  <c r="U460" i="2"/>
  <c r="D463" i="2"/>
  <c r="I463" i="2"/>
  <c r="N463" i="2"/>
  <c r="T463" i="2"/>
  <c r="C464" i="2"/>
  <c r="H464" i="2"/>
  <c r="N464" i="2"/>
  <c r="S464" i="2"/>
  <c r="B465" i="2"/>
  <c r="H465" i="2"/>
  <c r="M465" i="2"/>
  <c r="R465" i="2"/>
  <c r="B466" i="2"/>
  <c r="G466" i="2"/>
  <c r="L466" i="2"/>
  <c r="R466" i="2"/>
  <c r="W466" i="2"/>
  <c r="F467" i="2"/>
  <c r="L467" i="2"/>
  <c r="Q467" i="2"/>
  <c r="V467" i="2"/>
  <c r="F468" i="2"/>
  <c r="K468" i="2"/>
  <c r="P468" i="2"/>
  <c r="V468" i="2"/>
  <c r="E475" i="2"/>
  <c r="J475" i="2"/>
  <c r="P475" i="2"/>
  <c r="U475" i="2"/>
  <c r="D476" i="2"/>
  <c r="J476" i="2"/>
  <c r="O476" i="2"/>
  <c r="T476" i="2"/>
  <c r="D477" i="2"/>
  <c r="I477" i="2"/>
  <c r="N477" i="2"/>
  <c r="T477" i="2"/>
  <c r="V480" i="2"/>
  <c r="R480" i="2"/>
  <c r="N480" i="2"/>
  <c r="J480" i="2"/>
  <c r="F480" i="2"/>
  <c r="B480" i="2"/>
  <c r="T479" i="2"/>
  <c r="P479" i="2"/>
  <c r="L479" i="2"/>
  <c r="H479" i="2"/>
  <c r="D479" i="2"/>
  <c r="G479" i="2"/>
  <c r="M479" i="2"/>
  <c r="R479" i="2"/>
  <c r="W479" i="2"/>
  <c r="G480" i="2"/>
  <c r="L480" i="2"/>
  <c r="Q480" i="2"/>
  <c r="W480" i="2"/>
  <c r="E483" i="2"/>
  <c r="J483" i="2"/>
  <c r="P483" i="2"/>
  <c r="U483" i="2"/>
  <c r="D484" i="2"/>
  <c r="J484" i="2"/>
  <c r="O484" i="2"/>
  <c r="T484" i="2"/>
  <c r="D485" i="2"/>
  <c r="I485" i="2"/>
  <c r="N485" i="2"/>
  <c r="T485" i="2"/>
  <c r="C486" i="2"/>
  <c r="H486" i="2"/>
  <c r="N486" i="2"/>
  <c r="S486" i="2"/>
  <c r="B487" i="2"/>
  <c r="H487" i="2"/>
  <c r="M487" i="2"/>
  <c r="R487" i="2"/>
  <c r="F490" i="2"/>
  <c r="J490" i="2"/>
  <c r="N490" i="2"/>
  <c r="R490" i="2"/>
  <c r="V490" i="2"/>
  <c r="D491" i="2"/>
  <c r="H491" i="2"/>
  <c r="L491" i="2"/>
  <c r="P491" i="2"/>
  <c r="T491" i="2"/>
  <c r="B492" i="2"/>
  <c r="F492" i="2"/>
  <c r="J492" i="2"/>
  <c r="N492" i="2"/>
  <c r="R492" i="2"/>
  <c r="V492" i="2"/>
  <c r="D493" i="2"/>
  <c r="H493" i="2"/>
  <c r="L493" i="2"/>
  <c r="P493" i="2"/>
  <c r="T493" i="2"/>
  <c r="B494" i="2"/>
  <c r="F494" i="2"/>
  <c r="J494" i="2"/>
  <c r="N494" i="2"/>
  <c r="R494" i="2"/>
  <c r="V494" i="2"/>
  <c r="D495" i="2"/>
  <c r="H495" i="2"/>
  <c r="L495" i="2"/>
  <c r="P495" i="2"/>
  <c r="T495" i="2"/>
  <c r="B496" i="2"/>
  <c r="F496" i="2"/>
  <c r="J496" i="2"/>
  <c r="N496" i="2"/>
  <c r="R496" i="2"/>
  <c r="V496" i="2"/>
  <c r="C500" i="2"/>
  <c r="G500" i="2"/>
  <c r="K500" i="2"/>
  <c r="O500" i="2"/>
  <c r="S500" i="2"/>
  <c r="W500" i="2"/>
  <c r="E501" i="2"/>
  <c r="I501" i="2"/>
  <c r="M501" i="2"/>
  <c r="Q501" i="2"/>
  <c r="U501" i="2"/>
  <c r="C502" i="2"/>
  <c r="I502" i="2"/>
  <c r="N502" i="2"/>
  <c r="S502" i="2"/>
  <c r="C503" i="2"/>
  <c r="H503" i="2"/>
  <c r="M503" i="2"/>
  <c r="S503" i="2"/>
  <c r="B504" i="2"/>
  <c r="G504" i="2"/>
  <c r="M504" i="2"/>
  <c r="R504" i="2"/>
  <c r="W504" i="2"/>
  <c r="G505" i="2"/>
  <c r="L505" i="2"/>
  <c r="Q505" i="2"/>
  <c r="W505" i="2"/>
  <c r="F506" i="2"/>
  <c r="K506" i="2"/>
  <c r="Q506" i="2"/>
  <c r="V506" i="2"/>
  <c r="E507" i="2"/>
  <c r="K507" i="2"/>
  <c r="P507" i="2"/>
  <c r="U507" i="2"/>
  <c r="E508" i="2"/>
  <c r="J508" i="2"/>
  <c r="O508" i="2"/>
  <c r="U508" i="2"/>
  <c r="C510" i="2"/>
  <c r="H510" i="2"/>
  <c r="N510" i="2"/>
  <c r="S510" i="2"/>
  <c r="B511" i="2"/>
  <c r="H511" i="2"/>
  <c r="M511" i="2"/>
  <c r="R511" i="2"/>
  <c r="B512" i="2"/>
  <c r="G512" i="2"/>
  <c r="L512" i="2"/>
  <c r="R512" i="2"/>
  <c r="W512" i="2"/>
  <c r="F513" i="2"/>
  <c r="L513" i="2"/>
  <c r="Q513" i="2"/>
  <c r="E515" i="2"/>
  <c r="J515" i="2"/>
  <c r="O515" i="2"/>
  <c r="U515" i="2"/>
  <c r="D516" i="2"/>
  <c r="I516" i="2"/>
  <c r="O516" i="2"/>
  <c r="W518" i="2"/>
  <c r="S518" i="2"/>
  <c r="O518" i="2"/>
  <c r="K518" i="2"/>
  <c r="G518" i="2"/>
  <c r="C518" i="2"/>
  <c r="H518" i="2"/>
  <c r="M518" i="2"/>
  <c r="R518" i="2"/>
  <c r="B521" i="2"/>
  <c r="F521" i="2"/>
  <c r="K521" i="2"/>
  <c r="Q521" i="2"/>
  <c r="V521" i="2"/>
  <c r="E522" i="2"/>
  <c r="K522" i="2"/>
  <c r="P522" i="2"/>
  <c r="U522" i="2"/>
  <c r="E523" i="2"/>
  <c r="J523" i="2"/>
  <c r="O523" i="2"/>
  <c r="U523" i="2"/>
  <c r="D524" i="2"/>
  <c r="I524" i="2"/>
  <c r="O524" i="2"/>
  <c r="T524" i="2"/>
  <c r="C525" i="2"/>
  <c r="I525" i="2"/>
  <c r="N525" i="2"/>
  <c r="S525" i="2"/>
  <c r="C526" i="2"/>
  <c r="H526" i="2"/>
  <c r="M526" i="2"/>
  <c r="S526" i="2"/>
  <c r="B527" i="2"/>
  <c r="G527" i="2"/>
  <c r="M527" i="2"/>
  <c r="R527" i="2"/>
  <c r="W527" i="2"/>
  <c r="G528" i="2"/>
  <c r="L528" i="2"/>
  <c r="Q528" i="2"/>
  <c r="W528" i="2"/>
  <c r="F529" i="2"/>
  <c r="K529" i="2"/>
  <c r="Q529" i="2"/>
  <c r="V529" i="2"/>
  <c r="E530" i="2"/>
  <c r="K530" i="2"/>
  <c r="P530" i="2"/>
  <c r="U530" i="2"/>
  <c r="E531" i="2"/>
  <c r="J531" i="2"/>
  <c r="O531" i="2"/>
  <c r="U531" i="2"/>
  <c r="D532" i="2"/>
  <c r="I532" i="2"/>
  <c r="O532" i="2"/>
  <c r="T532" i="2"/>
  <c r="C533" i="2"/>
  <c r="I533" i="2"/>
  <c r="N533" i="2"/>
  <c r="S533" i="2"/>
  <c r="C534" i="2"/>
  <c r="H534" i="2"/>
  <c r="M534" i="2"/>
  <c r="S534" i="2"/>
  <c r="B535" i="2"/>
  <c r="G535" i="2"/>
  <c r="M535" i="2"/>
  <c r="R535" i="2"/>
  <c r="W535" i="2"/>
  <c r="G536" i="2"/>
  <c r="L536" i="2"/>
  <c r="Q536" i="2"/>
  <c r="E538" i="2"/>
  <c r="J538" i="2"/>
  <c r="P538" i="2"/>
  <c r="U538" i="2"/>
  <c r="D539" i="2"/>
  <c r="J539" i="2"/>
  <c r="O539" i="2"/>
  <c r="T539" i="2"/>
  <c r="D540" i="2"/>
  <c r="I540" i="2"/>
  <c r="N540" i="2"/>
  <c r="T540" i="2"/>
  <c r="C541" i="2"/>
  <c r="H541" i="2"/>
  <c r="N541" i="2"/>
  <c r="S541" i="2"/>
  <c r="B542" i="2"/>
  <c r="H542" i="2"/>
  <c r="M542" i="2"/>
  <c r="B544" i="2"/>
  <c r="F544" i="2"/>
  <c r="K544" i="2"/>
  <c r="Q544" i="2"/>
  <c r="V544" i="2"/>
  <c r="E545" i="2"/>
  <c r="K545" i="2"/>
  <c r="P545" i="2"/>
  <c r="U545" i="2"/>
  <c r="E546" i="2"/>
  <c r="J546" i="2"/>
  <c r="O546" i="2"/>
  <c r="U546" i="2"/>
  <c r="D547" i="2"/>
  <c r="I547" i="2"/>
  <c r="O547" i="2"/>
  <c r="T547" i="2"/>
  <c r="C548" i="2"/>
  <c r="I548" i="2"/>
  <c r="N548" i="2"/>
  <c r="S548" i="2"/>
  <c r="C549" i="2"/>
  <c r="H549" i="2"/>
  <c r="M549" i="2"/>
  <c r="S549" i="2"/>
  <c r="B550" i="2"/>
  <c r="G550" i="2"/>
  <c r="M550" i="2"/>
  <c r="R550" i="2"/>
  <c r="F553" i="2"/>
  <c r="K553" i="2"/>
  <c r="P553" i="2"/>
  <c r="V553" i="2"/>
  <c r="E554" i="2"/>
  <c r="J554" i="2"/>
  <c r="P554" i="2"/>
  <c r="U554" i="2"/>
  <c r="D555" i="2"/>
  <c r="J555" i="2"/>
  <c r="O555" i="2"/>
  <c r="T555" i="2"/>
  <c r="D556" i="2"/>
  <c r="I556" i="2"/>
  <c r="N556" i="2"/>
  <c r="T556" i="2"/>
  <c r="D557" i="2"/>
  <c r="K557" i="2"/>
  <c r="S557" i="2"/>
  <c r="C558" i="2"/>
  <c r="J558" i="2"/>
  <c r="R558" i="2"/>
  <c r="C559" i="2"/>
  <c r="I559" i="2"/>
  <c r="V536" i="2"/>
  <c r="R536" i="2"/>
  <c r="N536" i="2"/>
  <c r="J536" i="2"/>
  <c r="F536" i="2"/>
  <c r="B536" i="2"/>
  <c r="T535" i="2"/>
  <c r="P535" i="2"/>
  <c r="L535" i="2"/>
  <c r="H535" i="2"/>
  <c r="D535" i="2"/>
  <c r="V534" i="2"/>
  <c r="R534" i="2"/>
  <c r="N534" i="2"/>
  <c r="J534" i="2"/>
  <c r="F534" i="2"/>
  <c r="B534" i="2"/>
  <c r="T533" i="2"/>
  <c r="P533" i="2"/>
  <c r="L533" i="2"/>
  <c r="H533" i="2"/>
  <c r="D533" i="2"/>
  <c r="V532" i="2"/>
  <c r="R532" i="2"/>
  <c r="N532" i="2"/>
  <c r="J532" i="2"/>
  <c r="F532" i="2"/>
  <c r="B532" i="2"/>
  <c r="T531" i="2"/>
  <c r="P531" i="2"/>
  <c r="L531" i="2"/>
  <c r="H531" i="2"/>
  <c r="D531" i="2"/>
  <c r="V530" i="2"/>
  <c r="R530" i="2"/>
  <c r="N530" i="2"/>
  <c r="J530" i="2"/>
  <c r="F530" i="2"/>
  <c r="B530" i="2"/>
  <c r="T529" i="2"/>
  <c r="P529" i="2"/>
  <c r="L529" i="2"/>
  <c r="H529" i="2"/>
  <c r="D529" i="2"/>
  <c r="V528" i="2"/>
  <c r="R528" i="2"/>
  <c r="N528" i="2"/>
  <c r="J528" i="2"/>
  <c r="F528" i="2"/>
  <c r="B528" i="2"/>
  <c r="T527" i="2"/>
  <c r="P527" i="2"/>
  <c r="L527" i="2"/>
  <c r="H527" i="2"/>
  <c r="D527" i="2"/>
  <c r="V526" i="2"/>
  <c r="R526" i="2"/>
  <c r="N526" i="2"/>
  <c r="J526" i="2"/>
  <c r="F526" i="2"/>
  <c r="B526" i="2"/>
  <c r="T525" i="2"/>
  <c r="P525" i="2"/>
  <c r="L525" i="2"/>
  <c r="H525" i="2"/>
  <c r="D525" i="2"/>
  <c r="V524" i="2"/>
  <c r="R524" i="2"/>
  <c r="N524" i="2"/>
  <c r="J524" i="2"/>
  <c r="F524" i="2"/>
  <c r="B524" i="2"/>
  <c r="T523" i="2"/>
  <c r="P523" i="2"/>
  <c r="L523" i="2"/>
  <c r="H523" i="2"/>
  <c r="D523" i="2"/>
  <c r="V522" i="2"/>
  <c r="R522" i="2"/>
  <c r="N522" i="2"/>
  <c r="J522" i="2"/>
  <c r="F522" i="2"/>
  <c r="B522" i="2"/>
  <c r="T521" i="2"/>
  <c r="P521" i="2"/>
  <c r="L521" i="2"/>
  <c r="H521" i="2"/>
  <c r="D521" i="2"/>
  <c r="G521" i="2"/>
  <c r="M521" i="2"/>
  <c r="R521" i="2"/>
  <c r="W521" i="2"/>
  <c r="G522" i="2"/>
  <c r="L522" i="2"/>
  <c r="Q522" i="2"/>
  <c r="W522" i="2"/>
  <c r="F523" i="2"/>
  <c r="K523" i="2"/>
  <c r="Q523" i="2"/>
  <c r="V523" i="2"/>
  <c r="E524" i="2"/>
  <c r="K524" i="2"/>
  <c r="P524" i="2"/>
  <c r="U524" i="2"/>
  <c r="E525" i="2"/>
  <c r="J525" i="2"/>
  <c r="O525" i="2"/>
  <c r="U525" i="2"/>
  <c r="D526" i="2"/>
  <c r="I526" i="2"/>
  <c r="O526" i="2"/>
  <c r="T526" i="2"/>
  <c r="C527" i="2"/>
  <c r="I527" i="2"/>
  <c r="N527" i="2"/>
  <c r="S527" i="2"/>
  <c r="C528" i="2"/>
  <c r="H528" i="2"/>
  <c r="M528" i="2"/>
  <c r="S528" i="2"/>
  <c r="B529" i="2"/>
  <c r="G529" i="2"/>
  <c r="M529" i="2"/>
  <c r="R529" i="2"/>
  <c r="W529" i="2"/>
  <c r="G530" i="2"/>
  <c r="L530" i="2"/>
  <c r="Q530" i="2"/>
  <c r="W530" i="2"/>
  <c r="F531" i="2"/>
  <c r="K531" i="2"/>
  <c r="Q531" i="2"/>
  <c r="V531" i="2"/>
  <c r="E532" i="2"/>
  <c r="K532" i="2"/>
  <c r="P532" i="2"/>
  <c r="U532" i="2"/>
  <c r="E533" i="2"/>
  <c r="J533" i="2"/>
  <c r="O533" i="2"/>
  <c r="U533" i="2"/>
  <c r="D534" i="2"/>
  <c r="I534" i="2"/>
  <c r="O534" i="2"/>
  <c r="T534" i="2"/>
  <c r="C535" i="2"/>
  <c r="I535" i="2"/>
  <c r="N535" i="2"/>
  <c r="S535" i="2"/>
  <c r="C536" i="2"/>
  <c r="H536" i="2"/>
  <c r="M536" i="2"/>
  <c r="S536" i="2"/>
  <c r="T550" i="2"/>
  <c r="P550" i="2"/>
  <c r="L550" i="2"/>
  <c r="H550" i="2"/>
  <c r="D550" i="2"/>
  <c r="V549" i="2"/>
  <c r="R549" i="2"/>
  <c r="N549" i="2"/>
  <c r="J549" i="2"/>
  <c r="F549" i="2"/>
  <c r="B549" i="2"/>
  <c r="T548" i="2"/>
  <c r="P548" i="2"/>
  <c r="L548" i="2"/>
  <c r="H548" i="2"/>
  <c r="D548" i="2"/>
  <c r="V547" i="2"/>
  <c r="R547" i="2"/>
  <c r="N547" i="2"/>
  <c r="J547" i="2"/>
  <c r="F547" i="2"/>
  <c r="B547" i="2"/>
  <c r="T546" i="2"/>
  <c r="P546" i="2"/>
  <c r="L546" i="2"/>
  <c r="H546" i="2"/>
  <c r="D546" i="2"/>
  <c r="V545" i="2"/>
  <c r="R545" i="2"/>
  <c r="N545" i="2"/>
  <c r="J545" i="2"/>
  <c r="F545" i="2"/>
  <c r="B545" i="2"/>
  <c r="T544" i="2"/>
  <c r="P544" i="2"/>
  <c r="L544" i="2"/>
  <c r="H544" i="2"/>
  <c r="D544" i="2"/>
  <c r="G544" i="2"/>
  <c r="M544" i="2"/>
  <c r="R544" i="2"/>
  <c r="W544" i="2"/>
  <c r="G545" i="2"/>
  <c r="L545" i="2"/>
  <c r="Q545" i="2"/>
  <c r="W545" i="2"/>
  <c r="F546" i="2"/>
  <c r="K546" i="2"/>
  <c r="Q546" i="2"/>
  <c r="V546" i="2"/>
  <c r="E547" i="2"/>
  <c r="K547" i="2"/>
  <c r="P547" i="2"/>
  <c r="U547" i="2"/>
  <c r="E548" i="2"/>
  <c r="J548" i="2"/>
  <c r="O548" i="2"/>
  <c r="U548" i="2"/>
  <c r="D549" i="2"/>
  <c r="I549" i="2"/>
  <c r="O549" i="2"/>
  <c r="T549" i="2"/>
  <c r="C550" i="2"/>
  <c r="I550" i="2"/>
  <c r="N550" i="2"/>
  <c r="S550" i="2"/>
  <c r="V559" i="2"/>
  <c r="R559" i="2"/>
  <c r="N559" i="2"/>
  <c r="J559" i="2"/>
  <c r="F559" i="2"/>
  <c r="B559" i="2"/>
  <c r="T558" i="2"/>
  <c r="P558" i="2"/>
  <c r="L558" i="2"/>
  <c r="H558" i="2"/>
  <c r="D558" i="2"/>
  <c r="V557" i="2"/>
  <c r="R557" i="2"/>
  <c r="N557" i="2"/>
  <c r="J557" i="2"/>
  <c r="F557" i="2"/>
  <c r="B557" i="2"/>
  <c r="U559" i="2"/>
  <c r="P559" i="2"/>
  <c r="K559" i="2"/>
  <c r="E559" i="2"/>
  <c r="V558" i="2"/>
  <c r="Q558" i="2"/>
  <c r="K558" i="2"/>
  <c r="F558" i="2"/>
  <c r="W557" i="2"/>
  <c r="Q557" i="2"/>
  <c r="L557" i="2"/>
  <c r="G557" i="2"/>
  <c r="W556" i="2"/>
  <c r="S556" i="2"/>
  <c r="O556" i="2"/>
  <c r="K556" i="2"/>
  <c r="G556" i="2"/>
  <c r="C556" i="2"/>
  <c r="U555" i="2"/>
  <c r="Q555" i="2"/>
  <c r="M555" i="2"/>
  <c r="I555" i="2"/>
  <c r="E555" i="2"/>
  <c r="W554" i="2"/>
  <c r="S554" i="2"/>
  <c r="O554" i="2"/>
  <c r="K554" i="2"/>
  <c r="G554" i="2"/>
  <c r="C554" i="2"/>
  <c r="U553" i="2"/>
  <c r="Q553" i="2"/>
  <c r="M553" i="2"/>
  <c r="I553" i="2"/>
  <c r="E553" i="2"/>
  <c r="B553" i="2"/>
  <c r="G553" i="2"/>
  <c r="L553" i="2"/>
  <c r="R553" i="2"/>
  <c r="W553" i="2"/>
  <c r="F554" i="2"/>
  <c r="L554" i="2"/>
  <c r="Q554" i="2"/>
  <c r="V554" i="2"/>
  <c r="F555" i="2"/>
  <c r="K555" i="2"/>
  <c r="P555" i="2"/>
  <c r="V555" i="2"/>
  <c r="E556" i="2"/>
  <c r="J556" i="2"/>
  <c r="P556" i="2"/>
  <c r="U556" i="2"/>
  <c r="E557" i="2"/>
  <c r="M557" i="2"/>
  <c r="T557" i="2"/>
  <c r="E558" i="2"/>
  <c r="M558" i="2"/>
  <c r="S558" i="2"/>
  <c r="D559" i="2"/>
  <c r="L559" i="2"/>
  <c r="S559" i="2"/>
  <c r="F470" i="2"/>
  <c r="J470" i="2"/>
  <c r="N470" i="2"/>
  <c r="R470" i="2"/>
  <c r="V470" i="2"/>
  <c r="D471" i="2"/>
  <c r="H471" i="2"/>
  <c r="L471" i="2"/>
  <c r="P471" i="2"/>
  <c r="T471" i="2"/>
  <c r="B472" i="2"/>
  <c r="F472" i="2"/>
  <c r="J472" i="2"/>
  <c r="N472" i="2"/>
  <c r="R472" i="2"/>
  <c r="D490" i="2"/>
  <c r="H490" i="2"/>
  <c r="L490" i="2"/>
  <c r="P490" i="2"/>
  <c r="T490" i="2"/>
  <c r="B491" i="2"/>
  <c r="F491" i="2"/>
  <c r="J491" i="2"/>
  <c r="N491" i="2"/>
  <c r="R491" i="2"/>
  <c r="V491" i="2"/>
  <c r="D492" i="2"/>
  <c r="H492" i="2"/>
  <c r="L492" i="2"/>
  <c r="P492" i="2"/>
  <c r="T492" i="2"/>
  <c r="B493" i="2"/>
  <c r="F493" i="2"/>
  <c r="J493" i="2"/>
  <c r="N493" i="2"/>
  <c r="R493" i="2"/>
  <c r="V493" i="2"/>
  <c r="D494" i="2"/>
  <c r="H494" i="2"/>
  <c r="L494" i="2"/>
  <c r="P494" i="2"/>
  <c r="T494" i="2"/>
  <c r="B495" i="2"/>
  <c r="F495" i="2"/>
  <c r="J495" i="2"/>
  <c r="N495" i="2"/>
  <c r="R495" i="2"/>
  <c r="V495" i="2"/>
  <c r="D496" i="2"/>
  <c r="H496" i="2"/>
  <c r="L496" i="2"/>
  <c r="P496" i="2"/>
  <c r="B500" i="2"/>
  <c r="E500" i="2"/>
  <c r="I500" i="2"/>
  <c r="M500" i="2"/>
  <c r="Q500" i="2"/>
  <c r="U500" i="2"/>
  <c r="C501" i="2"/>
  <c r="G501" i="2"/>
  <c r="K501" i="2"/>
  <c r="O501" i="2"/>
  <c r="S501" i="2"/>
  <c r="W501" i="2"/>
  <c r="F502" i="2"/>
  <c r="K502" i="2"/>
  <c r="Q502" i="2"/>
  <c r="V502" i="2"/>
  <c r="E503" i="2"/>
  <c r="K503" i="2"/>
  <c r="P503" i="2"/>
  <c r="U503" i="2"/>
  <c r="E504" i="2"/>
  <c r="J504" i="2"/>
  <c r="O504" i="2"/>
  <c r="U504" i="2"/>
  <c r="D505" i="2"/>
  <c r="I505" i="2"/>
  <c r="O505" i="2"/>
  <c r="T505" i="2"/>
  <c r="C506" i="2"/>
  <c r="I506" i="2"/>
  <c r="N506" i="2"/>
  <c r="S506" i="2"/>
  <c r="C507" i="2"/>
  <c r="H507" i="2"/>
  <c r="M507" i="2"/>
  <c r="S507" i="2"/>
  <c r="B508" i="2"/>
  <c r="G508" i="2"/>
  <c r="M508" i="2"/>
  <c r="R508" i="2"/>
  <c r="V516" i="2"/>
  <c r="R516" i="2"/>
  <c r="N516" i="2"/>
  <c r="J516" i="2"/>
  <c r="F516" i="2"/>
  <c r="B516" i="2"/>
  <c r="T515" i="2"/>
  <c r="P515" i="2"/>
  <c r="L515" i="2"/>
  <c r="H515" i="2"/>
  <c r="D515" i="2"/>
  <c r="G515" i="2"/>
  <c r="M515" i="2"/>
  <c r="R515" i="2"/>
  <c r="W515" i="2"/>
  <c r="G516" i="2"/>
  <c r="L516" i="2"/>
  <c r="Q516" i="2"/>
  <c r="W516" i="2"/>
  <c r="C521" i="2"/>
  <c r="I521" i="2"/>
  <c r="N521" i="2"/>
  <c r="S521" i="2"/>
  <c r="C522" i="2"/>
  <c r="H522" i="2"/>
  <c r="M522" i="2"/>
  <c r="S522" i="2"/>
  <c r="B523" i="2"/>
  <c r="G523" i="2"/>
  <c r="M523" i="2"/>
  <c r="R523" i="2"/>
  <c r="W523" i="2"/>
  <c r="G524" i="2"/>
  <c r="L524" i="2"/>
  <c r="Q524" i="2"/>
  <c r="W524" i="2"/>
  <c r="F525" i="2"/>
  <c r="K525" i="2"/>
  <c r="Q525" i="2"/>
  <c r="V525" i="2"/>
  <c r="E526" i="2"/>
  <c r="K526" i="2"/>
  <c r="P526" i="2"/>
  <c r="U526" i="2"/>
  <c r="E527" i="2"/>
  <c r="J527" i="2"/>
  <c r="O527" i="2"/>
  <c r="U527" i="2"/>
  <c r="D528" i="2"/>
  <c r="I528" i="2"/>
  <c r="O528" i="2"/>
  <c r="T528" i="2"/>
  <c r="C529" i="2"/>
  <c r="I529" i="2"/>
  <c r="N529" i="2"/>
  <c r="S529" i="2"/>
  <c r="C530" i="2"/>
  <c r="H530" i="2"/>
  <c r="M530" i="2"/>
  <c r="S530" i="2"/>
  <c r="B531" i="2"/>
  <c r="G531" i="2"/>
  <c r="M531" i="2"/>
  <c r="R531" i="2"/>
  <c r="W531" i="2"/>
  <c r="G532" i="2"/>
  <c r="L532" i="2"/>
  <c r="Q532" i="2"/>
  <c r="W532" i="2"/>
  <c r="F533" i="2"/>
  <c r="K533" i="2"/>
  <c r="Q533" i="2"/>
  <c r="V533" i="2"/>
  <c r="E534" i="2"/>
  <c r="K534" i="2"/>
  <c r="P534" i="2"/>
  <c r="U534" i="2"/>
  <c r="E535" i="2"/>
  <c r="J535" i="2"/>
  <c r="O535" i="2"/>
  <c r="U535" i="2"/>
  <c r="D536" i="2"/>
  <c r="I536" i="2"/>
  <c r="O536" i="2"/>
  <c r="T536" i="2"/>
  <c r="W542" i="2"/>
  <c r="S542" i="2"/>
  <c r="O542" i="2"/>
  <c r="K542" i="2"/>
  <c r="G542" i="2"/>
  <c r="C542" i="2"/>
  <c r="U541" i="2"/>
  <c r="Q541" i="2"/>
  <c r="M541" i="2"/>
  <c r="I541" i="2"/>
  <c r="E541" i="2"/>
  <c r="W540" i="2"/>
  <c r="S540" i="2"/>
  <c r="O540" i="2"/>
  <c r="K540" i="2"/>
  <c r="G540" i="2"/>
  <c r="C540" i="2"/>
  <c r="U539" i="2"/>
  <c r="Q539" i="2"/>
  <c r="M539" i="2"/>
  <c r="I539" i="2"/>
  <c r="E539" i="2"/>
  <c r="W538" i="2"/>
  <c r="S538" i="2"/>
  <c r="O538" i="2"/>
  <c r="K538" i="2"/>
  <c r="G538" i="2"/>
  <c r="C538" i="2"/>
  <c r="H538" i="2"/>
  <c r="M538" i="2"/>
  <c r="R538" i="2"/>
  <c r="B539" i="2"/>
  <c r="G539" i="2"/>
  <c r="L539" i="2"/>
  <c r="R539" i="2"/>
  <c r="W539" i="2"/>
  <c r="F540" i="2"/>
  <c r="L540" i="2"/>
  <c r="Q540" i="2"/>
  <c r="V540" i="2"/>
  <c r="F541" i="2"/>
  <c r="K541" i="2"/>
  <c r="P541" i="2"/>
  <c r="V541" i="2"/>
  <c r="E542" i="2"/>
  <c r="J542" i="2"/>
  <c r="P542" i="2"/>
  <c r="U542" i="2"/>
  <c r="C544" i="2"/>
  <c r="I544" i="2"/>
  <c r="N544" i="2"/>
  <c r="S544" i="2"/>
  <c r="C545" i="2"/>
  <c r="H545" i="2"/>
  <c r="M545" i="2"/>
  <c r="S545" i="2"/>
  <c r="B546" i="2"/>
  <c r="G546" i="2"/>
  <c r="M546" i="2"/>
  <c r="R546" i="2"/>
  <c r="W546" i="2"/>
  <c r="G547" i="2"/>
  <c r="L547" i="2"/>
  <c r="Q547" i="2"/>
  <c r="W547" i="2"/>
  <c r="F548" i="2"/>
  <c r="K548" i="2"/>
  <c r="Q548" i="2"/>
  <c r="V548" i="2"/>
  <c r="E549" i="2"/>
  <c r="K549" i="2"/>
  <c r="P549" i="2"/>
  <c r="U549" i="2"/>
  <c r="E550" i="2"/>
  <c r="J550" i="2"/>
  <c r="O550" i="2"/>
  <c r="U550" i="2"/>
  <c r="C553" i="2"/>
  <c r="H553" i="2"/>
  <c r="N553" i="2"/>
  <c r="S553" i="2"/>
  <c r="B554" i="2"/>
  <c r="H554" i="2"/>
  <c r="M554" i="2"/>
  <c r="R554" i="2"/>
  <c r="B555" i="2"/>
  <c r="G555" i="2"/>
  <c r="L555" i="2"/>
  <c r="R555" i="2"/>
  <c r="W555" i="2"/>
  <c r="F556" i="2"/>
  <c r="L556" i="2"/>
  <c r="Q556" i="2"/>
  <c r="V556" i="2"/>
  <c r="H557" i="2"/>
  <c r="O557" i="2"/>
  <c r="U557" i="2"/>
  <c r="G558" i="2"/>
  <c r="N558" i="2"/>
  <c r="U558" i="2"/>
  <c r="G559" i="2"/>
  <c r="M559" i="2"/>
  <c r="T559" i="2"/>
  <c r="T508" i="2"/>
  <c r="P508" i="2"/>
  <c r="L508" i="2"/>
  <c r="H508" i="2"/>
  <c r="D508" i="2"/>
  <c r="V507" i="2"/>
  <c r="R507" i="2"/>
  <c r="N507" i="2"/>
  <c r="J507" i="2"/>
  <c r="F507" i="2"/>
  <c r="B507" i="2"/>
  <c r="T506" i="2"/>
  <c r="P506" i="2"/>
  <c r="L506" i="2"/>
  <c r="H506" i="2"/>
  <c r="D506" i="2"/>
  <c r="V505" i="2"/>
  <c r="R505" i="2"/>
  <c r="N505" i="2"/>
  <c r="J505" i="2"/>
  <c r="F505" i="2"/>
  <c r="B505" i="2"/>
  <c r="T504" i="2"/>
  <c r="P504" i="2"/>
  <c r="L504" i="2"/>
  <c r="H504" i="2"/>
  <c r="D504" i="2"/>
  <c r="V503" i="2"/>
  <c r="R503" i="2"/>
  <c r="N503" i="2"/>
  <c r="J503" i="2"/>
  <c r="F503" i="2"/>
  <c r="B503" i="2"/>
  <c r="T502" i="2"/>
  <c r="P502" i="2"/>
  <c r="L502" i="2"/>
  <c r="H502" i="2"/>
  <c r="D502" i="2"/>
  <c r="F500" i="2"/>
  <c r="J500" i="2"/>
  <c r="N500" i="2"/>
  <c r="R500" i="2"/>
  <c r="V500" i="2"/>
  <c r="D501" i="2"/>
  <c r="H501" i="2"/>
  <c r="L501" i="2"/>
  <c r="P501" i="2"/>
  <c r="T501" i="2"/>
  <c r="B502" i="2"/>
  <c r="G502" i="2"/>
  <c r="M502" i="2"/>
  <c r="R502" i="2"/>
  <c r="W502" i="2"/>
  <c r="G503" i="2"/>
  <c r="L503" i="2"/>
  <c r="Q503" i="2"/>
  <c r="W503" i="2"/>
  <c r="F504" i="2"/>
  <c r="K504" i="2"/>
  <c r="Q504" i="2"/>
  <c r="V504" i="2"/>
  <c r="E505" i="2"/>
  <c r="K505" i="2"/>
  <c r="P505" i="2"/>
  <c r="U505" i="2"/>
  <c r="E506" i="2"/>
  <c r="J506" i="2"/>
  <c r="O506" i="2"/>
  <c r="U506" i="2"/>
  <c r="D507" i="2"/>
  <c r="I507" i="2"/>
  <c r="O507" i="2"/>
  <c r="T507" i="2"/>
  <c r="C508" i="2"/>
  <c r="I508" i="2"/>
  <c r="N508" i="2"/>
  <c r="S508" i="2"/>
  <c r="W513" i="2"/>
  <c r="S513" i="2"/>
  <c r="O513" i="2"/>
  <c r="K513" i="2"/>
  <c r="G513" i="2"/>
  <c r="C513" i="2"/>
  <c r="U512" i="2"/>
  <c r="Q512" i="2"/>
  <c r="M512" i="2"/>
  <c r="I512" i="2"/>
  <c r="E512" i="2"/>
  <c r="W511" i="2"/>
  <c r="S511" i="2"/>
  <c r="O511" i="2"/>
  <c r="K511" i="2"/>
  <c r="G511" i="2"/>
  <c r="C511" i="2"/>
  <c r="U510" i="2"/>
  <c r="Q510" i="2"/>
  <c r="M510" i="2"/>
  <c r="I510" i="2"/>
  <c r="E510" i="2"/>
  <c r="B510" i="2"/>
  <c r="G510" i="2"/>
  <c r="L510" i="2"/>
  <c r="R510" i="2"/>
  <c r="W510" i="2"/>
  <c r="F511" i="2"/>
  <c r="L511" i="2"/>
  <c r="Q511" i="2"/>
  <c r="V511" i="2"/>
  <c r="F512" i="2"/>
  <c r="K512" i="2"/>
  <c r="P512" i="2"/>
  <c r="V512" i="2"/>
  <c r="E513" i="2"/>
  <c r="J513" i="2"/>
  <c r="P513" i="2"/>
  <c r="U513" i="2"/>
  <c r="C515" i="2"/>
  <c r="I515" i="2"/>
  <c r="N515" i="2"/>
  <c r="S515" i="2"/>
  <c r="C516" i="2"/>
  <c r="H516" i="2"/>
  <c r="M516" i="2"/>
  <c r="S516" i="2"/>
  <c r="B518" i="2"/>
  <c r="F518" i="2"/>
  <c r="L518" i="2"/>
  <c r="Q518" i="2"/>
  <c r="V518" i="2"/>
  <c r="E521" i="2"/>
  <c r="J521" i="2"/>
  <c r="O521" i="2"/>
  <c r="U521" i="2"/>
  <c r="D522" i="2"/>
  <c r="I522" i="2"/>
  <c r="O522" i="2"/>
  <c r="T522" i="2"/>
  <c r="C523" i="2"/>
  <c r="I523" i="2"/>
  <c r="N523" i="2"/>
  <c r="S523" i="2"/>
  <c r="C524" i="2"/>
  <c r="H524" i="2"/>
  <c r="M524" i="2"/>
  <c r="S524" i="2"/>
  <c r="B525" i="2"/>
  <c r="G525" i="2"/>
  <c r="M525" i="2"/>
  <c r="R525" i="2"/>
  <c r="W525" i="2"/>
  <c r="G526" i="2"/>
  <c r="L526" i="2"/>
  <c r="Q526" i="2"/>
  <c r="W526" i="2"/>
  <c r="F527" i="2"/>
  <c r="K527" i="2"/>
  <c r="Q527" i="2"/>
  <c r="V527" i="2"/>
  <c r="E528" i="2"/>
  <c r="K528" i="2"/>
  <c r="P528" i="2"/>
  <c r="U528" i="2"/>
  <c r="E529" i="2"/>
  <c r="J529" i="2"/>
  <c r="O529" i="2"/>
  <c r="U529" i="2"/>
  <c r="D530" i="2"/>
  <c r="I530" i="2"/>
  <c r="O530" i="2"/>
  <c r="T530" i="2"/>
  <c r="C531" i="2"/>
  <c r="I531" i="2"/>
  <c r="N531" i="2"/>
  <c r="S531" i="2"/>
  <c r="C532" i="2"/>
  <c r="H532" i="2"/>
  <c r="M532" i="2"/>
  <c r="S532" i="2"/>
  <c r="B533" i="2"/>
  <c r="G533" i="2"/>
  <c r="M533" i="2"/>
  <c r="R533" i="2"/>
  <c r="W533" i="2"/>
  <c r="G534" i="2"/>
  <c r="L534" i="2"/>
  <c r="Q534" i="2"/>
  <c r="W534" i="2"/>
  <c r="F535" i="2"/>
  <c r="K535" i="2"/>
  <c r="Q535" i="2"/>
  <c r="V535" i="2"/>
  <c r="E536" i="2"/>
  <c r="K536" i="2"/>
  <c r="P536" i="2"/>
  <c r="U536" i="2"/>
  <c r="D538" i="2"/>
  <c r="I538" i="2"/>
  <c r="N538" i="2"/>
  <c r="T538" i="2"/>
  <c r="C539" i="2"/>
  <c r="H539" i="2"/>
  <c r="N539" i="2"/>
  <c r="S539" i="2"/>
  <c r="B540" i="2"/>
  <c r="H540" i="2"/>
  <c r="M540" i="2"/>
  <c r="R540" i="2"/>
  <c r="B541" i="2"/>
  <c r="G541" i="2"/>
  <c r="L541" i="2"/>
  <c r="R541" i="2"/>
  <c r="W541" i="2"/>
  <c r="F542" i="2"/>
  <c r="L542" i="2"/>
  <c r="Q542" i="2"/>
  <c r="V542" i="2"/>
  <c r="E544" i="2"/>
  <c r="J544" i="2"/>
  <c r="O544" i="2"/>
  <c r="U544" i="2"/>
  <c r="D545" i="2"/>
  <c r="I545" i="2"/>
  <c r="O545" i="2"/>
  <c r="T545" i="2"/>
  <c r="C546" i="2"/>
  <c r="I546" i="2"/>
  <c r="N546" i="2"/>
  <c r="S546" i="2"/>
  <c r="C547" i="2"/>
  <c r="H547" i="2"/>
  <c r="M547" i="2"/>
  <c r="S547" i="2"/>
  <c r="B548" i="2"/>
  <c r="G548" i="2"/>
  <c r="M548" i="2"/>
  <c r="R548" i="2"/>
  <c r="W548" i="2"/>
  <c r="G549" i="2"/>
  <c r="L549" i="2"/>
  <c r="Q549" i="2"/>
  <c r="W549" i="2"/>
  <c r="F550" i="2"/>
  <c r="K550" i="2"/>
  <c r="Q550" i="2"/>
  <c r="V550" i="2"/>
  <c r="D553" i="2"/>
  <c r="J553" i="2"/>
  <c r="O553" i="2"/>
  <c r="T553" i="2"/>
  <c r="D554" i="2"/>
  <c r="I554" i="2"/>
  <c r="N554" i="2"/>
  <c r="T554" i="2"/>
  <c r="C555" i="2"/>
  <c r="H555" i="2"/>
  <c r="N555" i="2"/>
  <c r="S555" i="2"/>
  <c r="B556" i="2"/>
  <c r="H556" i="2"/>
  <c r="M556" i="2"/>
  <c r="R556" i="2"/>
  <c r="C557" i="2"/>
  <c r="I557" i="2"/>
  <c r="P557" i="2"/>
  <c r="B558" i="2"/>
  <c r="I558" i="2"/>
  <c r="O558" i="2"/>
  <c r="W558" i="2"/>
  <c r="H559" i="2"/>
  <c r="O559" i="2"/>
  <c r="W559" i="2"/>
  <c r="V587" i="2"/>
  <c r="R587" i="2"/>
  <c r="N587" i="2"/>
  <c r="J587" i="2"/>
  <c r="F587" i="2"/>
  <c r="B587" i="2"/>
  <c r="T586" i="2"/>
  <c r="P586" i="2"/>
  <c r="L586" i="2"/>
  <c r="H586" i="2"/>
  <c r="D586" i="2"/>
  <c r="V585" i="2"/>
  <c r="R585" i="2"/>
  <c r="N585" i="2"/>
  <c r="J585" i="2"/>
  <c r="F585" i="2"/>
  <c r="B585" i="2"/>
  <c r="T584" i="2"/>
  <c r="P584" i="2"/>
  <c r="L584" i="2"/>
  <c r="H584" i="2"/>
  <c r="D584" i="2"/>
  <c r="U587" i="2"/>
  <c r="Q587" i="2"/>
  <c r="M587" i="2"/>
  <c r="I587" i="2"/>
  <c r="E587" i="2"/>
  <c r="W586" i="2"/>
  <c r="S586" i="2"/>
  <c r="O586" i="2"/>
  <c r="K586" i="2"/>
  <c r="G586" i="2"/>
  <c r="C586" i="2"/>
  <c r="U585" i="2"/>
  <c r="Q585" i="2"/>
  <c r="M585" i="2"/>
  <c r="I585" i="2"/>
  <c r="E585" i="2"/>
  <c r="W584" i="2"/>
  <c r="S584" i="2"/>
  <c r="O584" i="2"/>
  <c r="K584" i="2"/>
  <c r="G584" i="2"/>
  <c r="C584" i="2"/>
  <c r="W587" i="2"/>
  <c r="S587" i="2"/>
  <c r="O587" i="2"/>
  <c r="K587" i="2"/>
  <c r="G587" i="2"/>
  <c r="C587" i="2"/>
  <c r="U586" i="2"/>
  <c r="Q586" i="2"/>
  <c r="M586" i="2"/>
  <c r="I586" i="2"/>
  <c r="E586" i="2"/>
  <c r="W585" i="2"/>
  <c r="S585" i="2"/>
  <c r="O585" i="2"/>
  <c r="K585" i="2"/>
  <c r="G585" i="2"/>
  <c r="C585" i="2"/>
  <c r="U584" i="2"/>
  <c r="Q584" i="2"/>
  <c r="M584" i="2"/>
  <c r="I584" i="2"/>
  <c r="E584" i="2"/>
  <c r="B584" i="2"/>
  <c r="R584" i="2"/>
  <c r="L585" i="2"/>
  <c r="F586" i="2"/>
  <c r="V586" i="2"/>
  <c r="P587" i="2"/>
  <c r="T596" i="2"/>
  <c r="P596" i="2"/>
  <c r="L596" i="2"/>
  <c r="H596" i="2"/>
  <c r="D596" i="2"/>
  <c r="V595" i="2"/>
  <c r="R595" i="2"/>
  <c r="N595" i="2"/>
  <c r="J595" i="2"/>
  <c r="F595" i="2"/>
  <c r="B595" i="2"/>
  <c r="T594" i="2"/>
  <c r="P594" i="2"/>
  <c r="L594" i="2"/>
  <c r="H594" i="2"/>
  <c r="D594" i="2"/>
  <c r="V593" i="2"/>
  <c r="R593" i="2"/>
  <c r="N593" i="2"/>
  <c r="J593" i="2"/>
  <c r="F593" i="2"/>
  <c r="B593" i="2"/>
  <c r="T592" i="2"/>
  <c r="P592" i="2"/>
  <c r="L592" i="2"/>
  <c r="H592" i="2"/>
  <c r="D592" i="2"/>
  <c r="W596" i="2"/>
  <c r="S596" i="2"/>
  <c r="O596" i="2"/>
  <c r="K596" i="2"/>
  <c r="G596" i="2"/>
  <c r="C596" i="2"/>
  <c r="U595" i="2"/>
  <c r="Q595" i="2"/>
  <c r="M595" i="2"/>
  <c r="I595" i="2"/>
  <c r="E595" i="2"/>
  <c r="W594" i="2"/>
  <c r="S594" i="2"/>
  <c r="O594" i="2"/>
  <c r="K594" i="2"/>
  <c r="G594" i="2"/>
  <c r="C594" i="2"/>
  <c r="U593" i="2"/>
  <c r="Q593" i="2"/>
  <c r="M593" i="2"/>
  <c r="I593" i="2"/>
  <c r="E593" i="2"/>
  <c r="W592" i="2"/>
  <c r="S592" i="2"/>
  <c r="O592" i="2"/>
  <c r="K592" i="2"/>
  <c r="G592" i="2"/>
  <c r="C592" i="2"/>
  <c r="U596" i="2"/>
  <c r="Q596" i="2"/>
  <c r="M596" i="2"/>
  <c r="I596" i="2"/>
  <c r="E596" i="2"/>
  <c r="W595" i="2"/>
  <c r="S595" i="2"/>
  <c r="O595" i="2"/>
  <c r="K595" i="2"/>
  <c r="G595" i="2"/>
  <c r="C595" i="2"/>
  <c r="U594" i="2"/>
  <c r="Q594" i="2"/>
  <c r="M594" i="2"/>
  <c r="I594" i="2"/>
  <c r="E594" i="2"/>
  <c r="W593" i="2"/>
  <c r="S593" i="2"/>
  <c r="O593" i="2"/>
  <c r="K593" i="2"/>
  <c r="G593" i="2"/>
  <c r="C593" i="2"/>
  <c r="U592" i="2"/>
  <c r="Q592" i="2"/>
  <c r="M592" i="2"/>
  <c r="I592" i="2"/>
  <c r="E592" i="2"/>
  <c r="B592" i="2"/>
  <c r="R592" i="2"/>
  <c r="L593" i="2"/>
  <c r="F594" i="2"/>
  <c r="V594" i="2"/>
  <c r="P595" i="2"/>
  <c r="J596" i="2"/>
  <c r="U577" i="2"/>
  <c r="Q577" i="2"/>
  <c r="M577" i="2"/>
  <c r="I577" i="2"/>
  <c r="E577" i="2"/>
  <c r="W576" i="2"/>
  <c r="S576" i="2"/>
  <c r="O576" i="2"/>
  <c r="K576" i="2"/>
  <c r="G576" i="2"/>
  <c r="C576" i="2"/>
  <c r="U575" i="2"/>
  <c r="Q575" i="2"/>
  <c r="M575" i="2"/>
  <c r="I575" i="2"/>
  <c r="E575" i="2"/>
  <c r="W574" i="2"/>
  <c r="S574" i="2"/>
  <c r="O574" i="2"/>
  <c r="K574" i="2"/>
  <c r="G574" i="2"/>
  <c r="C574" i="2"/>
  <c r="H574" i="2"/>
  <c r="M574" i="2"/>
  <c r="R574" i="2"/>
  <c r="B575" i="2"/>
  <c r="G575" i="2"/>
  <c r="L575" i="2"/>
  <c r="R575" i="2"/>
  <c r="W575" i="2"/>
  <c r="F576" i="2"/>
  <c r="L576" i="2"/>
  <c r="Q576" i="2"/>
  <c r="V576" i="2"/>
  <c r="F577" i="2"/>
  <c r="K577" i="2"/>
  <c r="P577" i="2"/>
  <c r="V577" i="2"/>
  <c r="F584" i="2"/>
  <c r="V584" i="2"/>
  <c r="P585" i="2"/>
  <c r="J586" i="2"/>
  <c r="D587" i="2"/>
  <c r="T587" i="2"/>
  <c r="F592" i="2"/>
  <c r="V592" i="2"/>
  <c r="P593" i="2"/>
  <c r="J594" i="2"/>
  <c r="D595" i="2"/>
  <c r="T595" i="2"/>
  <c r="N596" i="2"/>
  <c r="W569" i="2"/>
  <c r="S569" i="2"/>
  <c r="O569" i="2"/>
  <c r="K569" i="2"/>
  <c r="G569" i="2"/>
  <c r="C569" i="2"/>
  <c r="U568" i="2"/>
  <c r="Q568" i="2"/>
  <c r="M568" i="2"/>
  <c r="I568" i="2"/>
  <c r="E568" i="2"/>
  <c r="W567" i="2"/>
  <c r="S567" i="2"/>
  <c r="O567" i="2"/>
  <c r="K567" i="2"/>
  <c r="G567" i="2"/>
  <c r="C567" i="2"/>
  <c r="U566" i="2"/>
  <c r="Q566" i="2"/>
  <c r="M566" i="2"/>
  <c r="I566" i="2"/>
  <c r="E566" i="2"/>
  <c r="W565" i="2"/>
  <c r="S565" i="2"/>
  <c r="O565" i="2"/>
  <c r="K565" i="2"/>
  <c r="G565" i="2"/>
  <c r="C565" i="2"/>
  <c r="U564" i="2"/>
  <c r="Q564" i="2"/>
  <c r="M564" i="2"/>
  <c r="I564" i="2"/>
  <c r="E564" i="2"/>
  <c r="W563" i="2"/>
  <c r="S563" i="2"/>
  <c r="O563" i="2"/>
  <c r="K563" i="2"/>
  <c r="G563" i="2"/>
  <c r="C563" i="2"/>
  <c r="U562" i="2"/>
  <c r="Q562" i="2"/>
  <c r="M562" i="2"/>
  <c r="I562" i="2"/>
  <c r="E562" i="2"/>
  <c r="W561" i="2"/>
  <c r="S561" i="2"/>
  <c r="O561" i="2"/>
  <c r="K561" i="2"/>
  <c r="G561" i="2"/>
  <c r="C561" i="2"/>
  <c r="H561" i="2"/>
  <c r="M561" i="2"/>
  <c r="R561" i="2"/>
  <c r="B562" i="2"/>
  <c r="G562" i="2"/>
  <c r="L562" i="2"/>
  <c r="R562" i="2"/>
  <c r="W562" i="2"/>
  <c r="F563" i="2"/>
  <c r="L563" i="2"/>
  <c r="Q563" i="2"/>
  <c r="V563" i="2"/>
  <c r="F564" i="2"/>
  <c r="K564" i="2"/>
  <c r="P564" i="2"/>
  <c r="V564" i="2"/>
  <c r="E565" i="2"/>
  <c r="J565" i="2"/>
  <c r="P565" i="2"/>
  <c r="U565" i="2"/>
  <c r="D566" i="2"/>
  <c r="J566" i="2"/>
  <c r="O566" i="2"/>
  <c r="T566" i="2"/>
  <c r="D567" i="2"/>
  <c r="I567" i="2"/>
  <c r="N567" i="2"/>
  <c r="T567" i="2"/>
  <c r="C568" i="2"/>
  <c r="H568" i="2"/>
  <c r="N568" i="2"/>
  <c r="S568" i="2"/>
  <c r="B569" i="2"/>
  <c r="H569" i="2"/>
  <c r="M569" i="2"/>
  <c r="R569" i="2"/>
  <c r="B571" i="2"/>
  <c r="F571" i="2"/>
  <c r="K571" i="2"/>
  <c r="Q571" i="2"/>
  <c r="V571" i="2"/>
  <c r="E572" i="2"/>
  <c r="K572" i="2"/>
  <c r="P572" i="2"/>
  <c r="D574" i="2"/>
  <c r="I574" i="2"/>
  <c r="N574" i="2"/>
  <c r="T574" i="2"/>
  <c r="C575" i="2"/>
  <c r="H575" i="2"/>
  <c r="N575" i="2"/>
  <c r="S575" i="2"/>
  <c r="B576" i="2"/>
  <c r="H576" i="2"/>
  <c r="M576" i="2"/>
  <c r="R576" i="2"/>
  <c r="B577" i="2"/>
  <c r="G577" i="2"/>
  <c r="L577" i="2"/>
  <c r="R577" i="2"/>
  <c r="W577" i="2"/>
  <c r="J584" i="2"/>
  <c r="D585" i="2"/>
  <c r="T585" i="2"/>
  <c r="N586" i="2"/>
  <c r="H587" i="2"/>
  <c r="J592" i="2"/>
  <c r="D593" i="2"/>
  <c r="T593" i="2"/>
  <c r="N594" i="2"/>
  <c r="H595" i="2"/>
  <c r="B596" i="2"/>
  <c r="R596" i="2"/>
  <c r="D561" i="2"/>
  <c r="I561" i="2"/>
  <c r="N561" i="2"/>
  <c r="T561" i="2"/>
  <c r="C562" i="2"/>
  <c r="H562" i="2"/>
  <c r="N562" i="2"/>
  <c r="S562" i="2"/>
  <c r="B563" i="2"/>
  <c r="H563" i="2"/>
  <c r="M563" i="2"/>
  <c r="R563" i="2"/>
  <c r="B564" i="2"/>
  <c r="G564" i="2"/>
  <c r="L564" i="2"/>
  <c r="R564" i="2"/>
  <c r="W564" i="2"/>
  <c r="F565" i="2"/>
  <c r="L565" i="2"/>
  <c r="Q565" i="2"/>
  <c r="V565" i="2"/>
  <c r="F566" i="2"/>
  <c r="K566" i="2"/>
  <c r="P566" i="2"/>
  <c r="V566" i="2"/>
  <c r="E567" i="2"/>
  <c r="J567" i="2"/>
  <c r="P567" i="2"/>
  <c r="U567" i="2"/>
  <c r="D568" i="2"/>
  <c r="J568" i="2"/>
  <c r="O568" i="2"/>
  <c r="T568" i="2"/>
  <c r="D569" i="2"/>
  <c r="I569" i="2"/>
  <c r="N569" i="2"/>
  <c r="T569" i="2"/>
  <c r="V572" i="2"/>
  <c r="R572" i="2"/>
  <c r="N572" i="2"/>
  <c r="J572" i="2"/>
  <c r="F572" i="2"/>
  <c r="B572" i="2"/>
  <c r="T571" i="2"/>
  <c r="P571" i="2"/>
  <c r="L571" i="2"/>
  <c r="H571" i="2"/>
  <c r="D571" i="2"/>
  <c r="G571" i="2"/>
  <c r="M571" i="2"/>
  <c r="R571" i="2"/>
  <c r="W571" i="2"/>
  <c r="G572" i="2"/>
  <c r="L572" i="2"/>
  <c r="Q572" i="2"/>
  <c r="W572" i="2"/>
  <c r="E574" i="2"/>
  <c r="J574" i="2"/>
  <c r="P574" i="2"/>
  <c r="U574" i="2"/>
  <c r="D575" i="2"/>
  <c r="J575" i="2"/>
  <c r="O575" i="2"/>
  <c r="T575" i="2"/>
  <c r="D576" i="2"/>
  <c r="I576" i="2"/>
  <c r="N576" i="2"/>
  <c r="T576" i="2"/>
  <c r="C577" i="2"/>
  <c r="H577" i="2"/>
  <c r="N577" i="2"/>
  <c r="S577" i="2"/>
  <c r="N584" i="2"/>
  <c r="H585" i="2"/>
  <c r="B586" i="2"/>
  <c r="R586" i="2"/>
  <c r="L587" i="2"/>
  <c r="N592" i="2"/>
  <c r="H593" i="2"/>
  <c r="B594" i="2"/>
  <c r="R594" i="2"/>
  <c r="L595" i="2"/>
  <c r="F596" i="2"/>
  <c r="V596" i="2"/>
  <c r="H581" i="2"/>
  <c r="L581" i="2"/>
  <c r="P581" i="2"/>
  <c r="T581" i="2"/>
  <c r="B582" i="2"/>
  <c r="F582" i="2"/>
  <c r="J582" i="2"/>
  <c r="N582" i="2"/>
  <c r="R582" i="2"/>
  <c r="V582" i="2"/>
  <c r="D583" i="2"/>
  <c r="H583" i="2"/>
  <c r="L583" i="2"/>
  <c r="P583" i="2"/>
  <c r="T583" i="2"/>
  <c r="F598" i="2"/>
  <c r="J598" i="2"/>
  <c r="N598" i="2"/>
  <c r="R598" i="2"/>
  <c r="V598" i="2"/>
  <c r="D599" i="2"/>
  <c r="H599" i="2"/>
  <c r="L599" i="2"/>
  <c r="P599" i="2"/>
  <c r="T599" i="2"/>
  <c r="B600" i="2"/>
  <c r="F600" i="2"/>
  <c r="J600" i="2"/>
  <c r="N600" i="2"/>
  <c r="R600" i="2"/>
  <c r="V600" i="2"/>
  <c r="D601" i="2"/>
  <c r="H601" i="2"/>
  <c r="L601" i="2"/>
  <c r="P601" i="2"/>
  <c r="T601" i="2"/>
  <c r="B604" i="2"/>
  <c r="E604" i="2"/>
  <c r="I604" i="2"/>
  <c r="M604" i="2"/>
  <c r="Q604" i="2"/>
  <c r="U604" i="2"/>
  <c r="C605" i="2"/>
  <c r="G605" i="2"/>
  <c r="K605" i="2"/>
  <c r="O605" i="2"/>
  <c r="S605" i="2"/>
  <c r="W605" i="2"/>
  <c r="E606" i="2"/>
  <c r="I606" i="2"/>
  <c r="M606" i="2"/>
  <c r="Q606" i="2"/>
  <c r="U606" i="2"/>
  <c r="C607" i="2"/>
  <c r="G607" i="2"/>
  <c r="K607" i="2"/>
  <c r="O607" i="2"/>
  <c r="S607" i="2"/>
  <c r="W607" i="2"/>
  <c r="E608" i="2"/>
  <c r="I608" i="2"/>
  <c r="M608" i="2"/>
  <c r="Q608" i="2"/>
  <c r="U608" i="2"/>
  <c r="C609" i="2"/>
  <c r="G609" i="2"/>
  <c r="K609" i="2"/>
  <c r="O609" i="2"/>
  <c r="S609" i="2"/>
  <c r="W609" i="2"/>
  <c r="M616" i="2"/>
  <c r="Q616" i="2"/>
  <c r="U616" i="2"/>
  <c r="C617" i="2"/>
  <c r="G617" i="2"/>
  <c r="K617" i="2"/>
  <c r="O617" i="2"/>
  <c r="S617" i="2"/>
  <c r="W617" i="2"/>
  <c r="E618" i="2"/>
  <c r="I618" i="2"/>
  <c r="M618" i="2"/>
  <c r="Q618" i="2"/>
  <c r="U618" i="2"/>
  <c r="W621" i="2"/>
  <c r="S621" i="2"/>
  <c r="O621" i="2"/>
  <c r="K621" i="2"/>
  <c r="G621" i="2"/>
  <c r="C621" i="2"/>
  <c r="F620" i="2"/>
  <c r="J620" i="2"/>
  <c r="N620" i="2"/>
  <c r="R620" i="2"/>
  <c r="V620" i="2"/>
  <c r="E621" i="2"/>
  <c r="J621" i="2"/>
  <c r="P621" i="2"/>
  <c r="U621" i="2"/>
  <c r="C624" i="2"/>
  <c r="I624" i="2"/>
  <c r="N624" i="2"/>
  <c r="S624" i="2"/>
  <c r="C625" i="2"/>
  <c r="H625" i="2"/>
  <c r="M625" i="2"/>
  <c r="S625" i="2"/>
  <c r="B626" i="2"/>
  <c r="G626" i="2"/>
  <c r="M626" i="2"/>
  <c r="R626" i="2"/>
  <c r="W626" i="2"/>
  <c r="G627" i="2"/>
  <c r="L627" i="2"/>
  <c r="Q627" i="2"/>
  <c r="W627" i="2"/>
  <c r="F628" i="2"/>
  <c r="K628" i="2"/>
  <c r="Q628" i="2"/>
  <c r="V628" i="2"/>
  <c r="F604" i="2"/>
  <c r="J604" i="2"/>
  <c r="N604" i="2"/>
  <c r="R604" i="2"/>
  <c r="V604" i="2"/>
  <c r="D605" i="2"/>
  <c r="H605" i="2"/>
  <c r="L605" i="2"/>
  <c r="P605" i="2"/>
  <c r="T605" i="2"/>
  <c r="B606" i="2"/>
  <c r="F606" i="2"/>
  <c r="J606" i="2"/>
  <c r="N606" i="2"/>
  <c r="R606" i="2"/>
  <c r="V606" i="2"/>
  <c r="D607" i="2"/>
  <c r="H607" i="2"/>
  <c r="L607" i="2"/>
  <c r="P607" i="2"/>
  <c r="T607" i="2"/>
  <c r="B608" i="2"/>
  <c r="F608" i="2"/>
  <c r="J608" i="2"/>
  <c r="N608" i="2"/>
  <c r="R608" i="2"/>
  <c r="V608" i="2"/>
  <c r="D609" i="2"/>
  <c r="H609" i="2"/>
  <c r="L609" i="2"/>
  <c r="P609" i="2"/>
  <c r="T609" i="2"/>
  <c r="F616" i="2"/>
  <c r="J616" i="2"/>
  <c r="N616" i="2"/>
  <c r="R616" i="2"/>
  <c r="V616" i="2"/>
  <c r="D617" i="2"/>
  <c r="H617" i="2"/>
  <c r="L617" i="2"/>
  <c r="P617" i="2"/>
  <c r="T617" i="2"/>
  <c r="B618" i="2"/>
  <c r="F618" i="2"/>
  <c r="J618" i="2"/>
  <c r="N618" i="2"/>
  <c r="R618" i="2"/>
  <c r="V618" i="2"/>
  <c r="C620" i="2"/>
  <c r="G620" i="2"/>
  <c r="K620" i="2"/>
  <c r="O620" i="2"/>
  <c r="S620" i="2"/>
  <c r="W620" i="2"/>
  <c r="F621" i="2"/>
  <c r="L621" i="2"/>
  <c r="Q621" i="2"/>
  <c r="V621" i="2"/>
  <c r="E624" i="2"/>
  <c r="J624" i="2"/>
  <c r="O624" i="2"/>
  <c r="U624" i="2"/>
  <c r="D625" i="2"/>
  <c r="I625" i="2"/>
  <c r="O625" i="2"/>
  <c r="T625" i="2"/>
  <c r="C626" i="2"/>
  <c r="I626" i="2"/>
  <c r="N626" i="2"/>
  <c r="S626" i="2"/>
  <c r="C627" i="2"/>
  <c r="H627" i="2"/>
  <c r="M627" i="2"/>
  <c r="S627" i="2"/>
  <c r="B628" i="2"/>
  <c r="G628" i="2"/>
  <c r="M628" i="2"/>
  <c r="R628" i="2"/>
  <c r="W628" i="2"/>
  <c r="F581" i="2"/>
  <c r="J581" i="2"/>
  <c r="N581" i="2"/>
  <c r="R581" i="2"/>
  <c r="V581" i="2"/>
  <c r="D582" i="2"/>
  <c r="H582" i="2"/>
  <c r="L582" i="2"/>
  <c r="P582" i="2"/>
  <c r="T582" i="2"/>
  <c r="B583" i="2"/>
  <c r="F583" i="2"/>
  <c r="J583" i="2"/>
  <c r="N583" i="2"/>
  <c r="R583" i="2"/>
  <c r="V583" i="2"/>
  <c r="F588" i="2"/>
  <c r="J588" i="2"/>
  <c r="N588" i="2"/>
  <c r="R588" i="2"/>
  <c r="D598" i="2"/>
  <c r="H598" i="2"/>
  <c r="L598" i="2"/>
  <c r="P598" i="2"/>
  <c r="T598" i="2"/>
  <c r="B599" i="2"/>
  <c r="F599" i="2"/>
  <c r="J599" i="2"/>
  <c r="N599" i="2"/>
  <c r="R599" i="2"/>
  <c r="V599" i="2"/>
  <c r="D600" i="2"/>
  <c r="H600" i="2"/>
  <c r="L600" i="2"/>
  <c r="P600" i="2"/>
  <c r="T600" i="2"/>
  <c r="B601" i="2"/>
  <c r="F601" i="2"/>
  <c r="J601" i="2"/>
  <c r="N601" i="2"/>
  <c r="R601" i="2"/>
  <c r="V601" i="2"/>
  <c r="C604" i="2"/>
  <c r="G604" i="2"/>
  <c r="K604" i="2"/>
  <c r="O604" i="2"/>
  <c r="S604" i="2"/>
  <c r="W604" i="2"/>
  <c r="E605" i="2"/>
  <c r="I605" i="2"/>
  <c r="M605" i="2"/>
  <c r="Q605" i="2"/>
  <c r="U605" i="2"/>
  <c r="C606" i="2"/>
  <c r="G606" i="2"/>
  <c r="K606" i="2"/>
  <c r="O606" i="2"/>
  <c r="S606" i="2"/>
  <c r="W606" i="2"/>
  <c r="E607" i="2"/>
  <c r="I607" i="2"/>
  <c r="M607" i="2"/>
  <c r="Q607" i="2"/>
  <c r="U607" i="2"/>
  <c r="C608" i="2"/>
  <c r="G608" i="2"/>
  <c r="K608" i="2"/>
  <c r="O608" i="2"/>
  <c r="S608" i="2"/>
  <c r="W608" i="2"/>
  <c r="E609" i="2"/>
  <c r="I609" i="2"/>
  <c r="M609" i="2"/>
  <c r="Q609" i="2"/>
  <c r="U609" i="2"/>
  <c r="F611" i="2"/>
  <c r="J611" i="2"/>
  <c r="N611" i="2"/>
  <c r="R611" i="2"/>
  <c r="V611" i="2"/>
  <c r="D612" i="2"/>
  <c r="H612" i="2"/>
  <c r="L612" i="2"/>
  <c r="P612" i="2"/>
  <c r="T612" i="2"/>
  <c r="B613" i="2"/>
  <c r="F613" i="2"/>
  <c r="J613" i="2"/>
  <c r="N613" i="2"/>
  <c r="R613" i="2"/>
  <c r="C616" i="2"/>
  <c r="G616" i="2"/>
  <c r="K616" i="2"/>
  <c r="O616" i="2"/>
  <c r="S616" i="2"/>
  <c r="W616" i="2"/>
  <c r="E617" i="2"/>
  <c r="I617" i="2"/>
  <c r="M617" i="2"/>
  <c r="Q617" i="2"/>
  <c r="U617" i="2"/>
  <c r="C618" i="2"/>
  <c r="G618" i="2"/>
  <c r="K618" i="2"/>
  <c r="O618" i="2"/>
  <c r="S618" i="2"/>
  <c r="D620" i="2"/>
  <c r="H620" i="2"/>
  <c r="L620" i="2"/>
  <c r="P620" i="2"/>
  <c r="T620" i="2"/>
  <c r="B621" i="2"/>
  <c r="H621" i="2"/>
  <c r="M621" i="2"/>
  <c r="R621" i="2"/>
  <c r="B624" i="2"/>
  <c r="F624" i="2"/>
  <c r="K624" i="2"/>
  <c r="Q624" i="2"/>
  <c r="V624" i="2"/>
  <c r="E625" i="2"/>
  <c r="K625" i="2"/>
  <c r="P625" i="2"/>
  <c r="U625" i="2"/>
  <c r="E626" i="2"/>
  <c r="J626" i="2"/>
  <c r="O626" i="2"/>
  <c r="U626" i="2"/>
  <c r="D627" i="2"/>
  <c r="I627" i="2"/>
  <c r="O627" i="2"/>
  <c r="T627" i="2"/>
  <c r="C628" i="2"/>
  <c r="I628" i="2"/>
  <c r="N628" i="2"/>
  <c r="F580" i="2"/>
  <c r="J580" i="2"/>
  <c r="N580" i="2"/>
  <c r="R580" i="2"/>
  <c r="C581" i="2"/>
  <c r="G581" i="2"/>
  <c r="K581" i="2"/>
  <c r="O581" i="2"/>
  <c r="S581" i="2"/>
  <c r="W581" i="2"/>
  <c r="E582" i="2"/>
  <c r="I582" i="2"/>
  <c r="M582" i="2"/>
  <c r="Q582" i="2"/>
  <c r="U582" i="2"/>
  <c r="C583" i="2"/>
  <c r="G583" i="2"/>
  <c r="K583" i="2"/>
  <c r="O583" i="2"/>
  <c r="S583" i="2"/>
  <c r="B598" i="2"/>
  <c r="E598" i="2"/>
  <c r="I598" i="2"/>
  <c r="M598" i="2"/>
  <c r="Q598" i="2"/>
  <c r="U598" i="2"/>
  <c r="C599" i="2"/>
  <c r="G599" i="2"/>
  <c r="K599" i="2"/>
  <c r="O599" i="2"/>
  <c r="S599" i="2"/>
  <c r="W599" i="2"/>
  <c r="E600" i="2"/>
  <c r="I600" i="2"/>
  <c r="M600" i="2"/>
  <c r="Q600" i="2"/>
  <c r="U600" i="2"/>
  <c r="C601" i="2"/>
  <c r="G601" i="2"/>
  <c r="K601" i="2"/>
  <c r="O601" i="2"/>
  <c r="S601" i="2"/>
  <c r="D604" i="2"/>
  <c r="H604" i="2"/>
  <c r="L604" i="2"/>
  <c r="P604" i="2"/>
  <c r="T604" i="2"/>
  <c r="B605" i="2"/>
  <c r="F605" i="2"/>
  <c r="J605" i="2"/>
  <c r="N605" i="2"/>
  <c r="R605" i="2"/>
  <c r="V605" i="2"/>
  <c r="D606" i="2"/>
  <c r="H606" i="2"/>
  <c r="L606" i="2"/>
  <c r="P606" i="2"/>
  <c r="T606" i="2"/>
  <c r="B607" i="2"/>
  <c r="F607" i="2"/>
  <c r="J607" i="2"/>
  <c r="N607" i="2"/>
  <c r="R607" i="2"/>
  <c r="V607" i="2"/>
  <c r="D608" i="2"/>
  <c r="H608" i="2"/>
  <c r="L608" i="2"/>
  <c r="P608" i="2"/>
  <c r="T608" i="2"/>
  <c r="B609" i="2"/>
  <c r="F609" i="2"/>
  <c r="J609" i="2"/>
  <c r="N609" i="2"/>
  <c r="R609" i="2"/>
  <c r="T628" i="2"/>
  <c r="P628" i="2"/>
  <c r="L628" i="2"/>
  <c r="H628" i="2"/>
  <c r="D628" i="2"/>
  <c r="V627" i="2"/>
  <c r="R627" i="2"/>
  <c r="N627" i="2"/>
  <c r="J627" i="2"/>
  <c r="F627" i="2"/>
  <c r="B627" i="2"/>
  <c r="T626" i="2"/>
  <c r="P626" i="2"/>
  <c r="L626" i="2"/>
  <c r="H626" i="2"/>
  <c r="D626" i="2"/>
  <c r="V625" i="2"/>
  <c r="R625" i="2"/>
  <c r="N625" i="2"/>
  <c r="J625" i="2"/>
  <c r="F625" i="2"/>
  <c r="B625" i="2"/>
  <c r="T624" i="2"/>
  <c r="P624" i="2"/>
  <c r="L624" i="2"/>
  <c r="H624" i="2"/>
  <c r="D624" i="2"/>
  <c r="G624" i="2"/>
  <c r="M624" i="2"/>
  <c r="R624" i="2"/>
  <c r="W624" i="2"/>
  <c r="G625" i="2"/>
  <c r="L625" i="2"/>
  <c r="Q625" i="2"/>
  <c r="W625" i="2"/>
  <c r="F626" i="2"/>
  <c r="K626" i="2"/>
  <c r="Q626" i="2"/>
  <c r="V626" i="2"/>
  <c r="E627" i="2"/>
  <c r="K627" i="2"/>
  <c r="P627" i="2"/>
  <c r="U627" i="2"/>
  <c r="E628" i="2"/>
  <c r="J628" i="2"/>
  <c r="O628" i="2"/>
  <c r="U628" i="2"/>
  <c r="G651" i="2"/>
  <c r="K651" i="2"/>
  <c r="O651" i="2"/>
  <c r="S651" i="2"/>
  <c r="W651" i="2"/>
  <c r="F652" i="2"/>
  <c r="J652" i="2"/>
  <c r="N652" i="2"/>
  <c r="N642" i="2" s="1"/>
  <c r="R652" i="2"/>
  <c r="R16" i="2" s="1"/>
  <c r="V652" i="2"/>
  <c r="E653" i="2"/>
  <c r="I653" i="2"/>
  <c r="M653" i="2"/>
  <c r="Q653" i="2"/>
  <c r="U653" i="2"/>
  <c r="D654" i="2"/>
  <c r="H654" i="2"/>
  <c r="L654" i="2"/>
  <c r="P654" i="2"/>
  <c r="T654" i="2"/>
  <c r="C655" i="2"/>
  <c r="G655" i="2"/>
  <c r="K655" i="2"/>
  <c r="O655" i="2"/>
  <c r="S655" i="2"/>
  <c r="W655" i="2"/>
  <c r="F656" i="2"/>
  <c r="J656" i="2"/>
  <c r="N656" i="2"/>
  <c r="R656" i="2"/>
  <c r="V656" i="2"/>
  <c r="E657" i="2"/>
  <c r="I657" i="2"/>
  <c r="M657" i="2"/>
  <c r="Q657" i="2"/>
  <c r="U657" i="2"/>
  <c r="D670" i="2"/>
  <c r="J670" i="2"/>
  <c r="O670" i="2"/>
  <c r="T670" i="2"/>
  <c r="E671" i="2"/>
  <c r="J671" i="2"/>
  <c r="O671" i="2"/>
  <c r="U671" i="2"/>
  <c r="E672" i="2"/>
  <c r="J672" i="2"/>
  <c r="P672" i="2"/>
  <c r="U672" i="2"/>
  <c r="E673" i="2"/>
  <c r="K673" i="2"/>
  <c r="P673" i="2"/>
  <c r="U673" i="2"/>
  <c r="F674" i="2"/>
  <c r="K674" i="2"/>
  <c r="P674" i="2"/>
  <c r="V674" i="2"/>
  <c r="F675" i="2"/>
  <c r="K675" i="2"/>
  <c r="Q675" i="2"/>
  <c r="V675" i="2"/>
  <c r="F676" i="2"/>
  <c r="L676" i="2"/>
  <c r="Q676" i="2"/>
  <c r="V676" i="2"/>
  <c r="G677" i="2"/>
  <c r="L677" i="2"/>
  <c r="Q677" i="2"/>
  <c r="W677" i="2"/>
  <c r="G678" i="2"/>
  <c r="L678" i="2"/>
  <c r="R678" i="2"/>
  <c r="W678" i="2"/>
  <c r="B631" i="2"/>
  <c r="E631" i="2"/>
  <c r="I631" i="2"/>
  <c r="M631" i="2"/>
  <c r="Q631" i="2"/>
  <c r="U631" i="2"/>
  <c r="C632" i="2"/>
  <c r="G632" i="2"/>
  <c r="K632" i="2"/>
  <c r="O632" i="2"/>
  <c r="S632" i="2"/>
  <c r="W632" i="2"/>
  <c r="E633" i="2"/>
  <c r="I633" i="2"/>
  <c r="M633" i="2"/>
  <c r="Q633" i="2"/>
  <c r="U633" i="2"/>
  <c r="C634" i="2"/>
  <c r="G634" i="2"/>
  <c r="K634" i="2"/>
  <c r="O634" i="2"/>
  <c r="S634" i="2"/>
  <c r="W634" i="2"/>
  <c r="E635" i="2"/>
  <c r="I635" i="2"/>
  <c r="M635" i="2"/>
  <c r="Q635" i="2"/>
  <c r="U635" i="2"/>
  <c r="C636" i="2"/>
  <c r="G636" i="2"/>
  <c r="K636" i="2"/>
  <c r="O636" i="2"/>
  <c r="S636" i="2"/>
  <c r="W636" i="2"/>
  <c r="E637" i="2"/>
  <c r="I637" i="2"/>
  <c r="M637" i="2"/>
  <c r="Q637" i="2"/>
  <c r="U637" i="2"/>
  <c r="D651" i="2"/>
  <c r="H651" i="2"/>
  <c r="L651" i="2"/>
  <c r="P651" i="2"/>
  <c r="T651" i="2"/>
  <c r="C652" i="2"/>
  <c r="G652" i="2"/>
  <c r="K652" i="2"/>
  <c r="O652" i="2"/>
  <c r="S652" i="2"/>
  <c r="W652" i="2"/>
  <c r="F653" i="2"/>
  <c r="J653" i="2"/>
  <c r="N653" i="2"/>
  <c r="R653" i="2"/>
  <c r="V653" i="2"/>
  <c r="E654" i="2"/>
  <c r="I654" i="2"/>
  <c r="M654" i="2"/>
  <c r="Q654" i="2"/>
  <c r="U654" i="2"/>
  <c r="D655" i="2"/>
  <c r="H655" i="2"/>
  <c r="L655" i="2"/>
  <c r="P655" i="2"/>
  <c r="T655" i="2"/>
  <c r="C656" i="2"/>
  <c r="G656" i="2"/>
  <c r="K656" i="2"/>
  <c r="O656" i="2"/>
  <c r="S656" i="2"/>
  <c r="W656" i="2"/>
  <c r="F657" i="2"/>
  <c r="J657" i="2"/>
  <c r="N657" i="2"/>
  <c r="R657" i="2"/>
  <c r="V657" i="2"/>
  <c r="F670" i="2"/>
  <c r="K670" i="2"/>
  <c r="P670" i="2"/>
  <c r="V670" i="2"/>
  <c r="F671" i="2"/>
  <c r="K671" i="2"/>
  <c r="Q671" i="2"/>
  <c r="V671" i="2"/>
  <c r="F672" i="2"/>
  <c r="L672" i="2"/>
  <c r="Q672" i="2"/>
  <c r="V672" i="2"/>
  <c r="G673" i="2"/>
  <c r="L673" i="2"/>
  <c r="Q673" i="2"/>
  <c r="W673" i="2"/>
  <c r="G674" i="2"/>
  <c r="L674" i="2"/>
  <c r="R674" i="2"/>
  <c r="W674" i="2"/>
  <c r="G675" i="2"/>
  <c r="M675" i="2"/>
  <c r="R675" i="2"/>
  <c r="W675" i="2"/>
  <c r="H676" i="2"/>
  <c r="M676" i="2"/>
  <c r="R676" i="2"/>
  <c r="C677" i="2"/>
  <c r="H677" i="2"/>
  <c r="M677" i="2"/>
  <c r="S677" i="2"/>
  <c r="C678" i="2"/>
  <c r="H678" i="2"/>
  <c r="N678" i="2"/>
  <c r="S678" i="2"/>
  <c r="F684" i="2"/>
  <c r="K684" i="2"/>
  <c r="Q684" i="2"/>
  <c r="V684" i="2"/>
  <c r="F685" i="2"/>
  <c r="L685" i="2"/>
  <c r="Q685" i="2"/>
  <c r="F631" i="2"/>
  <c r="J631" i="2"/>
  <c r="N631" i="2"/>
  <c r="R631" i="2"/>
  <c r="V631" i="2"/>
  <c r="D632" i="2"/>
  <c r="H632" i="2"/>
  <c r="L632" i="2"/>
  <c r="P632" i="2"/>
  <c r="T632" i="2"/>
  <c r="B633" i="2"/>
  <c r="F633" i="2"/>
  <c r="J633" i="2"/>
  <c r="N633" i="2"/>
  <c r="R633" i="2"/>
  <c r="V633" i="2"/>
  <c r="D634" i="2"/>
  <c r="H634" i="2"/>
  <c r="L634" i="2"/>
  <c r="P634" i="2"/>
  <c r="T634" i="2"/>
  <c r="B635" i="2"/>
  <c r="F635" i="2"/>
  <c r="J635" i="2"/>
  <c r="N635" i="2"/>
  <c r="R635" i="2"/>
  <c r="V635" i="2"/>
  <c r="D636" i="2"/>
  <c r="H636" i="2"/>
  <c r="L636" i="2"/>
  <c r="P636" i="2"/>
  <c r="T636" i="2"/>
  <c r="B637" i="2"/>
  <c r="F637" i="2"/>
  <c r="J637" i="2"/>
  <c r="N637" i="2"/>
  <c r="R637" i="2"/>
  <c r="E651" i="2"/>
  <c r="I651" i="2"/>
  <c r="M651" i="2"/>
  <c r="Q651" i="2"/>
  <c r="U651" i="2"/>
  <c r="D652" i="2"/>
  <c r="H652" i="2"/>
  <c r="L652" i="2"/>
  <c r="P652" i="2"/>
  <c r="T652" i="2"/>
  <c r="C653" i="2"/>
  <c r="G653" i="2"/>
  <c r="K653" i="2"/>
  <c r="O653" i="2"/>
  <c r="S653" i="2"/>
  <c r="W653" i="2"/>
  <c r="F654" i="2"/>
  <c r="J654" i="2"/>
  <c r="N654" i="2"/>
  <c r="R654" i="2"/>
  <c r="V654" i="2"/>
  <c r="E655" i="2"/>
  <c r="I655" i="2"/>
  <c r="M655" i="2"/>
  <c r="Q655" i="2"/>
  <c r="U655" i="2"/>
  <c r="D656" i="2"/>
  <c r="H656" i="2"/>
  <c r="L656" i="2"/>
  <c r="P656" i="2"/>
  <c r="T656" i="2"/>
  <c r="C657" i="2"/>
  <c r="G657" i="2"/>
  <c r="K657" i="2"/>
  <c r="O657" i="2"/>
  <c r="S657" i="2"/>
  <c r="C670" i="2"/>
  <c r="G670" i="2"/>
  <c r="L670" i="2"/>
  <c r="R670" i="2"/>
  <c r="W670" i="2"/>
  <c r="G671" i="2"/>
  <c r="M671" i="2"/>
  <c r="R671" i="2"/>
  <c r="W671" i="2"/>
  <c r="H672" i="2"/>
  <c r="M672" i="2"/>
  <c r="R672" i="2"/>
  <c r="C673" i="2"/>
  <c r="H673" i="2"/>
  <c r="M673" i="2"/>
  <c r="S673" i="2"/>
  <c r="C674" i="2"/>
  <c r="H674" i="2"/>
  <c r="N674" i="2"/>
  <c r="S674" i="2"/>
  <c r="C675" i="2"/>
  <c r="I675" i="2"/>
  <c r="N675" i="2"/>
  <c r="S675" i="2"/>
  <c r="D676" i="2"/>
  <c r="I676" i="2"/>
  <c r="N676" i="2"/>
  <c r="T676" i="2"/>
  <c r="D677" i="2"/>
  <c r="I677" i="2"/>
  <c r="O677" i="2"/>
  <c r="T677" i="2"/>
  <c r="D678" i="2"/>
  <c r="J678" i="2"/>
  <c r="O678" i="2"/>
  <c r="C684" i="2"/>
  <c r="G684" i="2"/>
  <c r="M684" i="2"/>
  <c r="R684" i="2"/>
  <c r="W684" i="2"/>
  <c r="H685" i="2"/>
  <c r="M685" i="2"/>
  <c r="U678" i="2"/>
  <c r="Q678" i="2"/>
  <c r="M678" i="2"/>
  <c r="I678" i="2"/>
  <c r="E678" i="2"/>
  <c r="V677" i="2"/>
  <c r="R677" i="2"/>
  <c r="N677" i="2"/>
  <c r="J677" i="2"/>
  <c r="F677" i="2"/>
  <c r="W676" i="2"/>
  <c r="S676" i="2"/>
  <c r="O676" i="2"/>
  <c r="K676" i="2"/>
  <c r="G676" i="2"/>
  <c r="C676" i="2"/>
  <c r="T675" i="2"/>
  <c r="P675" i="2"/>
  <c r="L675" i="2"/>
  <c r="H675" i="2"/>
  <c r="D675" i="2"/>
  <c r="U674" i="2"/>
  <c r="Q674" i="2"/>
  <c r="M674" i="2"/>
  <c r="I674" i="2"/>
  <c r="E674" i="2"/>
  <c r="V673" i="2"/>
  <c r="R673" i="2"/>
  <c r="N673" i="2"/>
  <c r="J673" i="2"/>
  <c r="F673" i="2"/>
  <c r="W672" i="2"/>
  <c r="S672" i="2"/>
  <c r="O672" i="2"/>
  <c r="K672" i="2"/>
  <c r="G672" i="2"/>
  <c r="C672" i="2"/>
  <c r="T671" i="2"/>
  <c r="P671" i="2"/>
  <c r="L671" i="2"/>
  <c r="H671" i="2"/>
  <c r="D671" i="2"/>
  <c r="U670" i="2"/>
  <c r="Q670" i="2"/>
  <c r="M670" i="2"/>
  <c r="I670" i="2"/>
  <c r="E670" i="2"/>
  <c r="H670" i="2"/>
  <c r="N670" i="2"/>
  <c r="S670" i="2"/>
  <c r="C671" i="2"/>
  <c r="I671" i="2"/>
  <c r="N671" i="2"/>
  <c r="S671" i="2"/>
  <c r="D672" i="2"/>
  <c r="I672" i="2"/>
  <c r="N672" i="2"/>
  <c r="T672" i="2"/>
  <c r="D673" i="2"/>
  <c r="I673" i="2"/>
  <c r="O673" i="2"/>
  <c r="T673" i="2"/>
  <c r="D674" i="2"/>
  <c r="J674" i="2"/>
  <c r="O674" i="2"/>
  <c r="T674" i="2"/>
  <c r="E675" i="2"/>
  <c r="J675" i="2"/>
  <c r="O675" i="2"/>
  <c r="U675" i="2"/>
  <c r="E676" i="2"/>
  <c r="J676" i="2"/>
  <c r="P676" i="2"/>
  <c r="U676" i="2"/>
  <c r="E677" i="2"/>
  <c r="K677" i="2"/>
  <c r="P677" i="2"/>
  <c r="U677" i="2"/>
  <c r="F678" i="2"/>
  <c r="K678" i="2"/>
  <c r="P678" i="2"/>
  <c r="V678" i="2"/>
  <c r="W685" i="2"/>
  <c r="S685" i="2"/>
  <c r="O685" i="2"/>
  <c r="O18" i="2" s="1"/>
  <c r="K685" i="2"/>
  <c r="G685" i="2"/>
  <c r="C685" i="2"/>
  <c r="T684" i="2"/>
  <c r="P684" i="2"/>
  <c r="L684" i="2"/>
  <c r="H684" i="2"/>
  <c r="D684" i="2"/>
  <c r="U685" i="2"/>
  <c r="U18" i="2" s="1"/>
  <c r="I684" i="2"/>
  <c r="N684" i="2"/>
  <c r="S684" i="2"/>
  <c r="D685" i="2"/>
  <c r="I685" i="2"/>
  <c r="N685" i="2"/>
  <c r="T685" i="2"/>
  <c r="G693" i="2"/>
  <c r="K693" i="2"/>
  <c r="O693" i="2"/>
  <c r="S693" i="2"/>
  <c r="W693" i="2"/>
  <c r="F694" i="2"/>
  <c r="J694" i="2"/>
  <c r="N694" i="2"/>
  <c r="R694" i="2"/>
  <c r="V694" i="2"/>
  <c r="E695" i="2"/>
  <c r="I695" i="2"/>
  <c r="M695" i="2"/>
  <c r="Q695" i="2"/>
  <c r="U695" i="2"/>
  <c r="D696" i="2"/>
  <c r="H696" i="2"/>
  <c r="L696" i="2"/>
  <c r="P696" i="2"/>
  <c r="T696" i="2"/>
  <c r="G716" i="2"/>
  <c r="K716" i="2"/>
  <c r="O716" i="2"/>
  <c r="S716" i="2"/>
  <c r="W716" i="2"/>
  <c r="H717" i="2"/>
  <c r="L717" i="2"/>
  <c r="P717" i="2"/>
  <c r="T717" i="2"/>
  <c r="F718" i="2"/>
  <c r="K718" i="2"/>
  <c r="Q718" i="2"/>
  <c r="V718" i="2"/>
  <c r="H719" i="2"/>
  <c r="O719" i="2"/>
  <c r="W719" i="2"/>
  <c r="L720" i="2"/>
  <c r="T720" i="2"/>
  <c r="I721" i="2"/>
  <c r="Q721" i="2"/>
  <c r="F722" i="2"/>
  <c r="N722" i="2"/>
  <c r="V722" i="2"/>
  <c r="K723" i="2"/>
  <c r="S723" i="2"/>
  <c r="H724" i="2"/>
  <c r="P724" i="2"/>
  <c r="E725" i="2"/>
  <c r="M725" i="2"/>
  <c r="U725" i="2"/>
  <c r="J726" i="2"/>
  <c r="R726" i="2"/>
  <c r="G727" i="2"/>
  <c r="O727" i="2"/>
  <c r="W727" i="2"/>
  <c r="L728" i="2"/>
  <c r="T728" i="2"/>
  <c r="I729" i="2"/>
  <c r="Q729" i="2"/>
  <c r="F730" i="2"/>
  <c r="N730" i="2"/>
  <c r="V730" i="2"/>
  <c r="K731" i="2"/>
  <c r="S731" i="2"/>
  <c r="D693" i="2"/>
  <c r="H693" i="2"/>
  <c r="L693" i="2"/>
  <c r="P693" i="2"/>
  <c r="T693" i="2"/>
  <c r="C694" i="2"/>
  <c r="G694" i="2"/>
  <c r="K694" i="2"/>
  <c r="O694" i="2"/>
  <c r="S694" i="2"/>
  <c r="W694" i="2"/>
  <c r="F695" i="2"/>
  <c r="J695" i="2"/>
  <c r="N695" i="2"/>
  <c r="R695" i="2"/>
  <c r="V695" i="2"/>
  <c r="E696" i="2"/>
  <c r="I696" i="2"/>
  <c r="M696" i="2"/>
  <c r="Q696" i="2"/>
  <c r="U696" i="2"/>
  <c r="E716" i="2"/>
  <c r="H716" i="2"/>
  <c r="L716" i="2"/>
  <c r="P716" i="2"/>
  <c r="T716" i="2"/>
  <c r="E717" i="2"/>
  <c r="I717" i="2"/>
  <c r="M717" i="2"/>
  <c r="Q717" i="2"/>
  <c r="U717" i="2"/>
  <c r="G718" i="2"/>
  <c r="M718" i="2"/>
  <c r="R718" i="2"/>
  <c r="W718" i="2"/>
  <c r="J719" i="2"/>
  <c r="P719" i="2"/>
  <c r="E720" i="2"/>
  <c r="M720" i="2"/>
  <c r="U720" i="2"/>
  <c r="J721" i="2"/>
  <c r="R721" i="2"/>
  <c r="G722" i="2"/>
  <c r="O722" i="2"/>
  <c r="W722" i="2"/>
  <c r="L723" i="2"/>
  <c r="T723" i="2"/>
  <c r="I724" i="2"/>
  <c r="Q724" i="2"/>
  <c r="F725" i="2"/>
  <c r="N725" i="2"/>
  <c r="V725" i="2"/>
  <c r="K726" i="2"/>
  <c r="S726" i="2"/>
  <c r="H727" i="2"/>
  <c r="P727" i="2"/>
  <c r="E728" i="2"/>
  <c r="M728" i="2"/>
  <c r="U728" i="2"/>
  <c r="J729" i="2"/>
  <c r="R729" i="2"/>
  <c r="G730" i="2"/>
  <c r="O730" i="2"/>
  <c r="W730" i="2"/>
  <c r="L731" i="2"/>
  <c r="V731" i="2"/>
  <c r="R731" i="2"/>
  <c r="N731" i="2"/>
  <c r="J731" i="2"/>
  <c r="F731" i="2"/>
  <c r="U730" i="2"/>
  <c r="Q730" i="2"/>
  <c r="M730" i="2"/>
  <c r="I730" i="2"/>
  <c r="E730" i="2"/>
  <c r="T729" i="2"/>
  <c r="P729" i="2"/>
  <c r="L729" i="2"/>
  <c r="H729" i="2"/>
  <c r="W728" i="2"/>
  <c r="S728" i="2"/>
  <c r="O728" i="2"/>
  <c r="K728" i="2"/>
  <c r="G728" i="2"/>
  <c r="V727" i="2"/>
  <c r="R727" i="2"/>
  <c r="N727" i="2"/>
  <c r="J727" i="2"/>
  <c r="F727" i="2"/>
  <c r="U726" i="2"/>
  <c r="Q726" i="2"/>
  <c r="M726" i="2"/>
  <c r="I726" i="2"/>
  <c r="E726" i="2"/>
  <c r="T725" i="2"/>
  <c r="P725" i="2"/>
  <c r="L725" i="2"/>
  <c r="H725" i="2"/>
  <c r="W724" i="2"/>
  <c r="S724" i="2"/>
  <c r="O724" i="2"/>
  <c r="K724" i="2"/>
  <c r="G724" i="2"/>
  <c r="V723" i="2"/>
  <c r="R723" i="2"/>
  <c r="N723" i="2"/>
  <c r="J723" i="2"/>
  <c r="F723" i="2"/>
  <c r="U722" i="2"/>
  <c r="Q722" i="2"/>
  <c r="M722" i="2"/>
  <c r="I722" i="2"/>
  <c r="E722" i="2"/>
  <c r="T721" i="2"/>
  <c r="P721" i="2"/>
  <c r="L721" i="2"/>
  <c r="H721" i="2"/>
  <c r="W720" i="2"/>
  <c r="S720" i="2"/>
  <c r="O720" i="2"/>
  <c r="K720" i="2"/>
  <c r="G720" i="2"/>
  <c r="V719" i="2"/>
  <c r="R719" i="2"/>
  <c r="N719" i="2"/>
  <c r="U731" i="2"/>
  <c r="Q731" i="2"/>
  <c r="M731" i="2"/>
  <c r="I731" i="2"/>
  <c r="E731" i="2"/>
  <c r="T730" i="2"/>
  <c r="P730" i="2"/>
  <c r="L730" i="2"/>
  <c r="H730" i="2"/>
  <c r="W729" i="2"/>
  <c r="S729" i="2"/>
  <c r="O729" i="2"/>
  <c r="K729" i="2"/>
  <c r="G729" i="2"/>
  <c r="V728" i="2"/>
  <c r="R728" i="2"/>
  <c r="N728" i="2"/>
  <c r="J728" i="2"/>
  <c r="F728" i="2"/>
  <c r="U727" i="2"/>
  <c r="Q727" i="2"/>
  <c r="M727" i="2"/>
  <c r="I727" i="2"/>
  <c r="E727" i="2"/>
  <c r="T726" i="2"/>
  <c r="P726" i="2"/>
  <c r="L726" i="2"/>
  <c r="H726" i="2"/>
  <c r="W725" i="2"/>
  <c r="S725" i="2"/>
  <c r="O725" i="2"/>
  <c r="K725" i="2"/>
  <c r="G725" i="2"/>
  <c r="V724" i="2"/>
  <c r="R724" i="2"/>
  <c r="N724" i="2"/>
  <c r="J724" i="2"/>
  <c r="F724" i="2"/>
  <c r="U723" i="2"/>
  <c r="Q723" i="2"/>
  <c r="M723" i="2"/>
  <c r="I723" i="2"/>
  <c r="E723" i="2"/>
  <c r="T722" i="2"/>
  <c r="P722" i="2"/>
  <c r="L722" i="2"/>
  <c r="H722" i="2"/>
  <c r="W721" i="2"/>
  <c r="S721" i="2"/>
  <c r="O721" i="2"/>
  <c r="K721" i="2"/>
  <c r="G721" i="2"/>
  <c r="V720" i="2"/>
  <c r="R720" i="2"/>
  <c r="N720" i="2"/>
  <c r="J720" i="2"/>
  <c r="F720" i="2"/>
  <c r="U719" i="2"/>
  <c r="Q719" i="2"/>
  <c r="M719" i="2"/>
  <c r="I719" i="2"/>
  <c r="E719" i="2"/>
  <c r="T718" i="2"/>
  <c r="P718" i="2"/>
  <c r="L718" i="2"/>
  <c r="H718" i="2"/>
  <c r="W717" i="2"/>
  <c r="I716" i="2"/>
  <c r="M716" i="2"/>
  <c r="Q716" i="2"/>
  <c r="U716" i="2"/>
  <c r="F717" i="2"/>
  <c r="J717" i="2"/>
  <c r="N717" i="2"/>
  <c r="R717" i="2"/>
  <c r="V717" i="2"/>
  <c r="I718" i="2"/>
  <c r="N718" i="2"/>
  <c r="S718" i="2"/>
  <c r="F719" i="2"/>
  <c r="K719" i="2"/>
  <c r="S719" i="2"/>
  <c r="H720" i="2"/>
  <c r="P720" i="2"/>
  <c r="E721" i="2"/>
  <c r="M721" i="2"/>
  <c r="U721" i="2"/>
  <c r="J722" i="2"/>
  <c r="R722" i="2"/>
  <c r="G723" i="2"/>
  <c r="O723" i="2"/>
  <c r="W723" i="2"/>
  <c r="L724" i="2"/>
  <c r="T724" i="2"/>
  <c r="I725" i="2"/>
  <c r="Q725" i="2"/>
  <c r="F726" i="2"/>
  <c r="N726" i="2"/>
  <c r="V726" i="2"/>
  <c r="K727" i="2"/>
  <c r="S727" i="2"/>
  <c r="H728" i="2"/>
  <c r="P728" i="2"/>
  <c r="E729" i="2"/>
  <c r="M729" i="2"/>
  <c r="U729" i="2"/>
  <c r="J730" i="2"/>
  <c r="R730" i="2"/>
  <c r="G731" i="2"/>
  <c r="O731" i="2"/>
  <c r="W731" i="2"/>
  <c r="C693" i="2"/>
  <c r="F693" i="2"/>
  <c r="J693" i="2"/>
  <c r="N693" i="2"/>
  <c r="R693" i="2"/>
  <c r="V693" i="2"/>
  <c r="E694" i="2"/>
  <c r="I694" i="2"/>
  <c r="M694" i="2"/>
  <c r="Q694" i="2"/>
  <c r="U694" i="2"/>
  <c r="D695" i="2"/>
  <c r="H695" i="2"/>
  <c r="L695" i="2"/>
  <c r="P695" i="2"/>
  <c r="T695" i="2"/>
  <c r="C696" i="2"/>
  <c r="G696" i="2"/>
  <c r="K696" i="2"/>
  <c r="O696" i="2"/>
  <c r="S696" i="2"/>
  <c r="F716" i="2"/>
  <c r="J716" i="2"/>
  <c r="N716" i="2"/>
  <c r="R716" i="2"/>
  <c r="V716" i="2"/>
  <c r="G717" i="2"/>
  <c r="K717" i="2"/>
  <c r="O717" i="2"/>
  <c r="S717" i="2"/>
  <c r="E718" i="2"/>
  <c r="J718" i="2"/>
  <c r="O718" i="2"/>
  <c r="U718" i="2"/>
  <c r="G719" i="2"/>
  <c r="L719" i="2"/>
  <c r="T719" i="2"/>
  <c r="I720" i="2"/>
  <c r="Q720" i="2"/>
  <c r="F721" i="2"/>
  <c r="N721" i="2"/>
  <c r="V721" i="2"/>
  <c r="K722" i="2"/>
  <c r="S722" i="2"/>
  <c r="H723" i="2"/>
  <c r="P723" i="2"/>
  <c r="E724" i="2"/>
  <c r="M724" i="2"/>
  <c r="U724" i="2"/>
  <c r="J725" i="2"/>
  <c r="R725" i="2"/>
  <c r="G726" i="2"/>
  <c r="O726" i="2"/>
  <c r="W726" i="2"/>
  <c r="L727" i="2"/>
  <c r="T727" i="2"/>
  <c r="I728" i="2"/>
  <c r="Q728" i="2"/>
  <c r="F729" i="2"/>
  <c r="N729" i="2"/>
  <c r="V729" i="2"/>
  <c r="K730" i="2"/>
  <c r="S730" i="2"/>
  <c r="H731" i="2"/>
  <c r="P731" i="2"/>
  <c r="I755" i="2"/>
  <c r="M755" i="2"/>
  <c r="Q755" i="2"/>
  <c r="U755" i="2"/>
  <c r="F756" i="2"/>
  <c r="F746" i="2" s="1"/>
  <c r="J756" i="2"/>
  <c r="J746" i="2" s="1"/>
  <c r="N756" i="2"/>
  <c r="R756" i="2"/>
  <c r="V756" i="2"/>
  <c r="G757" i="2"/>
  <c r="K757" i="2"/>
  <c r="O757" i="2"/>
  <c r="S757" i="2"/>
  <c r="W757" i="2"/>
  <c r="H758" i="2"/>
  <c r="L758" i="2"/>
  <c r="P758" i="2"/>
  <c r="T758" i="2"/>
  <c r="E759" i="2"/>
  <c r="I759" i="2"/>
  <c r="M759" i="2"/>
  <c r="Q759" i="2"/>
  <c r="U759" i="2"/>
  <c r="F760" i="2"/>
  <c r="J760" i="2"/>
  <c r="N760" i="2"/>
  <c r="R760" i="2"/>
  <c r="V760" i="2"/>
  <c r="G761" i="2"/>
  <c r="K761" i="2"/>
  <c r="O761" i="2"/>
  <c r="S761" i="2"/>
  <c r="W761" i="2"/>
  <c r="G774" i="2"/>
  <c r="J774" i="2"/>
  <c r="N774" i="2"/>
  <c r="R774" i="2"/>
  <c r="G775" i="2"/>
  <c r="O775" i="2"/>
  <c r="W775" i="2"/>
  <c r="N776" i="2"/>
  <c r="V776" i="2"/>
  <c r="M777" i="2"/>
  <c r="U777" i="2"/>
  <c r="L778" i="2"/>
  <c r="T778" i="2"/>
  <c r="K779" i="2"/>
  <c r="S779" i="2"/>
  <c r="J780" i="2"/>
  <c r="R780" i="2"/>
  <c r="I781" i="2"/>
  <c r="Q781" i="2"/>
  <c r="H782" i="2"/>
  <c r="K790" i="2"/>
  <c r="S790" i="2"/>
  <c r="J791" i="2"/>
  <c r="R791" i="2"/>
  <c r="I792" i="2"/>
  <c r="Q792" i="2"/>
  <c r="H793" i="2"/>
  <c r="P793" i="2"/>
  <c r="W782" i="2"/>
  <c r="S782" i="2"/>
  <c r="O782" i="2"/>
  <c r="K782" i="2"/>
  <c r="G782" i="2"/>
  <c r="T781" i="2"/>
  <c r="P781" i="2"/>
  <c r="L781" i="2"/>
  <c r="H781" i="2"/>
  <c r="U780" i="2"/>
  <c r="Q780" i="2"/>
  <c r="M780" i="2"/>
  <c r="I780" i="2"/>
  <c r="V779" i="2"/>
  <c r="R779" i="2"/>
  <c r="N779" i="2"/>
  <c r="J779" i="2"/>
  <c r="W778" i="2"/>
  <c r="S778" i="2"/>
  <c r="O778" i="2"/>
  <c r="K778" i="2"/>
  <c r="G778" i="2"/>
  <c r="T777" i="2"/>
  <c r="P777" i="2"/>
  <c r="L777" i="2"/>
  <c r="H777" i="2"/>
  <c r="U776" i="2"/>
  <c r="Q776" i="2"/>
  <c r="M776" i="2"/>
  <c r="I776" i="2"/>
  <c r="V775" i="2"/>
  <c r="R775" i="2"/>
  <c r="N775" i="2"/>
  <c r="J775" i="2"/>
  <c r="W774" i="2"/>
  <c r="U782" i="2"/>
  <c r="Q782" i="2"/>
  <c r="M782" i="2"/>
  <c r="I782" i="2"/>
  <c r="V781" i="2"/>
  <c r="R781" i="2"/>
  <c r="N781" i="2"/>
  <c r="J781" i="2"/>
  <c r="W780" i="2"/>
  <c r="S780" i="2"/>
  <c r="O780" i="2"/>
  <c r="K780" i="2"/>
  <c r="G780" i="2"/>
  <c r="T779" i="2"/>
  <c r="P779" i="2"/>
  <c r="L779" i="2"/>
  <c r="H779" i="2"/>
  <c r="U778" i="2"/>
  <c r="Q778" i="2"/>
  <c r="M778" i="2"/>
  <c r="I778" i="2"/>
  <c r="V777" i="2"/>
  <c r="R777" i="2"/>
  <c r="N777" i="2"/>
  <c r="J777" i="2"/>
  <c r="W776" i="2"/>
  <c r="S776" i="2"/>
  <c r="O776" i="2"/>
  <c r="K776" i="2"/>
  <c r="G776" i="2"/>
  <c r="T775" i="2"/>
  <c r="P775" i="2"/>
  <c r="L775" i="2"/>
  <c r="H775" i="2"/>
  <c r="U774" i="2"/>
  <c r="K774" i="2"/>
  <c r="O774" i="2"/>
  <c r="S774" i="2"/>
  <c r="I775" i="2"/>
  <c r="Q775" i="2"/>
  <c r="H776" i="2"/>
  <c r="P776" i="2"/>
  <c r="G777" i="2"/>
  <c r="O777" i="2"/>
  <c r="W777" i="2"/>
  <c r="N778" i="2"/>
  <c r="V778" i="2"/>
  <c r="M779" i="2"/>
  <c r="U779" i="2"/>
  <c r="L780" i="2"/>
  <c r="T780" i="2"/>
  <c r="K781" i="2"/>
  <c r="S781" i="2"/>
  <c r="J782" i="2"/>
  <c r="R782" i="2"/>
  <c r="M790" i="2"/>
  <c r="U790" i="2"/>
  <c r="L791" i="2"/>
  <c r="T791" i="2"/>
  <c r="K792" i="2"/>
  <c r="S792" i="2"/>
  <c r="J793" i="2"/>
  <c r="D823" i="2"/>
  <c r="F823" i="2"/>
  <c r="E823" i="2"/>
  <c r="E740" i="2"/>
  <c r="H740" i="2"/>
  <c r="L740" i="2"/>
  <c r="P740" i="2"/>
  <c r="T740" i="2"/>
  <c r="E741" i="2"/>
  <c r="I741" i="2"/>
  <c r="M741" i="2"/>
  <c r="Q741" i="2"/>
  <c r="U741" i="2"/>
  <c r="F742" i="2"/>
  <c r="J742" i="2"/>
  <c r="N742" i="2"/>
  <c r="N733" i="2" s="1"/>
  <c r="R742" i="2"/>
  <c r="V742" i="2"/>
  <c r="G743" i="2"/>
  <c r="K743" i="2"/>
  <c r="O743" i="2"/>
  <c r="S743" i="2"/>
  <c r="W743" i="2"/>
  <c r="H744" i="2"/>
  <c r="L744" i="2"/>
  <c r="P744" i="2"/>
  <c r="T744" i="2"/>
  <c r="G755" i="2"/>
  <c r="K755" i="2"/>
  <c r="O755" i="2"/>
  <c r="S755" i="2"/>
  <c r="W755" i="2"/>
  <c r="H756" i="2"/>
  <c r="L756" i="2"/>
  <c r="P756" i="2"/>
  <c r="T756" i="2"/>
  <c r="E757" i="2"/>
  <c r="I757" i="2"/>
  <c r="M757" i="2"/>
  <c r="Q757" i="2"/>
  <c r="U757" i="2"/>
  <c r="F758" i="2"/>
  <c r="J758" i="2"/>
  <c r="N758" i="2"/>
  <c r="R758" i="2"/>
  <c r="V758" i="2"/>
  <c r="G759" i="2"/>
  <c r="K759" i="2"/>
  <c r="O759" i="2"/>
  <c r="S759" i="2"/>
  <c r="W759" i="2"/>
  <c r="H760" i="2"/>
  <c r="L760" i="2"/>
  <c r="P760" i="2"/>
  <c r="T760" i="2"/>
  <c r="E761" i="2"/>
  <c r="I761" i="2"/>
  <c r="M761" i="2"/>
  <c r="Q761" i="2"/>
  <c r="U761" i="2"/>
  <c r="H774" i="2"/>
  <c r="L774" i="2"/>
  <c r="P774" i="2"/>
  <c r="T774" i="2"/>
  <c r="K775" i="2"/>
  <c r="S775" i="2"/>
  <c r="J776" i="2"/>
  <c r="R776" i="2"/>
  <c r="I777" i="2"/>
  <c r="Q777" i="2"/>
  <c r="H778" i="2"/>
  <c r="P778" i="2"/>
  <c r="G779" i="2"/>
  <c r="O779" i="2"/>
  <c r="W779" i="2"/>
  <c r="N780" i="2"/>
  <c r="V780" i="2"/>
  <c r="M781" i="2"/>
  <c r="U781" i="2"/>
  <c r="L782" i="2"/>
  <c r="T782" i="2"/>
  <c r="W793" i="2"/>
  <c r="S793" i="2"/>
  <c r="O793" i="2"/>
  <c r="K793" i="2"/>
  <c r="G793" i="2"/>
  <c r="T792" i="2"/>
  <c r="P792" i="2"/>
  <c r="L792" i="2"/>
  <c r="H792" i="2"/>
  <c r="U791" i="2"/>
  <c r="Q791" i="2"/>
  <c r="M791" i="2"/>
  <c r="I791" i="2"/>
  <c r="V790" i="2"/>
  <c r="R790" i="2"/>
  <c r="N790" i="2"/>
  <c r="J790" i="2"/>
  <c r="G790" i="2"/>
  <c r="U793" i="2"/>
  <c r="Q793" i="2"/>
  <c r="M793" i="2"/>
  <c r="I793" i="2"/>
  <c r="V792" i="2"/>
  <c r="R792" i="2"/>
  <c r="N792" i="2"/>
  <c r="J792" i="2"/>
  <c r="W791" i="2"/>
  <c r="S791" i="2"/>
  <c r="O791" i="2"/>
  <c r="K791" i="2"/>
  <c r="G791" i="2"/>
  <c r="T790" i="2"/>
  <c r="P790" i="2"/>
  <c r="L790" i="2"/>
  <c r="H790" i="2"/>
  <c r="O790" i="2"/>
  <c r="W790" i="2"/>
  <c r="N791" i="2"/>
  <c r="V791" i="2"/>
  <c r="M792" i="2"/>
  <c r="U792" i="2"/>
  <c r="L793" i="2"/>
  <c r="T793" i="2"/>
  <c r="I740" i="2"/>
  <c r="M740" i="2"/>
  <c r="Q740" i="2"/>
  <c r="U740" i="2"/>
  <c r="F741" i="2"/>
  <c r="F14" i="2" s="1"/>
  <c r="J741" i="2"/>
  <c r="N741" i="2"/>
  <c r="R741" i="2"/>
  <c r="R14" i="2" s="1"/>
  <c r="V741" i="2"/>
  <c r="V14" i="2" s="1"/>
  <c r="G742" i="2"/>
  <c r="G14" i="2" s="1"/>
  <c r="K742" i="2"/>
  <c r="O742" i="2"/>
  <c r="O14" i="2" s="1"/>
  <c r="S742" i="2"/>
  <c r="S14" i="2" s="1"/>
  <c r="W742" i="2"/>
  <c r="W14" i="2" s="1"/>
  <c r="H743" i="2"/>
  <c r="L743" i="2"/>
  <c r="P743" i="2"/>
  <c r="T743" i="2"/>
  <c r="E744" i="2"/>
  <c r="I744" i="2"/>
  <c r="M744" i="2"/>
  <c r="Q744" i="2"/>
  <c r="E755" i="2"/>
  <c r="H755" i="2"/>
  <c r="L755" i="2"/>
  <c r="P755" i="2"/>
  <c r="T755" i="2"/>
  <c r="E756" i="2"/>
  <c r="I756" i="2"/>
  <c r="M756" i="2"/>
  <c r="Q756" i="2"/>
  <c r="U756" i="2"/>
  <c r="F757" i="2"/>
  <c r="J757" i="2"/>
  <c r="N757" i="2"/>
  <c r="R757" i="2"/>
  <c r="R746" i="2" s="1"/>
  <c r="V757" i="2"/>
  <c r="G758" i="2"/>
  <c r="K758" i="2"/>
  <c r="O758" i="2"/>
  <c r="S758" i="2"/>
  <c r="W758" i="2"/>
  <c r="H759" i="2"/>
  <c r="L759" i="2"/>
  <c r="P759" i="2"/>
  <c r="T759" i="2"/>
  <c r="E760" i="2"/>
  <c r="I760" i="2"/>
  <c r="M760" i="2"/>
  <c r="Q760" i="2"/>
  <c r="U760" i="2"/>
  <c r="F761" i="2"/>
  <c r="J761" i="2"/>
  <c r="N761" i="2"/>
  <c r="R761" i="2"/>
  <c r="I774" i="2"/>
  <c r="M774" i="2"/>
  <c r="Q774" i="2"/>
  <c r="V774" i="2"/>
  <c r="M775" i="2"/>
  <c r="U775" i="2"/>
  <c r="L776" i="2"/>
  <c r="T776" i="2"/>
  <c r="K777" i="2"/>
  <c r="S777" i="2"/>
  <c r="J778" i="2"/>
  <c r="R778" i="2"/>
  <c r="I779" i="2"/>
  <c r="Q779" i="2"/>
  <c r="H780" i="2"/>
  <c r="P780" i="2"/>
  <c r="G781" i="2"/>
  <c r="O781" i="2"/>
  <c r="W781" i="2"/>
  <c r="N782" i="2"/>
  <c r="V782" i="2"/>
  <c r="I790" i="2"/>
  <c r="Q790" i="2"/>
  <c r="H791" i="2"/>
  <c r="P791" i="2"/>
  <c r="G792" i="2"/>
  <c r="O792" i="2"/>
  <c r="W792" i="2"/>
  <c r="N793" i="2"/>
  <c r="V793" i="2"/>
  <c r="G800" i="2"/>
  <c r="J800" i="2"/>
  <c r="N800" i="2"/>
  <c r="R800" i="2"/>
  <c r="V800" i="2"/>
  <c r="I801" i="2"/>
  <c r="M801" i="2"/>
  <c r="Q801" i="2"/>
  <c r="U801" i="2"/>
  <c r="U11" i="2" s="1"/>
  <c r="G807" i="2"/>
  <c r="J807" i="2"/>
  <c r="N807" i="2"/>
  <c r="R807" i="2"/>
  <c r="V807" i="2"/>
  <c r="H814" i="2"/>
  <c r="L814" i="2"/>
  <c r="P814" i="2"/>
  <c r="T814" i="2"/>
  <c r="D817" i="2"/>
  <c r="G817" i="2"/>
  <c r="K817" i="2"/>
  <c r="K822" i="2"/>
  <c r="N822" i="2"/>
  <c r="R822" i="2"/>
  <c r="V822" i="2"/>
  <c r="G827" i="2"/>
  <c r="K827" i="2"/>
  <c r="O827" i="2"/>
  <c r="S827" i="2"/>
  <c r="W827" i="2"/>
  <c r="F830" i="2"/>
  <c r="J830" i="2"/>
  <c r="N830" i="2"/>
  <c r="R830" i="2"/>
  <c r="V830" i="2"/>
  <c r="D837" i="2"/>
  <c r="D858" i="2"/>
  <c r="D860" i="2" s="1"/>
  <c r="F883" i="2"/>
  <c r="J883" i="2"/>
  <c r="N883" i="2"/>
  <c r="R883" i="2"/>
  <c r="V883" i="2"/>
  <c r="C885" i="2"/>
  <c r="G885" i="2"/>
  <c r="K885" i="2"/>
  <c r="O885" i="2"/>
  <c r="S885" i="2"/>
  <c r="W885" i="2"/>
  <c r="B887" i="2"/>
  <c r="E887" i="2"/>
  <c r="I887" i="2"/>
  <c r="M887" i="2"/>
  <c r="Q887" i="2"/>
  <c r="U887" i="2"/>
  <c r="D966" i="2"/>
  <c r="I966" i="2"/>
  <c r="O966" i="2"/>
  <c r="T966" i="2"/>
  <c r="D967" i="2"/>
  <c r="J967" i="2"/>
  <c r="O967" i="2"/>
  <c r="T967" i="2"/>
  <c r="E968" i="2"/>
  <c r="J968" i="2"/>
  <c r="O968" i="2"/>
  <c r="U968" i="2"/>
  <c r="K800" i="2"/>
  <c r="O800" i="2"/>
  <c r="S800" i="2"/>
  <c r="W800" i="2"/>
  <c r="J801" i="2"/>
  <c r="N801" i="2"/>
  <c r="R801" i="2"/>
  <c r="V801" i="2"/>
  <c r="K807" i="2"/>
  <c r="O807" i="2"/>
  <c r="S807" i="2"/>
  <c r="W807" i="2"/>
  <c r="H817" i="2"/>
  <c r="L817" i="2"/>
  <c r="O822" i="2"/>
  <c r="S822" i="2"/>
  <c r="W822" i="2"/>
  <c r="T827" i="2"/>
  <c r="E837" i="2"/>
  <c r="F887" i="2"/>
  <c r="J887" i="2"/>
  <c r="N887" i="2"/>
  <c r="R887" i="2"/>
  <c r="V887" i="2"/>
  <c r="E966" i="2"/>
  <c r="K966" i="2"/>
  <c r="P966" i="2"/>
  <c r="U966" i="2"/>
  <c r="F967" i="2"/>
  <c r="K967" i="2"/>
  <c r="P967" i="2"/>
  <c r="V967" i="2"/>
  <c r="F968" i="2"/>
  <c r="K968" i="2"/>
  <c r="Q968" i="2"/>
  <c r="V968" i="2"/>
  <c r="H800" i="2"/>
  <c r="L800" i="2"/>
  <c r="P800" i="2"/>
  <c r="T800" i="2"/>
  <c r="G801" i="2"/>
  <c r="K801" i="2"/>
  <c r="O801" i="2"/>
  <c r="S801" i="2"/>
  <c r="H807" i="2"/>
  <c r="L807" i="2"/>
  <c r="P807" i="2"/>
  <c r="F814" i="2"/>
  <c r="J814" i="2"/>
  <c r="N814" i="2"/>
  <c r="R814" i="2"/>
  <c r="E817" i="2"/>
  <c r="I817" i="2"/>
  <c r="L822" i="2"/>
  <c r="P822" i="2"/>
  <c r="I827" i="2"/>
  <c r="M827" i="2"/>
  <c r="Q827" i="2"/>
  <c r="H830" i="2"/>
  <c r="L830" i="2"/>
  <c r="P830" i="2"/>
  <c r="C837" i="2"/>
  <c r="F837" i="2"/>
  <c r="H883" i="2"/>
  <c r="L883" i="2"/>
  <c r="P883" i="2"/>
  <c r="B885" i="2"/>
  <c r="E885" i="2"/>
  <c r="I885" i="2"/>
  <c r="M885" i="2"/>
  <c r="Q885" i="2"/>
  <c r="U885" i="2"/>
  <c r="F886" i="2"/>
  <c r="J886" i="2"/>
  <c r="N886" i="2"/>
  <c r="R886" i="2"/>
  <c r="C887" i="2"/>
  <c r="G887" i="2"/>
  <c r="K887" i="2"/>
  <c r="O887" i="2"/>
  <c r="S887" i="2"/>
  <c r="W887" i="2"/>
  <c r="G966" i="2"/>
  <c r="L966" i="2"/>
  <c r="Q966" i="2"/>
  <c r="W966" i="2"/>
  <c r="G967" i="2"/>
  <c r="L967" i="2"/>
  <c r="R967" i="2"/>
  <c r="W967" i="2"/>
  <c r="G968" i="2"/>
  <c r="M968" i="2"/>
  <c r="R968" i="2"/>
  <c r="C975" i="2"/>
  <c r="G975" i="2"/>
  <c r="L975" i="2"/>
  <c r="R975" i="2"/>
  <c r="W975" i="2"/>
  <c r="G976" i="2"/>
  <c r="M976" i="2"/>
  <c r="R976" i="2"/>
  <c r="N1027" i="2"/>
  <c r="F885" i="2"/>
  <c r="J885" i="2"/>
  <c r="N885" i="2"/>
  <c r="R885" i="2"/>
  <c r="D887" i="2"/>
  <c r="H887" i="2"/>
  <c r="L887" i="2"/>
  <c r="P887" i="2"/>
  <c r="T968" i="2"/>
  <c r="P968" i="2"/>
  <c r="L968" i="2"/>
  <c r="H968" i="2"/>
  <c r="D968" i="2"/>
  <c r="U967" i="2"/>
  <c r="Q967" i="2"/>
  <c r="M967" i="2"/>
  <c r="I967" i="2"/>
  <c r="E967" i="2"/>
  <c r="V966" i="2"/>
  <c r="R966" i="2"/>
  <c r="N966" i="2"/>
  <c r="J966" i="2"/>
  <c r="F966" i="2"/>
  <c r="C966" i="2"/>
  <c r="H966" i="2"/>
  <c r="M966" i="2"/>
  <c r="S966" i="2"/>
  <c r="C967" i="2"/>
  <c r="H967" i="2"/>
  <c r="N967" i="2"/>
  <c r="S967" i="2"/>
  <c r="C968" i="2"/>
  <c r="I968" i="2"/>
  <c r="N968" i="2"/>
  <c r="S968" i="2"/>
  <c r="T976" i="2"/>
  <c r="T26" i="2" s="1"/>
  <c r="P976" i="2"/>
  <c r="L976" i="2"/>
  <c r="H976" i="2"/>
  <c r="D976" i="2"/>
  <c r="D26" i="2" s="1"/>
  <c r="U975" i="2"/>
  <c r="Q975" i="2"/>
  <c r="M975" i="2"/>
  <c r="I975" i="2"/>
  <c r="E975" i="2"/>
  <c r="H975" i="2"/>
  <c r="N975" i="2"/>
  <c r="S975" i="2"/>
  <c r="C976" i="2"/>
  <c r="I976" i="2"/>
  <c r="N976" i="2"/>
  <c r="S976" i="2"/>
  <c r="C987" i="2"/>
  <c r="F987" i="2"/>
  <c r="J987" i="2"/>
  <c r="N987" i="2"/>
  <c r="R987" i="2"/>
  <c r="V987" i="2"/>
  <c r="E988" i="2"/>
  <c r="I988" i="2"/>
  <c r="M988" i="2"/>
  <c r="Q988" i="2"/>
  <c r="U988" i="2"/>
  <c r="D989" i="2"/>
  <c r="H989" i="2"/>
  <c r="L989" i="2"/>
  <c r="P989" i="2"/>
  <c r="P979" i="2" s="1"/>
  <c r="T989" i="2"/>
  <c r="C990" i="2"/>
  <c r="G990" i="2"/>
  <c r="K990" i="2"/>
  <c r="O990" i="2"/>
  <c r="S990" i="2"/>
  <c r="W990" i="2"/>
  <c r="F991" i="2"/>
  <c r="J991" i="2"/>
  <c r="N991" i="2"/>
  <c r="R991" i="2"/>
  <c r="V991" i="2"/>
  <c r="E992" i="2"/>
  <c r="I992" i="2"/>
  <c r="M992" i="2"/>
  <c r="Q992" i="2"/>
  <c r="U992" i="2"/>
  <c r="E1011" i="2"/>
  <c r="I1011" i="2"/>
  <c r="M1011" i="2"/>
  <c r="Q1011" i="2"/>
  <c r="U1011" i="2"/>
  <c r="D1012" i="2"/>
  <c r="H1012" i="2"/>
  <c r="L1012" i="2"/>
  <c r="P1012" i="2"/>
  <c r="T1012" i="2"/>
  <c r="C1013" i="2"/>
  <c r="G1013" i="2"/>
  <c r="K1013" i="2"/>
  <c r="O1013" i="2"/>
  <c r="S1013" i="2"/>
  <c r="W1013" i="2"/>
  <c r="F1014" i="2"/>
  <c r="J1014" i="2"/>
  <c r="N1014" i="2"/>
  <c r="R1014" i="2"/>
  <c r="W1014" i="2"/>
  <c r="H1015" i="2"/>
  <c r="M1015" i="2"/>
  <c r="R1015" i="2"/>
  <c r="E1023" i="2"/>
  <c r="K1023" i="2"/>
  <c r="S1023" i="2"/>
  <c r="F1024" i="2"/>
  <c r="N1024" i="2"/>
  <c r="V1024" i="2"/>
  <c r="G987" i="2"/>
  <c r="K987" i="2"/>
  <c r="O987" i="2"/>
  <c r="S987" i="2"/>
  <c r="W987" i="2"/>
  <c r="F988" i="2"/>
  <c r="J988" i="2"/>
  <c r="N988" i="2"/>
  <c r="R988" i="2"/>
  <c r="V988" i="2"/>
  <c r="E989" i="2"/>
  <c r="I989" i="2"/>
  <c r="M989" i="2"/>
  <c r="Q989" i="2"/>
  <c r="U989" i="2"/>
  <c r="D990" i="2"/>
  <c r="H990" i="2"/>
  <c r="L990" i="2"/>
  <c r="P990" i="2"/>
  <c r="T990" i="2"/>
  <c r="C991" i="2"/>
  <c r="G991" i="2"/>
  <c r="K991" i="2"/>
  <c r="O991" i="2"/>
  <c r="S991" i="2"/>
  <c r="W991" i="2"/>
  <c r="F992" i="2"/>
  <c r="J992" i="2"/>
  <c r="N992" i="2"/>
  <c r="R992" i="2"/>
  <c r="V992" i="2"/>
  <c r="C1011" i="2"/>
  <c r="F1011" i="2"/>
  <c r="J1011" i="2"/>
  <c r="N1011" i="2"/>
  <c r="R1011" i="2"/>
  <c r="V1011" i="2"/>
  <c r="E1012" i="2"/>
  <c r="I1012" i="2"/>
  <c r="M1012" i="2"/>
  <c r="Q1012" i="2"/>
  <c r="U1012" i="2"/>
  <c r="D1013" i="2"/>
  <c r="H1013" i="2"/>
  <c r="L1013" i="2"/>
  <c r="P1013" i="2"/>
  <c r="T1013" i="2"/>
  <c r="C1014" i="2"/>
  <c r="G1014" i="2"/>
  <c r="K1014" i="2"/>
  <c r="O1014" i="2"/>
  <c r="S1014" i="2"/>
  <c r="D1015" i="2"/>
  <c r="I1015" i="2"/>
  <c r="N1015" i="2"/>
  <c r="G1023" i="2"/>
  <c r="L1023" i="2"/>
  <c r="T1023" i="2"/>
  <c r="G1024" i="2"/>
  <c r="O1024" i="2"/>
  <c r="C1027" i="2"/>
  <c r="L1043" i="2"/>
  <c r="W1015" i="2"/>
  <c r="S1015" i="2"/>
  <c r="O1015" i="2"/>
  <c r="K1015" i="2"/>
  <c r="G1015" i="2"/>
  <c r="C1015" i="2"/>
  <c r="T1014" i="2"/>
  <c r="G1011" i="2"/>
  <c r="K1011" i="2"/>
  <c r="O1011" i="2"/>
  <c r="S1011" i="2"/>
  <c r="W1011" i="2"/>
  <c r="F1012" i="2"/>
  <c r="J1012" i="2"/>
  <c r="N1012" i="2"/>
  <c r="R1012" i="2"/>
  <c r="V1012" i="2"/>
  <c r="E1013" i="2"/>
  <c r="I1013" i="2"/>
  <c r="M1013" i="2"/>
  <c r="Q1013" i="2"/>
  <c r="U1013" i="2"/>
  <c r="D1014" i="2"/>
  <c r="H1014" i="2"/>
  <c r="L1014" i="2"/>
  <c r="P1014" i="2"/>
  <c r="U1014" i="2"/>
  <c r="E1015" i="2"/>
  <c r="J1015" i="2"/>
  <c r="P1015" i="2"/>
  <c r="U1015" i="2"/>
  <c r="U1024" i="2"/>
  <c r="Q1024" i="2"/>
  <c r="M1024" i="2"/>
  <c r="I1024" i="2"/>
  <c r="E1024" i="2"/>
  <c r="V1023" i="2"/>
  <c r="R1023" i="2"/>
  <c r="N1023" i="2"/>
  <c r="J1023" i="2"/>
  <c r="F1023" i="2"/>
  <c r="C1023" i="2"/>
  <c r="T1024" i="2"/>
  <c r="P1024" i="2"/>
  <c r="L1024" i="2"/>
  <c r="H1024" i="2"/>
  <c r="D1024" i="2"/>
  <c r="U1023" i="2"/>
  <c r="Q1023" i="2"/>
  <c r="M1023" i="2"/>
  <c r="H1023" i="2"/>
  <c r="O1023" i="2"/>
  <c r="W1023" i="2"/>
  <c r="J1024" i="2"/>
  <c r="R1024" i="2"/>
  <c r="E987" i="2"/>
  <c r="I987" i="2"/>
  <c r="M987" i="2"/>
  <c r="Q987" i="2"/>
  <c r="U987" i="2"/>
  <c r="D988" i="2"/>
  <c r="H988" i="2"/>
  <c r="H23" i="2" s="1"/>
  <c r="L988" i="2"/>
  <c r="P988" i="2"/>
  <c r="T988" i="2"/>
  <c r="T23" i="2" s="1"/>
  <c r="C989" i="2"/>
  <c r="G989" i="2"/>
  <c r="K989" i="2"/>
  <c r="O989" i="2"/>
  <c r="S989" i="2"/>
  <c r="W989" i="2"/>
  <c r="F990" i="2"/>
  <c r="J990" i="2"/>
  <c r="N990" i="2"/>
  <c r="R990" i="2"/>
  <c r="V990" i="2"/>
  <c r="E991" i="2"/>
  <c r="I991" i="2"/>
  <c r="M991" i="2"/>
  <c r="Q991" i="2"/>
  <c r="U991" i="2"/>
  <c r="D992" i="2"/>
  <c r="H992" i="2"/>
  <c r="L992" i="2"/>
  <c r="P992" i="2"/>
  <c r="G999" i="2"/>
  <c r="K999" i="2"/>
  <c r="O999" i="2"/>
  <c r="S999" i="2"/>
  <c r="W999" i="2"/>
  <c r="F1000" i="2"/>
  <c r="J1000" i="2"/>
  <c r="N1000" i="2"/>
  <c r="N24" i="2" s="1"/>
  <c r="R1000" i="2"/>
  <c r="V1000" i="2"/>
  <c r="E1001" i="2"/>
  <c r="I1001" i="2"/>
  <c r="I24" i="2" s="1"/>
  <c r="M1001" i="2"/>
  <c r="M24" i="2" s="1"/>
  <c r="Q1001" i="2"/>
  <c r="Q24" i="2" s="1"/>
  <c r="D1011" i="2"/>
  <c r="H1011" i="2"/>
  <c r="L1011" i="2"/>
  <c r="P1011" i="2"/>
  <c r="T1011" i="2"/>
  <c r="C1012" i="2"/>
  <c r="G1012" i="2"/>
  <c r="K1012" i="2"/>
  <c r="O1012" i="2"/>
  <c r="S1012" i="2"/>
  <c r="W1012" i="2"/>
  <c r="F1013" i="2"/>
  <c r="J1013" i="2"/>
  <c r="N1013" i="2"/>
  <c r="R1013" i="2"/>
  <c r="V1013" i="2"/>
  <c r="E1014" i="2"/>
  <c r="I1014" i="2"/>
  <c r="M1014" i="2"/>
  <c r="Q1014" i="2"/>
  <c r="V1014" i="2"/>
  <c r="F1015" i="2"/>
  <c r="L1015" i="2"/>
  <c r="Q1015" i="2"/>
  <c r="V1015" i="2"/>
  <c r="D1023" i="2"/>
  <c r="I1023" i="2"/>
  <c r="P1023" i="2"/>
  <c r="C1024" i="2"/>
  <c r="K1024" i="2"/>
  <c r="S1024" i="2"/>
  <c r="D1052" i="2"/>
  <c r="V1062" i="2"/>
  <c r="V1059" i="2" s="1"/>
  <c r="R1062" i="2"/>
  <c r="R1059" i="2" s="1"/>
  <c r="N1062" i="2"/>
  <c r="N1059" i="2" s="1"/>
  <c r="J1062" i="2"/>
  <c r="J1059" i="2" s="1"/>
  <c r="F1062" i="2"/>
  <c r="F1059" i="2" s="1"/>
  <c r="C1062" i="2"/>
  <c r="C1059" i="2" s="1"/>
  <c r="U1062" i="2"/>
  <c r="U1059" i="2" s="1"/>
  <c r="Q1062" i="2"/>
  <c r="Q1059" i="2" s="1"/>
  <c r="M1062" i="2"/>
  <c r="M1059" i="2" s="1"/>
  <c r="I1062" i="2"/>
  <c r="I1059" i="2" s="1"/>
  <c r="E1062" i="2"/>
  <c r="E1059" i="2" s="1"/>
  <c r="T1062" i="2"/>
  <c r="T1059" i="2" s="1"/>
  <c r="P1062" i="2"/>
  <c r="P1059" i="2" s="1"/>
  <c r="L1062" i="2"/>
  <c r="L1059" i="2" s="1"/>
  <c r="H1062" i="2"/>
  <c r="H1059" i="2" s="1"/>
  <c r="D1062" i="2"/>
  <c r="D1059" i="2" s="1"/>
  <c r="S1062" i="2"/>
  <c r="S1059" i="2" s="1"/>
  <c r="G1034" i="2"/>
  <c r="K1034" i="2"/>
  <c r="O1034" i="2"/>
  <c r="S1034" i="2"/>
  <c r="W1034" i="2"/>
  <c r="F1035" i="2"/>
  <c r="J1035" i="2"/>
  <c r="J27" i="2" s="1"/>
  <c r="N1035" i="2"/>
  <c r="N27" i="2" s="1"/>
  <c r="R1035" i="2"/>
  <c r="V1035" i="2"/>
  <c r="G1041" i="2"/>
  <c r="G1039" i="2" s="1"/>
  <c r="K1041" i="2"/>
  <c r="K1039" i="2" s="1"/>
  <c r="O1041" i="2"/>
  <c r="O1039" i="2" s="1"/>
  <c r="S1041" i="2"/>
  <c r="S1039" i="2" s="1"/>
  <c r="C1048" i="2"/>
  <c r="C1043" i="2" s="1"/>
  <c r="F1048" i="2"/>
  <c r="J1048" i="2"/>
  <c r="J1043" i="2" s="1"/>
  <c r="N1048" i="2"/>
  <c r="R1048" i="2"/>
  <c r="V1048" i="2"/>
  <c r="E1049" i="2"/>
  <c r="E1043" i="2" s="1"/>
  <c r="I1049" i="2"/>
  <c r="M1049" i="2"/>
  <c r="Q1049" i="2"/>
  <c r="U1049" i="2"/>
  <c r="U1043" i="2" s="1"/>
  <c r="D1050" i="2"/>
  <c r="D1043" i="2" s="1"/>
  <c r="H1050" i="2"/>
  <c r="H1043" i="2" s="1"/>
  <c r="L1050" i="2"/>
  <c r="P1050" i="2"/>
  <c r="P1043" i="2" s="1"/>
  <c r="T1050" i="2"/>
  <c r="T1043" i="2" s="1"/>
  <c r="E1055" i="2"/>
  <c r="I1055" i="2"/>
  <c r="M1055" i="2"/>
  <c r="M1052" i="2" s="1"/>
  <c r="Q1055" i="2"/>
  <c r="U1055" i="2"/>
  <c r="U1052" i="2" s="1"/>
  <c r="D1056" i="2"/>
  <c r="H1056" i="2"/>
  <c r="H1052" i="2" s="1"/>
  <c r="L1056" i="2"/>
  <c r="L1052" i="2" s="1"/>
  <c r="P1056" i="2"/>
  <c r="P1052" i="2" s="1"/>
  <c r="V1056" i="2"/>
  <c r="G1062" i="2"/>
  <c r="G1059" i="2" s="1"/>
  <c r="W1062" i="2"/>
  <c r="W1059" i="2" s="1"/>
  <c r="D1034" i="2"/>
  <c r="H1034" i="2"/>
  <c r="L1034" i="2"/>
  <c r="P1034" i="2"/>
  <c r="T1034" i="2"/>
  <c r="C1035" i="2"/>
  <c r="C27" i="2" s="1"/>
  <c r="G1035" i="2"/>
  <c r="K1035" i="2"/>
  <c r="O1035" i="2"/>
  <c r="S1035" i="2"/>
  <c r="W1035" i="2"/>
  <c r="G1048" i="2"/>
  <c r="G1043" i="2" s="1"/>
  <c r="K1048" i="2"/>
  <c r="K1043" i="2" s="1"/>
  <c r="O1048" i="2"/>
  <c r="O1043" i="2" s="1"/>
  <c r="S1048" i="2"/>
  <c r="S1043" i="2" s="1"/>
  <c r="W1048" i="2"/>
  <c r="W1043" i="2" s="1"/>
  <c r="F1049" i="2"/>
  <c r="J1049" i="2"/>
  <c r="N1049" i="2"/>
  <c r="R1049" i="2"/>
  <c r="V1049" i="2"/>
  <c r="E1050" i="2"/>
  <c r="I1050" i="2"/>
  <c r="M1050" i="2"/>
  <c r="Q1050" i="2"/>
  <c r="C1055" i="2"/>
  <c r="C1052" i="2" s="1"/>
  <c r="F1055" i="2"/>
  <c r="F1052" i="2" s="1"/>
  <c r="J1055" i="2"/>
  <c r="J1052" i="2" s="1"/>
  <c r="N1055" i="2"/>
  <c r="R1055" i="2"/>
  <c r="V1055" i="2"/>
  <c r="V1052" i="2" s="1"/>
  <c r="E1056" i="2"/>
  <c r="I1056" i="2"/>
  <c r="M1056" i="2"/>
  <c r="Q1056" i="2"/>
  <c r="K1062" i="2"/>
  <c r="K1059" i="2" s="1"/>
  <c r="E1034" i="2"/>
  <c r="I1034" i="2"/>
  <c r="M1034" i="2"/>
  <c r="Q1034" i="2"/>
  <c r="U1034" i="2"/>
  <c r="D1035" i="2"/>
  <c r="H1035" i="2"/>
  <c r="L1035" i="2"/>
  <c r="P1035" i="2"/>
  <c r="U1056" i="2"/>
  <c r="T1056" i="2"/>
  <c r="T1052" i="2" s="1"/>
  <c r="G1055" i="2"/>
  <c r="G1052" i="2" s="1"/>
  <c r="K1055" i="2"/>
  <c r="K1052" i="2" s="1"/>
  <c r="O1055" i="2"/>
  <c r="O1052" i="2" s="1"/>
  <c r="S1055" i="2"/>
  <c r="S1052" i="2" s="1"/>
  <c r="W1055" i="2"/>
  <c r="W1052" i="2" s="1"/>
  <c r="F1056" i="2"/>
  <c r="J1056" i="2"/>
  <c r="N1056" i="2"/>
  <c r="R1056" i="2"/>
  <c r="O1062" i="2"/>
  <c r="O1059" i="2" s="1"/>
  <c r="F1080" i="2"/>
  <c r="J1080" i="2"/>
  <c r="N1080" i="2"/>
  <c r="R1080" i="2"/>
  <c r="V1080" i="2"/>
  <c r="G1131" i="2"/>
  <c r="K1131" i="2"/>
  <c r="O1131" i="2"/>
  <c r="S1131" i="2"/>
  <c r="W1131" i="2"/>
  <c r="D1132" i="2"/>
  <c r="I1132" i="2"/>
  <c r="M1132" i="2"/>
  <c r="Q1132" i="2"/>
  <c r="U1132" i="2"/>
  <c r="H1133" i="2"/>
  <c r="K1133" i="2"/>
  <c r="O1133" i="2"/>
  <c r="S1133" i="2"/>
  <c r="W1133" i="2"/>
  <c r="I1391" i="2"/>
  <c r="M1391" i="2"/>
  <c r="Q1391" i="2"/>
  <c r="U1391" i="2"/>
  <c r="K1394" i="2"/>
  <c r="O1394" i="2"/>
  <c r="S1394" i="2"/>
  <c r="W1394" i="2"/>
  <c r="I1397" i="2"/>
  <c r="M1397" i="2"/>
  <c r="Q1397" i="2"/>
  <c r="U1397" i="2"/>
  <c r="F1073" i="2"/>
  <c r="J1073" i="2"/>
  <c r="N1073" i="2"/>
  <c r="R1073" i="2"/>
  <c r="V1073" i="2"/>
  <c r="C1080" i="2"/>
  <c r="G1080" i="2"/>
  <c r="K1080" i="2"/>
  <c r="O1080" i="2"/>
  <c r="S1080" i="2"/>
  <c r="W1080" i="2"/>
  <c r="E1131" i="2"/>
  <c r="H1131" i="2"/>
  <c r="L1131" i="2"/>
  <c r="P1131" i="2"/>
  <c r="T1131" i="2"/>
  <c r="B1132" i="2"/>
  <c r="G1132" i="2"/>
  <c r="J1132" i="2"/>
  <c r="N1132" i="2"/>
  <c r="R1132" i="2"/>
  <c r="V1132" i="2"/>
  <c r="C1133" i="2"/>
  <c r="L1133" i="2"/>
  <c r="P1133" i="2"/>
  <c r="T1133" i="2"/>
  <c r="G1391" i="2"/>
  <c r="J1391" i="2"/>
  <c r="N1391" i="2"/>
  <c r="R1391" i="2"/>
  <c r="V1391" i="2"/>
  <c r="H1394" i="2"/>
  <c r="L1394" i="2"/>
  <c r="P1394" i="2"/>
  <c r="T1394" i="2"/>
  <c r="G1397" i="2"/>
  <c r="J1397" i="2"/>
  <c r="N1397" i="2"/>
  <c r="R1397" i="2"/>
  <c r="V1397" i="2"/>
  <c r="F1066" i="2"/>
  <c r="J1066" i="2"/>
  <c r="N1066" i="2"/>
  <c r="R1066" i="2"/>
  <c r="V1066" i="2"/>
  <c r="C1073" i="2"/>
  <c r="G1073" i="2"/>
  <c r="K1073" i="2"/>
  <c r="O1073" i="2"/>
  <c r="S1073" i="2"/>
  <c r="W1073" i="2"/>
  <c r="D1080" i="2"/>
  <c r="H1080" i="2"/>
  <c r="L1080" i="2"/>
  <c r="P1080" i="2"/>
  <c r="T1080" i="2"/>
  <c r="F1111" i="2"/>
  <c r="B1121" i="2" s="1" a="1"/>
  <c r="J1111" i="2"/>
  <c r="N1111" i="2"/>
  <c r="R1111" i="2"/>
  <c r="V1111" i="2"/>
  <c r="I1131" i="2"/>
  <c r="M1131" i="2"/>
  <c r="Q1131" i="2"/>
  <c r="U1131" i="2"/>
  <c r="K1132" i="2"/>
  <c r="O1132" i="2"/>
  <c r="S1132" i="2"/>
  <c r="W1132" i="2"/>
  <c r="K1391" i="2"/>
  <c r="O1391" i="2"/>
  <c r="S1391" i="2"/>
  <c r="W1391" i="2"/>
  <c r="K1397" i="2"/>
  <c r="O1397" i="2"/>
  <c r="S1397" i="2"/>
  <c r="W1397" i="2"/>
  <c r="C1066" i="2"/>
  <c r="G1066" i="2"/>
  <c r="K1066" i="2"/>
  <c r="O1066" i="2"/>
  <c r="S1066" i="2"/>
  <c r="D1073" i="2"/>
  <c r="H1073" i="2"/>
  <c r="L1073" i="2"/>
  <c r="P1073" i="2"/>
  <c r="B1080" i="2"/>
  <c r="E1080" i="2"/>
  <c r="I1080" i="2"/>
  <c r="M1080" i="2"/>
  <c r="Q1080" i="2"/>
  <c r="F1106" i="2"/>
  <c r="J1106" i="2"/>
  <c r="N1106" i="2"/>
  <c r="R1106" i="2"/>
  <c r="C1111" i="2"/>
  <c r="B1116" i="2" s="1" a="1"/>
  <c r="G1111" i="2"/>
  <c r="K1111" i="2"/>
  <c r="O1111" i="2"/>
  <c r="S1111" i="2"/>
  <c r="F1125" i="2"/>
  <c r="J1125" i="2"/>
  <c r="N1125" i="2"/>
  <c r="R1125" i="2"/>
  <c r="F1131" i="2"/>
  <c r="J1131" i="2"/>
  <c r="N1131" i="2"/>
  <c r="R1131" i="2"/>
  <c r="H1132" i="2"/>
  <c r="L1132" i="2"/>
  <c r="P1132" i="2"/>
  <c r="B1133" i="2"/>
  <c r="J1133" i="2"/>
  <c r="N1133" i="2"/>
  <c r="R1133" i="2"/>
  <c r="H1391" i="2"/>
  <c r="L1391" i="2"/>
  <c r="P1391" i="2"/>
  <c r="G1394" i="2"/>
  <c r="J1394" i="2"/>
  <c r="N1394" i="2"/>
  <c r="R1394" i="2"/>
  <c r="H1397" i="2"/>
  <c r="L1397" i="2"/>
  <c r="P1397" i="2"/>
  <c r="T1116" i="2" l="1"/>
  <c r="P1116" i="2"/>
  <c r="L1116" i="2"/>
  <c r="H1116" i="2"/>
  <c r="D1116" i="2"/>
  <c r="W1116" i="2"/>
  <c r="S1116" i="2"/>
  <c r="O1116" i="2"/>
  <c r="K1116" i="2"/>
  <c r="G1116" i="2"/>
  <c r="C1116" i="2"/>
  <c r="V1116" i="2"/>
  <c r="R1116" i="2"/>
  <c r="N1116" i="2"/>
  <c r="J1116" i="2"/>
  <c r="F1116" i="2"/>
  <c r="U1116" i="2"/>
  <c r="Q1116" i="2"/>
  <c r="M1116" i="2"/>
  <c r="I1116" i="2"/>
  <c r="E1116" i="2"/>
  <c r="B1116" i="2"/>
  <c r="U1121" i="2"/>
  <c r="Q1121" i="2"/>
  <c r="M1121" i="2"/>
  <c r="I1121" i="2"/>
  <c r="E1121" i="2"/>
  <c r="B1121" i="2"/>
  <c r="T1121" i="2"/>
  <c r="P1121" i="2"/>
  <c r="L1121" i="2"/>
  <c r="H1121" i="2"/>
  <c r="D1121" i="2"/>
  <c r="W1121" i="2"/>
  <c r="S1121" i="2"/>
  <c r="O1121" i="2"/>
  <c r="K1121" i="2"/>
  <c r="G1121" i="2"/>
  <c r="C1121" i="2"/>
  <c r="V1121" i="2"/>
  <c r="R1121" i="2"/>
  <c r="N1121" i="2"/>
  <c r="J1121" i="2"/>
  <c r="F1121" i="2"/>
  <c r="U1027" i="2"/>
  <c r="U27" i="2"/>
  <c r="E1027" i="2"/>
  <c r="E27" i="2"/>
  <c r="N1052" i="2"/>
  <c r="T1027" i="2"/>
  <c r="T27" i="2"/>
  <c r="D1027" i="2"/>
  <c r="D27" i="2"/>
  <c r="E1052" i="2"/>
  <c r="M1043" i="2"/>
  <c r="R1043" i="2"/>
  <c r="O1027" i="2"/>
  <c r="O27" i="2"/>
  <c r="P1017" i="2"/>
  <c r="P22" i="2"/>
  <c r="P1004" i="2"/>
  <c r="P21" i="2"/>
  <c r="V994" i="2"/>
  <c r="V24" i="2"/>
  <c r="F994" i="2"/>
  <c r="F24" i="2"/>
  <c r="K994" i="2"/>
  <c r="K24" i="2"/>
  <c r="L23" i="2"/>
  <c r="Q979" i="2"/>
  <c r="Q23" i="2"/>
  <c r="O1017" i="2"/>
  <c r="O22" i="2"/>
  <c r="U1017" i="2"/>
  <c r="U22" i="2"/>
  <c r="J1017" i="2"/>
  <c r="J22" i="2"/>
  <c r="W1004" i="2"/>
  <c r="W21" i="2"/>
  <c r="G1004" i="2"/>
  <c r="G21" i="2"/>
  <c r="L1017" i="2"/>
  <c r="L22" i="2"/>
  <c r="V1004" i="2"/>
  <c r="V21" i="2"/>
  <c r="F1004" i="2"/>
  <c r="F21" i="2"/>
  <c r="W979" i="2"/>
  <c r="W23" i="2"/>
  <c r="G979" i="2"/>
  <c r="G23" i="2"/>
  <c r="Q1004" i="2"/>
  <c r="Q21" i="2"/>
  <c r="N979" i="2"/>
  <c r="N23" i="2"/>
  <c r="M994" i="2"/>
  <c r="H971" i="2"/>
  <c r="H26" i="2"/>
  <c r="Q971" i="2"/>
  <c r="Q26" i="2"/>
  <c r="M961" i="2"/>
  <c r="M25" i="2"/>
  <c r="J961" i="2"/>
  <c r="J25" i="2"/>
  <c r="W971" i="2"/>
  <c r="W26" i="2"/>
  <c r="C971" i="2"/>
  <c r="C26" i="2"/>
  <c r="W961" i="2"/>
  <c r="W25" i="2"/>
  <c r="L804" i="2"/>
  <c r="L12" i="2"/>
  <c r="L795" i="2"/>
  <c r="L11" i="2"/>
  <c r="U961" i="2"/>
  <c r="U25" i="2"/>
  <c r="W804" i="2"/>
  <c r="W12" i="2"/>
  <c r="W795" i="2"/>
  <c r="W11" i="2"/>
  <c r="I994" i="2"/>
  <c r="I961" i="2"/>
  <c r="I25" i="2"/>
  <c r="N804" i="2"/>
  <c r="N12" i="2"/>
  <c r="Q795" i="2"/>
  <c r="Q11" i="2"/>
  <c r="R795" i="2"/>
  <c r="R11" i="2"/>
  <c r="T971" i="2"/>
  <c r="Q784" i="2"/>
  <c r="Q10" i="2"/>
  <c r="Q763" i="2"/>
  <c r="Q9" i="2"/>
  <c r="P746" i="2"/>
  <c r="P15" i="2"/>
  <c r="J14" i="2"/>
  <c r="M733" i="2"/>
  <c r="M14" i="2"/>
  <c r="H784" i="2"/>
  <c r="H10" i="2"/>
  <c r="R784" i="2"/>
  <c r="R10" i="2"/>
  <c r="T763" i="2"/>
  <c r="T9" i="2"/>
  <c r="W746" i="2"/>
  <c r="W15" i="2"/>
  <c r="G746" i="2"/>
  <c r="G15" i="2"/>
  <c r="T733" i="2"/>
  <c r="T14" i="2"/>
  <c r="E733" i="2"/>
  <c r="E14" i="2"/>
  <c r="B825" i="2" a="1"/>
  <c r="U763" i="2"/>
  <c r="U9" i="2"/>
  <c r="S784" i="2"/>
  <c r="S10" i="2"/>
  <c r="J763" i="2"/>
  <c r="J9" i="2"/>
  <c r="N15" i="2"/>
  <c r="Q746" i="2"/>
  <c r="Q15" i="2"/>
  <c r="R698" i="2"/>
  <c r="R13" i="2"/>
  <c r="M19" i="2"/>
  <c r="R687" i="2"/>
  <c r="R19" i="2"/>
  <c r="C687" i="2"/>
  <c r="C19" i="2"/>
  <c r="U698" i="2"/>
  <c r="U13" i="2"/>
  <c r="N746" i="2"/>
  <c r="L698" i="2"/>
  <c r="L13" i="2"/>
  <c r="P687" i="2"/>
  <c r="P19" i="2"/>
  <c r="S698" i="2"/>
  <c r="S13" i="2"/>
  <c r="S687" i="2"/>
  <c r="S19" i="2"/>
  <c r="S680" i="2"/>
  <c r="S18" i="2"/>
  <c r="D680" i="2"/>
  <c r="D18" i="2"/>
  <c r="T680" i="2"/>
  <c r="T18" i="2"/>
  <c r="N659" i="2"/>
  <c r="N17" i="2"/>
  <c r="M659" i="2"/>
  <c r="M17" i="2"/>
  <c r="R680" i="2"/>
  <c r="R18" i="2"/>
  <c r="L659" i="2"/>
  <c r="L17" i="2"/>
  <c r="M642" i="2"/>
  <c r="M16" i="2"/>
  <c r="Q680" i="2"/>
  <c r="Q18" i="2"/>
  <c r="K659" i="2"/>
  <c r="K17" i="2"/>
  <c r="L642" i="2"/>
  <c r="L16" i="2"/>
  <c r="J659" i="2"/>
  <c r="J17" i="2"/>
  <c r="V642" i="2"/>
  <c r="V16" i="2"/>
  <c r="F642" i="2"/>
  <c r="F16" i="2"/>
  <c r="K642" i="2"/>
  <c r="K16" i="2"/>
  <c r="R642" i="2"/>
  <c r="Q1027" i="2"/>
  <c r="Q27" i="2"/>
  <c r="P1027" i="2"/>
  <c r="P27" i="2"/>
  <c r="Q1052" i="2"/>
  <c r="I1043" i="2"/>
  <c r="N1043" i="2"/>
  <c r="V1027" i="2"/>
  <c r="V27" i="2"/>
  <c r="F1027" i="2"/>
  <c r="F27" i="2"/>
  <c r="K1027" i="2"/>
  <c r="K27" i="2"/>
  <c r="I1017" i="2"/>
  <c r="I22" i="2"/>
  <c r="L1004" i="2"/>
  <c r="L21" i="2"/>
  <c r="R994" i="2"/>
  <c r="R24" i="2"/>
  <c r="W994" i="2"/>
  <c r="W24" i="2"/>
  <c r="G994" i="2"/>
  <c r="G24" i="2"/>
  <c r="M979" i="2"/>
  <c r="M23" i="2"/>
  <c r="H1017" i="2"/>
  <c r="H22" i="2"/>
  <c r="N1017" i="2"/>
  <c r="N22" i="2"/>
  <c r="S1004" i="2"/>
  <c r="S21" i="2"/>
  <c r="G1017" i="2"/>
  <c r="G22" i="2"/>
  <c r="R1004" i="2"/>
  <c r="R21" i="2"/>
  <c r="C1004" i="2"/>
  <c r="C21" i="2"/>
  <c r="S979" i="2"/>
  <c r="S23" i="2"/>
  <c r="S1017" i="2"/>
  <c r="S22" i="2"/>
  <c r="M1004" i="2"/>
  <c r="M21" i="2"/>
  <c r="J979" i="2"/>
  <c r="J23" i="2"/>
  <c r="T979" i="2"/>
  <c r="E971" i="2"/>
  <c r="E26" i="2"/>
  <c r="U971" i="2"/>
  <c r="U26" i="2"/>
  <c r="P971" i="2"/>
  <c r="P26" i="2"/>
  <c r="H961" i="2"/>
  <c r="H25" i="2"/>
  <c r="N961" i="2"/>
  <c r="N25" i="2"/>
  <c r="R971" i="2"/>
  <c r="R26" i="2"/>
  <c r="Q961" i="2"/>
  <c r="Q25" i="2"/>
  <c r="H804" i="2"/>
  <c r="H12" i="2"/>
  <c r="H795" i="2"/>
  <c r="H11" i="2"/>
  <c r="P961" i="2"/>
  <c r="P25" i="2"/>
  <c r="S804" i="2"/>
  <c r="S12" i="2"/>
  <c r="S795" i="2"/>
  <c r="S11" i="2"/>
  <c r="H979" i="2"/>
  <c r="D961" i="2"/>
  <c r="D25" i="2"/>
  <c r="J804" i="2"/>
  <c r="J12" i="2"/>
  <c r="M795" i="2"/>
  <c r="M11" i="2"/>
  <c r="N795" i="2"/>
  <c r="N11" i="2"/>
  <c r="I784" i="2"/>
  <c r="I10" i="2"/>
  <c r="M763" i="2"/>
  <c r="M9" i="2"/>
  <c r="L746" i="2"/>
  <c r="L15" i="2"/>
  <c r="I733" i="2"/>
  <c r="I14" i="2"/>
  <c r="L784" i="2"/>
  <c r="L10" i="2"/>
  <c r="G784" i="2"/>
  <c r="G10" i="2"/>
  <c r="V784" i="2"/>
  <c r="V10" i="2"/>
  <c r="P763" i="2"/>
  <c r="P9" i="2"/>
  <c r="S746" i="2"/>
  <c r="S15" i="2"/>
  <c r="P733" i="2"/>
  <c r="P14" i="2"/>
  <c r="D971" i="2"/>
  <c r="S763" i="2"/>
  <c r="S9" i="2"/>
  <c r="K784" i="2"/>
  <c r="K10" i="2"/>
  <c r="G763" i="2"/>
  <c r="G9" i="2"/>
  <c r="J15" i="2"/>
  <c r="M746" i="2"/>
  <c r="M15" i="2"/>
  <c r="V733" i="2"/>
  <c r="N698" i="2"/>
  <c r="N13" i="2"/>
  <c r="I687" i="2"/>
  <c r="I19" i="2"/>
  <c r="N687" i="2"/>
  <c r="N19" i="2"/>
  <c r="Q698" i="2"/>
  <c r="Q13" i="2"/>
  <c r="R733" i="2"/>
  <c r="H698" i="2"/>
  <c r="H13" i="2"/>
  <c r="L687" i="2"/>
  <c r="L19" i="2"/>
  <c r="W733" i="2"/>
  <c r="O698" i="2"/>
  <c r="O13" i="2"/>
  <c r="O687" i="2"/>
  <c r="O19" i="2"/>
  <c r="N680" i="2"/>
  <c r="N18" i="2"/>
  <c r="H680" i="2"/>
  <c r="H18" i="2"/>
  <c r="H659" i="2"/>
  <c r="H17" i="2"/>
  <c r="Q659" i="2"/>
  <c r="Q17" i="2"/>
  <c r="M680" i="2"/>
  <c r="M18" i="2"/>
  <c r="G659" i="2"/>
  <c r="G17" i="2"/>
  <c r="I642" i="2"/>
  <c r="I16" i="2"/>
  <c r="K680" i="2"/>
  <c r="K18" i="2"/>
  <c r="F659" i="2"/>
  <c r="F17" i="2"/>
  <c r="C642" i="2"/>
  <c r="C16" i="2"/>
  <c r="H642" i="2"/>
  <c r="H16" i="2"/>
  <c r="D659" i="2"/>
  <c r="D17" i="2"/>
  <c r="W642" i="2"/>
  <c r="W16" i="2"/>
  <c r="G642" i="2"/>
  <c r="G16" i="2"/>
  <c r="AI10" i="2"/>
  <c r="M1027" i="2"/>
  <c r="M27" i="2"/>
  <c r="L1027" i="2"/>
  <c r="L27" i="2"/>
  <c r="R1027" i="2"/>
  <c r="R27" i="2"/>
  <c r="R1017" i="2"/>
  <c r="R22" i="2"/>
  <c r="O1004" i="2"/>
  <c r="O21" i="2"/>
  <c r="O979" i="2"/>
  <c r="O23" i="2"/>
  <c r="L961" i="2"/>
  <c r="L25" i="2"/>
  <c r="J1027" i="2"/>
  <c r="K961" i="2"/>
  <c r="K25" i="2"/>
  <c r="O804" i="2"/>
  <c r="O12" i="2"/>
  <c r="O795" i="2"/>
  <c r="O11" i="2"/>
  <c r="T961" i="2"/>
  <c r="T25" i="2"/>
  <c r="C824" i="2" a="1"/>
  <c r="V804" i="2"/>
  <c r="V12" i="2"/>
  <c r="G804" i="2"/>
  <c r="G12" i="2"/>
  <c r="I795" i="2"/>
  <c r="I11" i="2"/>
  <c r="J795" i="2"/>
  <c r="J11" i="2"/>
  <c r="I763" i="2"/>
  <c r="I9" i="2"/>
  <c r="H746" i="2"/>
  <c r="H15" i="2"/>
  <c r="U733" i="2"/>
  <c r="U14" i="2"/>
  <c r="N994" i="2"/>
  <c r="W784" i="2"/>
  <c r="W10" i="2"/>
  <c r="P784" i="2"/>
  <c r="P10" i="2"/>
  <c r="J784" i="2"/>
  <c r="J10" i="2"/>
  <c r="L763" i="2"/>
  <c r="L9" i="2"/>
  <c r="O746" i="2"/>
  <c r="O15" i="2"/>
  <c r="L733" i="2"/>
  <c r="L14" i="2"/>
  <c r="U784" i="2"/>
  <c r="U10" i="2"/>
  <c r="O763" i="2"/>
  <c r="O9" i="2"/>
  <c r="R763" i="2"/>
  <c r="R9" i="2"/>
  <c r="V15" i="2"/>
  <c r="F15" i="2"/>
  <c r="I746" i="2"/>
  <c r="I15" i="2"/>
  <c r="J698" i="2"/>
  <c r="J13" i="2"/>
  <c r="U687" i="2"/>
  <c r="U19" i="2"/>
  <c r="E687" i="2"/>
  <c r="E19" i="2"/>
  <c r="J687" i="2"/>
  <c r="J19" i="2"/>
  <c r="S733" i="2"/>
  <c r="M698" i="2"/>
  <c r="M13" i="2"/>
  <c r="J733" i="2"/>
  <c r="T698" i="2"/>
  <c r="T13" i="2"/>
  <c r="E698" i="2"/>
  <c r="E13" i="2"/>
  <c r="H687" i="2"/>
  <c r="H19" i="2"/>
  <c r="O733" i="2"/>
  <c r="K698" i="2"/>
  <c r="K13" i="2"/>
  <c r="K687" i="2"/>
  <c r="K19" i="2"/>
  <c r="I680" i="2"/>
  <c r="I18" i="2"/>
  <c r="L680" i="2"/>
  <c r="L18" i="2"/>
  <c r="E659" i="2"/>
  <c r="E17" i="2"/>
  <c r="U659" i="2"/>
  <c r="U17" i="2"/>
  <c r="G680" i="2"/>
  <c r="G18" i="2"/>
  <c r="W659" i="2"/>
  <c r="W17" i="2"/>
  <c r="C659" i="2"/>
  <c r="C17" i="2"/>
  <c r="U642" i="2"/>
  <c r="U16" i="2"/>
  <c r="E642" i="2"/>
  <c r="E16" i="2"/>
  <c r="F680" i="2"/>
  <c r="F18" i="2"/>
  <c r="V659" i="2"/>
  <c r="V17" i="2"/>
  <c r="T642" i="2"/>
  <c r="T16" i="2"/>
  <c r="D642" i="2"/>
  <c r="D16" i="2"/>
  <c r="T659" i="2"/>
  <c r="T17" i="2"/>
  <c r="N16" i="2"/>
  <c r="S642" i="2"/>
  <c r="S16" i="2"/>
  <c r="O680" i="2"/>
  <c r="AG21" i="2"/>
  <c r="W1027" i="2"/>
  <c r="W27" i="2"/>
  <c r="G1027" i="2"/>
  <c r="G27" i="2"/>
  <c r="D1017" i="2"/>
  <c r="D22" i="2"/>
  <c r="H1004" i="2"/>
  <c r="H21" i="2"/>
  <c r="S994" i="2"/>
  <c r="S24" i="2"/>
  <c r="D979" i="2"/>
  <c r="D23" i="2"/>
  <c r="I979" i="2"/>
  <c r="I23" i="2"/>
  <c r="M1017" i="2"/>
  <c r="M22" i="2"/>
  <c r="C1017" i="2"/>
  <c r="C22" i="2"/>
  <c r="N1004" i="2"/>
  <c r="N21" i="2"/>
  <c r="K1017" i="2"/>
  <c r="K22" i="2"/>
  <c r="I1004" i="2"/>
  <c r="I21" i="2"/>
  <c r="V979" i="2"/>
  <c r="V23" i="2"/>
  <c r="F979" i="2"/>
  <c r="F23" i="2"/>
  <c r="S971" i="2"/>
  <c r="S26" i="2"/>
  <c r="I971" i="2"/>
  <c r="I26" i="2"/>
  <c r="C961" i="2"/>
  <c r="C25" i="2"/>
  <c r="R961" i="2"/>
  <c r="R25" i="2"/>
  <c r="L971" i="2"/>
  <c r="L26" i="2"/>
  <c r="T795" i="2"/>
  <c r="T11" i="2"/>
  <c r="I1027" i="2"/>
  <c r="I27" i="2"/>
  <c r="R1052" i="2"/>
  <c r="H1027" i="2"/>
  <c r="H27" i="2"/>
  <c r="I1052" i="2"/>
  <c r="Q1043" i="2"/>
  <c r="V1043" i="2"/>
  <c r="F1043" i="2"/>
  <c r="S1027" i="2"/>
  <c r="S27" i="2"/>
  <c r="T1004" i="2"/>
  <c r="T21" i="2"/>
  <c r="D1004" i="2"/>
  <c r="D21" i="2"/>
  <c r="J994" i="2"/>
  <c r="J24" i="2"/>
  <c r="O994" i="2"/>
  <c r="O24" i="2"/>
  <c r="P23" i="2"/>
  <c r="U979" i="2"/>
  <c r="U23" i="2"/>
  <c r="E979" i="2"/>
  <c r="E23" i="2"/>
  <c r="W1017" i="2"/>
  <c r="W22" i="2"/>
  <c r="Q1017" i="2"/>
  <c r="Q22" i="2"/>
  <c r="F1017" i="2"/>
  <c r="F22" i="2"/>
  <c r="V1017" i="2"/>
  <c r="V22" i="2"/>
  <c r="K1004" i="2"/>
  <c r="K21" i="2"/>
  <c r="T1017" i="2"/>
  <c r="T22" i="2"/>
  <c r="J1004" i="2"/>
  <c r="J21" i="2"/>
  <c r="K979" i="2"/>
  <c r="K23" i="2"/>
  <c r="E1017" i="2"/>
  <c r="E22" i="2"/>
  <c r="U1004" i="2"/>
  <c r="U21" i="2"/>
  <c r="E1004" i="2"/>
  <c r="E21" i="2"/>
  <c r="R979" i="2"/>
  <c r="R23" i="2"/>
  <c r="C979" i="2"/>
  <c r="C23" i="2"/>
  <c r="N971" i="2"/>
  <c r="N26" i="2"/>
  <c r="M971" i="2"/>
  <c r="M26" i="2"/>
  <c r="S961" i="2"/>
  <c r="S25" i="2"/>
  <c r="F961" i="2"/>
  <c r="F25" i="2"/>
  <c r="V961" i="2"/>
  <c r="V25" i="2"/>
  <c r="Q994" i="2"/>
  <c r="G971" i="2"/>
  <c r="G26" i="2"/>
  <c r="G961" i="2"/>
  <c r="G25" i="2"/>
  <c r="P804" i="2"/>
  <c r="P12" i="2"/>
  <c r="P795" i="2"/>
  <c r="P11" i="2"/>
  <c r="L979" i="2"/>
  <c r="E961" i="2"/>
  <c r="E25" i="2"/>
  <c r="K804" i="2"/>
  <c r="K12" i="2"/>
  <c r="K795" i="2"/>
  <c r="K11" i="2"/>
  <c r="O961" i="2"/>
  <c r="O25" i="2"/>
  <c r="R804" i="2"/>
  <c r="R12" i="2"/>
  <c r="V795" i="2"/>
  <c r="V11" i="2"/>
  <c r="G795" i="2"/>
  <c r="G11" i="2"/>
  <c r="V763" i="2"/>
  <c r="V9" i="2"/>
  <c r="T746" i="2"/>
  <c r="T15" i="2"/>
  <c r="E746" i="2"/>
  <c r="E15" i="2"/>
  <c r="K14" i="2"/>
  <c r="N14" i="2"/>
  <c r="Q733" i="2"/>
  <c r="Q14" i="2"/>
  <c r="O784" i="2"/>
  <c r="O10" i="2"/>
  <c r="T784" i="2"/>
  <c r="T10" i="2"/>
  <c r="N784" i="2"/>
  <c r="N10" i="2"/>
  <c r="H763" i="2"/>
  <c r="H9" i="2"/>
  <c r="K746" i="2"/>
  <c r="K15" i="2"/>
  <c r="H733" i="2"/>
  <c r="H14" i="2"/>
  <c r="M784" i="2"/>
  <c r="M10" i="2"/>
  <c r="K763" i="2"/>
  <c r="K9" i="2"/>
  <c r="W763" i="2"/>
  <c r="W9" i="2"/>
  <c r="N763" i="2"/>
  <c r="N9" i="2"/>
  <c r="R15" i="2"/>
  <c r="U746" i="2"/>
  <c r="U15" i="2"/>
  <c r="V746" i="2"/>
  <c r="F733" i="2"/>
  <c r="V698" i="2"/>
  <c r="V13" i="2"/>
  <c r="F698" i="2"/>
  <c r="F13" i="2"/>
  <c r="Q687" i="2"/>
  <c r="Q19" i="2"/>
  <c r="V687" i="2"/>
  <c r="V19" i="2"/>
  <c r="F687" i="2"/>
  <c r="F19" i="2"/>
  <c r="K733" i="2"/>
  <c r="I698" i="2"/>
  <c r="I13" i="2"/>
  <c r="U795" i="2"/>
  <c r="P698" i="2"/>
  <c r="P13" i="2"/>
  <c r="T687" i="2"/>
  <c r="T19" i="2"/>
  <c r="D687" i="2"/>
  <c r="D19" i="2"/>
  <c r="G733" i="2"/>
  <c r="W698" i="2"/>
  <c r="W13" i="2"/>
  <c r="G698" i="2"/>
  <c r="G13" i="2"/>
  <c r="W687" i="2"/>
  <c r="W19" i="2"/>
  <c r="G687" i="2"/>
  <c r="G19" i="2"/>
  <c r="P680" i="2"/>
  <c r="P18" i="2"/>
  <c r="S659" i="2"/>
  <c r="S17" i="2"/>
  <c r="I659" i="2"/>
  <c r="I17" i="2"/>
  <c r="W680" i="2"/>
  <c r="W18" i="2"/>
  <c r="C680" i="2"/>
  <c r="C18" i="2"/>
  <c r="R659" i="2"/>
  <c r="R17" i="2"/>
  <c r="Q642" i="2"/>
  <c r="Q16" i="2"/>
  <c r="V680" i="2"/>
  <c r="V18" i="2"/>
  <c r="P659" i="2"/>
  <c r="P17" i="2"/>
  <c r="P642" i="2"/>
  <c r="P16" i="2"/>
  <c r="O659" i="2"/>
  <c r="O17" i="2"/>
  <c r="J642" i="2"/>
  <c r="J16" i="2"/>
  <c r="O642" i="2"/>
  <c r="O16" i="2"/>
  <c r="M687" i="2"/>
  <c r="U680" i="2"/>
  <c r="AG10" i="2"/>
  <c r="W825" i="2" l="1"/>
  <c r="S825" i="2"/>
  <c r="O825" i="2"/>
  <c r="K825" i="2"/>
  <c r="G825" i="2"/>
  <c r="C825" i="2"/>
  <c r="V825" i="2"/>
  <c r="R825" i="2"/>
  <c r="N825" i="2"/>
  <c r="J825" i="2"/>
  <c r="F825" i="2"/>
  <c r="U825" i="2"/>
  <c r="Q825" i="2"/>
  <c r="M825" i="2"/>
  <c r="I825" i="2"/>
  <c r="E825" i="2"/>
  <c r="B825" i="2"/>
  <c r="P825" i="2"/>
  <c r="L825" i="2"/>
  <c r="H825" i="2"/>
  <c r="T825" i="2"/>
  <c r="D825" i="2"/>
  <c r="V824" i="2"/>
  <c r="R824" i="2"/>
  <c r="N824" i="2"/>
  <c r="J824" i="2"/>
  <c r="F824" i="2"/>
  <c r="C824" i="2"/>
  <c r="U824" i="2"/>
  <c r="Q824" i="2"/>
  <c r="M824" i="2"/>
  <c r="I824" i="2"/>
  <c r="E824" i="2"/>
  <c r="T824" i="2"/>
  <c r="P824" i="2"/>
  <c r="L824" i="2"/>
  <c r="H824" i="2"/>
  <c r="D824" i="2"/>
  <c r="W824" i="2"/>
  <c r="G824" i="2"/>
  <c r="S824" i="2"/>
  <c r="O824" i="2"/>
  <c r="K8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tc={563a508f-a92a-4b8d-9ae5-fb0fa87c5ae7}</author>
  </authors>
  <commentList>
    <comment ref="A2" authorId="0" shapeId="0" xr:uid="{563A508F-A92A-4B8D-9AE5-FB0FA87C5AE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perhaps add FMJ
</t>
        </r>
      </text>
    </comment>
  </commentList>
</comments>
</file>

<file path=xl/sharedStrings.xml><?xml version="1.0" encoding="utf-8"?>
<sst xmlns="http://schemas.openxmlformats.org/spreadsheetml/2006/main" count="7001" uniqueCount="1204">
  <si>
    <t>Zeitstempel</t>
  </si>
  <si>
    <t>Unbenannte Frage</t>
  </si>
  <si>
    <t>Hunt Showdown: 1896 - Update 2.9 - Damage Falloff Graph Basic/FMJ/HV/Slug/Melee</t>
  </si>
  <si>
    <t>Projectile Damage Drop-off Distance (in meters)</t>
  </si>
  <si>
    <t>dropping all the formulas and percentages and just using manually tested values since i cant find the perfect solution, all this percentage bs is outdated</t>
  </si>
  <si>
    <t>Long</t>
  </si>
  <si>
    <t>1,0-INT((1,0-0,62)*5/50)</t>
  </si>
  <si>
    <t>1,0-INT((1,0-0,62)*10/50)</t>
  </si>
  <si>
    <t>1,0-INT((1,0-0,62)*20/50)</t>
  </si>
  <si>
    <t>1,0-INT((1,0-0,62)*30/50)</t>
  </si>
  <si>
    <t>1,0-INT((1,0-0,62)*40/50)</t>
  </si>
  <si>
    <t>0,62-INT(1,0*0,000845*10)</t>
  </si>
  <si>
    <t>0,62-INT(1,0*0,000845*20)</t>
  </si>
  <si>
    <t>0,62-INT(1,0*0,000845*30)</t>
  </si>
  <si>
    <t>0,62-INT(1,0*0,000845*40)</t>
  </si>
  <si>
    <t>0,62-INT(1,0*0,000845*50)</t>
  </si>
  <si>
    <t>0,62-INT(1,0*0,000845*60)</t>
  </si>
  <si>
    <t>0,62-INT(1,0*0,000845*70)</t>
  </si>
  <si>
    <t>0,62-INT(1,0*0,000845*80)</t>
  </si>
  <si>
    <t>0,62-INT(1,0*0,000845*90)</t>
  </si>
  <si>
    <t>0,62-INT(1,0*0,000845*100)</t>
  </si>
  <si>
    <t>0,62-INT(1,0*0,000845*110)</t>
  </si>
  <si>
    <t>old average multipliers method damage points mismatch to livetesting: 68, new lerp method: 12</t>
  </si>
  <si>
    <t>Ammo Type</t>
  </si>
  <si>
    <t>20m</t>
  </si>
  <si>
    <t>25m</t>
  </si>
  <si>
    <t>30m</t>
  </si>
  <si>
    <t>35m</t>
  </si>
  <si>
    <t>40m</t>
  </si>
  <si>
    <t>likely due to inaccuracy at sniper ranges/integer jumps at fractional distance changes</t>
  </si>
  <si>
    <t>old average multipliers method damage points mismatch to livetesting: 29, new lerp method: 5</t>
  </si>
  <si>
    <t>long rifle</t>
  </si>
  <si>
    <t>40m 1x</t>
  </si>
  <si>
    <t>40m 1,3x</t>
  </si>
  <si>
    <t>90m 1x</t>
  </si>
  <si>
    <t>90m 1,3x</t>
  </si>
  <si>
    <t>200m 1x</t>
  </si>
  <si>
    <t>200m 1,3x</t>
  </si>
  <si>
    <t>40-90m percentage used</t>
  </si>
  <si>
    <t>90-200m percentage used</t>
  </si>
  <si>
    <t>long pistol</t>
  </si>
  <si>
    <t>70m 1x</t>
  </si>
  <si>
    <t>70m 1,3x</t>
  </si>
  <si>
    <t>40-70m percentage used</t>
  </si>
  <si>
    <t>70-90m percentage used</t>
  </si>
  <si>
    <t>Long Pistol</t>
  </si>
  <si>
    <t>Sparks</t>
  </si>
  <si>
    <t>Sparks Pistol</t>
  </si>
  <si>
    <t>Long Silenced</t>
  </si>
  <si>
    <t>Martini Henry</t>
  </si>
  <si>
    <t>Uppercut</t>
  </si>
  <si>
    <t>Long Silenced Pistol</t>
  </si>
  <si>
    <t>Cavalry</t>
  </si>
  <si>
    <t>Haymaker</t>
  </si>
  <si>
    <t>Medium</t>
  </si>
  <si>
    <t>Mosin Nagant</t>
  </si>
  <si>
    <t>old average multipliers method damage points mismatch to livetesting: 4, new lerp method: 1</t>
  </si>
  <si>
    <t>Medium Pistol</t>
  </si>
  <si>
    <t>Cavalry HV /old Berthier</t>
  </si>
  <si>
    <t>long rifle silenced</t>
  </si>
  <si>
    <t>Medium Silenced</t>
  </si>
  <si>
    <t>Lebel</t>
  </si>
  <si>
    <t>Compact</t>
  </si>
  <si>
    <t>M. Obrez Match</t>
  </si>
  <si>
    <t>Krag</t>
  </si>
  <si>
    <t>Compact Pistol</t>
  </si>
  <si>
    <t>Berthier/Mako</t>
  </si>
  <si>
    <t>long pistol silenced</t>
  </si>
  <si>
    <t>Compact Silenced</t>
  </si>
  <si>
    <t>Krag/M. Obrez</t>
  </si>
  <si>
    <t>Compact S. Pistol</t>
  </si>
  <si>
    <t>old average multipliers method damage points mismatch to livetesting: 132, new lerp method: 28</t>
  </si>
  <si>
    <t>old average multipliers method damage points mismatch to livetesting: 27, new lerp method: 6</t>
  </si>
  <si>
    <t>FMJ</t>
  </si>
  <si>
    <t>45m</t>
  </si>
  <si>
    <t>50m</t>
  </si>
  <si>
    <t>60m</t>
  </si>
  <si>
    <t>70m</t>
  </si>
  <si>
    <t>80m</t>
  </si>
  <si>
    <t>90m</t>
  </si>
  <si>
    <t>100m</t>
  </si>
  <si>
    <t>110m</t>
  </si>
  <si>
    <t>120m</t>
  </si>
  <si>
    <t>130m</t>
  </si>
  <si>
    <t>140m</t>
  </si>
  <si>
    <t>150m</t>
  </si>
  <si>
    <t>160m</t>
  </si>
  <si>
    <t>170m</t>
  </si>
  <si>
    <t>180m</t>
  </si>
  <si>
    <t>190m</t>
  </si>
  <si>
    <t>200m</t>
  </si>
  <si>
    <t>medium rifle</t>
  </si>
  <si>
    <t>30m 1x</t>
  </si>
  <si>
    <t>30m 1,3x</t>
  </si>
  <si>
    <t>80m 1x</t>
  </si>
  <si>
    <t>80m 1,3x</t>
  </si>
  <si>
    <t>130m 1x</t>
  </si>
  <si>
    <t>130m 1,3x</t>
  </si>
  <si>
    <t>30-80m percentage used</t>
  </si>
  <si>
    <t>80-130m percentage used</t>
  </si>
  <si>
    <t>medium pistol</t>
  </si>
  <si>
    <t>60m 1x</t>
  </si>
  <si>
    <t>60m 1,3x</t>
  </si>
  <si>
    <t>30-60m percentage used</t>
  </si>
  <si>
    <t>60-80m percentage used</t>
  </si>
  <si>
    <t>1865 carbine</t>
  </si>
  <si>
    <t>Pax Trueshot</t>
  </si>
  <si>
    <t>Maynard</t>
  </si>
  <si>
    <t>Pax</t>
  </si>
  <si>
    <t>Springfield</t>
  </si>
  <si>
    <t>Scottfield/Trueshot HV</t>
  </si>
  <si>
    <t>Maynard HV</t>
  </si>
  <si>
    <t>Pax HV</t>
  </si>
  <si>
    <t>Springfield Shorty</t>
  </si>
  <si>
    <t>Scottfield HV</t>
  </si>
  <si>
    <t>Springfield  HV</t>
  </si>
  <si>
    <t>M. Rifles Silenced</t>
  </si>
  <si>
    <t>Spitzer</t>
  </si>
  <si>
    <t>Vetterli</t>
  </si>
  <si>
    <t>1865 Carbine Silenced</t>
  </si>
  <si>
    <t>Slug</t>
  </si>
  <si>
    <t>5m</t>
  </si>
  <si>
    <t>6m</t>
  </si>
  <si>
    <t>7m</t>
  </si>
  <si>
    <t>8m</t>
  </si>
  <si>
    <t>9m</t>
  </si>
  <si>
    <t>10m</t>
  </si>
  <si>
    <t>10,5m</t>
  </si>
  <si>
    <t>11m</t>
  </si>
  <si>
    <t>12m</t>
  </si>
  <si>
    <t>13m</t>
  </si>
  <si>
    <t>14m</t>
  </si>
  <si>
    <t>15m</t>
  </si>
  <si>
    <t>55m</t>
  </si>
  <si>
    <t>65m</t>
  </si>
  <si>
    <t>Springfield S. HV</t>
  </si>
  <si>
    <t>Maynard Silenced</t>
  </si>
  <si>
    <t>Shotgun L. Barrel</t>
  </si>
  <si>
    <t>Wildland</t>
  </si>
  <si>
    <t>Maynard Silenced HV</t>
  </si>
  <si>
    <t>Shotgun M. Barrel</t>
  </si>
  <si>
    <t>Vetterli Cyclone old</t>
  </si>
  <si>
    <t>Vetterli Silenced</t>
  </si>
  <si>
    <t>Shotgun S. Barrel</t>
  </si>
  <si>
    <t>centennial/Vetterli HV</t>
  </si>
  <si>
    <t>Vetterli Sil. HV</t>
  </si>
  <si>
    <t>Drilling/Vetterli C./cent.shorty</t>
  </si>
  <si>
    <t>Cent. Shorty Silenced</t>
  </si>
  <si>
    <t>Drilling Shorty</t>
  </si>
  <si>
    <t>Cent. Shorty Sil. HV</t>
  </si>
  <si>
    <t>VetterliC.HV/Cent.HV/WildlandHV</t>
  </si>
  <si>
    <t>cent.S.HV/Drilling HV</t>
  </si>
  <si>
    <t>Drilling S. Hv</t>
  </si>
  <si>
    <t>Nitro</t>
  </si>
  <si>
    <t>*112 in menu and 116 in live testing but limb damage would need 117</t>
  </si>
  <si>
    <t>Bow charged</t>
  </si>
  <si>
    <t>Bow quick</t>
  </si>
  <si>
    <t>Crossbow</t>
  </si>
  <si>
    <t>Hand Crossbow</t>
  </si>
  <si>
    <t>cant hit</t>
  </si>
  <si>
    <t>Dolch</t>
  </si>
  <si>
    <t>Derringer</t>
  </si>
  <si>
    <t>ONESHOT</t>
  </si>
  <si>
    <t>Gun upper torso damage is x1,3(displayed damage in menu),</t>
  </si>
  <si>
    <t>Bow mutiplier upper torso x1,3</t>
  </si>
  <si>
    <t>Crossbow/handcrossbow/chukonu mutiplier upper torso x1,3</t>
  </si>
  <si>
    <t>Nitro Express upper and lower torso damage is 1=1 and it has low limb damage modifiers</t>
  </si>
  <si>
    <t>2-SHOT</t>
  </si>
  <si>
    <t>lower torso is x1,2</t>
  </si>
  <si>
    <t>lower torso x1</t>
  </si>
  <si>
    <t>3-SHOT</t>
  </si>
  <si>
    <t>arms are x0,9</t>
  </si>
  <si>
    <t>Arms x0,7</t>
  </si>
  <si>
    <t>Arms x0,75</t>
  </si>
  <si>
    <t>Pistols with Stock have identical damage/drop off as original</t>
  </si>
  <si>
    <t>4 OR MORE</t>
  </si>
  <si>
    <t>legs are x0,8</t>
  </si>
  <si>
    <t>legs x0,65</t>
  </si>
  <si>
    <t>legs x0,7</t>
  </si>
  <si>
    <t>Upper Torso</t>
  </si>
  <si>
    <t>Any rifle deals at least 50 damage
Compact Ammo pistols deal at least 25 damage but less than 50 damage
Any Medium or Long Ammo pistol deals at least 50 damage</t>
  </si>
  <si>
    <t>VALUES ABOVE 150 ARE ESTIMATION THROUGH MATH/PATTERN</t>
  </si>
  <si>
    <t>Lower Torso</t>
  </si>
  <si>
    <t>Any rifle deals at least 50 damage at any distance, with the exception of the Officer Carbine
Any pistol deals at least 25 damage, with some powerful pistols being able to deal 50 damage</t>
  </si>
  <si>
    <t>Limbs</t>
  </si>
  <si>
    <t>All rifles and pistols deal at least 25 damage to arms or legs at all distances
Exceptions to this ruleset are the Bornheim family and Nagant Silencer, due to their low base damage.</t>
  </si>
  <si>
    <t>Tools</t>
  </si>
  <si>
    <t>thrown</t>
  </si>
  <si>
    <t>upper</t>
  </si>
  <si>
    <t>lower</t>
  </si>
  <si>
    <t>arm</t>
  </si>
  <si>
    <t>leg</t>
  </si>
  <si>
    <t>th. melee light/heavy</t>
  </si>
  <si>
    <t>head</t>
  </si>
  <si>
    <t>lower/arm</t>
  </si>
  <si>
    <t>with trait</t>
  </si>
  <si>
    <t>Melee light/heavy</t>
  </si>
  <si>
    <t>light/heavy</t>
  </si>
  <si>
    <t>lower/arms</t>
  </si>
  <si>
    <t>legs</t>
  </si>
  <si>
    <t>throwing spear</t>
  </si>
  <si>
    <t>150?</t>
  </si>
  <si>
    <t>115/241,5</t>
  </si>
  <si>
    <t>70/147</t>
  </si>
  <si>
    <t>50/105</t>
  </si>
  <si>
    <t>35/73</t>
  </si>
  <si>
    <t>dusters</t>
  </si>
  <si>
    <t>70/150</t>
  </si>
  <si>
    <t>31/72</t>
  </si>
  <si>
    <t>21/48</t>
  </si>
  <si>
    <t>throwing axe</t>
  </si>
  <si>
    <t>195/220</t>
  </si>
  <si>
    <t>75/142</t>
  </si>
  <si>
    <t>50/95</t>
  </si>
  <si>
    <t>35/66</t>
  </si>
  <si>
    <t>97/142</t>
  </si>
  <si>
    <t>65/95</t>
  </si>
  <si>
    <t>45/66</t>
  </si>
  <si>
    <t>knife</t>
  </si>
  <si>
    <t>105/210</t>
  </si>
  <si>
    <t>52/105</t>
  </si>
  <si>
    <t>35/75</t>
  </si>
  <si>
    <t>24/52</t>
  </si>
  <si>
    <t>throwing knife</t>
  </si>
  <si>
    <t>60/120</t>
  </si>
  <si>
    <t>30/60</t>
  </si>
  <si>
    <t>20/40</t>
  </si>
  <si>
    <t>14/28</t>
  </si>
  <si>
    <t>87/161</t>
  </si>
  <si>
    <t>53/98</t>
  </si>
  <si>
    <t>38/70</t>
  </si>
  <si>
    <t>26/49</t>
  </si>
  <si>
    <t>heavy knife</t>
  </si>
  <si>
    <t>144/239</t>
  </si>
  <si>
    <t>72/120</t>
  </si>
  <si>
    <t>48/80</t>
  </si>
  <si>
    <t>33/56</t>
  </si>
  <si>
    <t>Gun Attachment light/heavy</t>
  </si>
  <si>
    <t>knuckle knife</t>
  </si>
  <si>
    <t>130/206</t>
  </si>
  <si>
    <t>58/92</t>
  </si>
  <si>
    <t>58/66</t>
  </si>
  <si>
    <t>39/46</t>
  </si>
  <si>
    <t>Baseball Bat</t>
  </si>
  <si>
    <t>150/333</t>
  </si>
  <si>
    <t>90/200</t>
  </si>
  <si>
    <t>60/133</t>
  </si>
  <si>
    <t>Bomblance</t>
  </si>
  <si>
    <t>200/400</t>
  </si>
  <si>
    <t>180/360</t>
  </si>
  <si>
    <t>120/240</t>
  </si>
  <si>
    <t>84/168</t>
  </si>
  <si>
    <t>Leave comments if there's anything specific i should look at</t>
  </si>
  <si>
    <t>Machete</t>
  </si>
  <si>
    <t>292/368</t>
  </si>
  <si>
    <t>175/220</t>
  </si>
  <si>
    <t>117/147</t>
  </si>
  <si>
    <t>81/102</t>
  </si>
  <si>
    <t>Riposte</t>
  </si>
  <si>
    <t>150/307</t>
  </si>
  <si>
    <t>82/168</t>
  </si>
  <si>
    <t>55/120</t>
  </si>
  <si>
    <t>38/84</t>
  </si>
  <si>
    <t>if anyone knows anything about programming or math or graphs please message me on reddit or something, Schobii564</t>
  </si>
  <si>
    <t>Cavalry Saber</t>
  </si>
  <si>
    <t>250/417</t>
  </si>
  <si>
    <t>150/252</t>
  </si>
  <si>
    <t>101/182</t>
  </si>
  <si>
    <t>70/126</t>
  </si>
  <si>
    <t>Bayonet</t>
  </si>
  <si>
    <t>60/307</t>
  </si>
  <si>
    <t>27/168</t>
  </si>
  <si>
    <t>27/120</t>
  </si>
  <si>
    <t>18/84</t>
  </si>
  <si>
    <t>i just dont get what im missing</t>
  </si>
  <si>
    <t>Katana</t>
  </si>
  <si>
    <t>275/467</t>
  </si>
  <si>
    <t>165/280</t>
  </si>
  <si>
    <t>110/187</t>
  </si>
  <si>
    <t>77/140</t>
  </si>
  <si>
    <t>Talon</t>
  </si>
  <si>
    <t>60/492</t>
  </si>
  <si>
    <t>27/330</t>
  </si>
  <si>
    <t>27/220</t>
  </si>
  <si>
    <t>18/150</t>
  </si>
  <si>
    <t>Katana sheathed</t>
  </si>
  <si>
    <t>3Claw</t>
  </si>
  <si>
    <t>179/120</t>
  </si>
  <si>
    <t>120/54</t>
  </si>
  <si>
    <t>80/54</t>
  </si>
  <si>
    <t>56/36</t>
  </si>
  <si>
    <t>no damage drop</t>
  </si>
  <si>
    <t>Combataxe</t>
  </si>
  <si>
    <t>220/544</t>
  </si>
  <si>
    <t>200/495</t>
  </si>
  <si>
    <t>133/329</t>
  </si>
  <si>
    <t>93/230</t>
  </si>
  <si>
    <t>1Claw/Striker</t>
  </si>
  <si>
    <t>105/150</t>
  </si>
  <si>
    <t>harsh decline</t>
  </si>
  <si>
    <t>Railroad Hammer</t>
  </si>
  <si>
    <t>282/863</t>
  </si>
  <si>
    <t>170/520</t>
  </si>
  <si>
    <t>113/346</t>
  </si>
  <si>
    <t>Trauma</t>
  </si>
  <si>
    <t>60/</t>
  </si>
  <si>
    <t>27/216</t>
  </si>
  <si>
    <t>27/</t>
  </si>
  <si>
    <t>18/144</t>
  </si>
  <si>
    <t>decline intersection</t>
  </si>
  <si>
    <t>Fist</t>
  </si>
  <si>
    <t>13/27</t>
  </si>
  <si>
    <t>9/18</t>
  </si>
  <si>
    <t>Club</t>
  </si>
  <si>
    <t>120/</t>
  </si>
  <si>
    <t>54/90</t>
  </si>
  <si>
    <t>36/60</t>
  </si>
  <si>
    <t>gradual decline</t>
  </si>
  <si>
    <t>Brawler</t>
  </si>
  <si>
    <t>plateau</t>
  </si>
  <si>
    <t>pure tested values divided by 1,3x and rounded up</t>
  </si>
  <si>
    <t>UPPER TORSO</t>
  </si>
  <si>
    <t>LONG AMMO</t>
  </si>
  <si>
    <t>Rifles</t>
  </si>
  <si>
    <t>1890 Cavalry</t>
  </si>
  <si>
    <t>Mosin Nagant/Martini HV</t>
  </si>
  <si>
    <t>Obrez Match</t>
  </si>
  <si>
    <t>Krag/Mosin Obrez</t>
  </si>
  <si>
    <t>Pistols</t>
  </si>
  <si>
    <t>Sparks pistol</t>
  </si>
  <si>
    <t xml:space="preserve">Uppercut </t>
  </si>
  <si>
    <t>Uppercut old</t>
  </si>
  <si>
    <t>Lemat Haymaker</t>
  </si>
  <si>
    <t>Rifles Silenced</t>
  </si>
  <si>
    <t>Sparks Silenced</t>
  </si>
  <si>
    <t>Krag Silenced</t>
  </si>
  <si>
    <t>Pistols Silenced</t>
  </si>
  <si>
    <t>Sparks Pistol Silenced</t>
  </si>
  <si>
    <t>MEDIUM AMMO</t>
  </si>
  <si>
    <t>Drilling Mini</t>
  </si>
  <si>
    <t>Compact Ammo</t>
  </si>
  <si>
    <t>marathon</t>
  </si>
  <si>
    <t>Frontier/Ranger</t>
  </si>
  <si>
    <t>lemat carbine/vandal/HV Marathon</t>
  </si>
  <si>
    <t>officer carbine/HV Ranger / Infantry / Frontier</t>
  </si>
  <si>
    <t>Vandal HV</t>
  </si>
  <si>
    <t>Lemat Carbine HV</t>
  </si>
  <si>
    <t>officer carbine HV</t>
  </si>
  <si>
    <t>conversion</t>
  </si>
  <si>
    <t>SPRINGFIELD AND MAYNARD HV HAVE SAME PLATEAU AND INTERSECTION BUT SPLIT INBETWEEN THEREFORE INTERSECTION NEEDS TO HAVE DECIMALS</t>
  </si>
  <si>
    <t>new army/Lemat</t>
  </si>
  <si>
    <t>Lemat HV</t>
  </si>
  <si>
    <t>nagant/officer</t>
  </si>
  <si>
    <t>BASE RANGE PROBABLY +0,25 FLOOR RANGE PROBABLY +0,5</t>
  </si>
  <si>
    <t>nagant/officer HV</t>
  </si>
  <si>
    <t>testing if 1x has decimals or not</t>
  </si>
  <si>
    <t>bornheim match</t>
  </si>
  <si>
    <t>bornheim match HV</t>
  </si>
  <si>
    <t>bornheim</t>
  </si>
  <si>
    <t>bornheim HV</t>
  </si>
  <si>
    <t>Maynard HV 80m</t>
  </si>
  <si>
    <t xml:space="preserve">upper </t>
  </si>
  <si>
    <t>Springfield 80m</t>
  </si>
  <si>
    <t>Rifles silenced</t>
  </si>
  <si>
    <t>Frontier silenced</t>
  </si>
  <si>
    <t>Frontier sil. HV</t>
  </si>
  <si>
    <t>arms</t>
  </si>
  <si>
    <t>Pistols silenced</t>
  </si>
  <si>
    <t>Nagant silenced</t>
  </si>
  <si>
    <t>Nagant sil. HV</t>
  </si>
  <si>
    <t>Bornheim silenced</t>
  </si>
  <si>
    <t>Bornheim sil. HV</t>
  </si>
  <si>
    <t>springfield shorty hv 50m</t>
  </si>
  <si>
    <t>Vetterli 50m</t>
  </si>
  <si>
    <t>SPECIAL</t>
  </si>
  <si>
    <t>SPECIAL AMMO</t>
  </si>
  <si>
    <t>Bow ch. w. trait</t>
  </si>
  <si>
    <t>drilling hv 70m</t>
  </si>
  <si>
    <t>drilling s. hv 70m</t>
  </si>
  <si>
    <t>ChuKoNu</t>
  </si>
  <si>
    <t>Harpoon</t>
  </si>
  <si>
    <t>maynard hv 50m</t>
  </si>
  <si>
    <t>springfield 50m</t>
  </si>
  <si>
    <t>Mako</t>
  </si>
  <si>
    <t>uppercut old</t>
  </si>
  <si>
    <t>carbine80m</t>
  </si>
  <si>
    <t>drilling s. hv 80m</t>
  </si>
  <si>
    <t>1865 Carbine</t>
  </si>
  <si>
    <t>Centennial</t>
  </si>
  <si>
    <t>Drilling/Cent. Shorty/Cyclone</t>
  </si>
  <si>
    <t>Trueshot</t>
  </si>
  <si>
    <t>Scottfield</t>
  </si>
  <si>
    <t>Marathon</t>
  </si>
  <si>
    <t>Ranger / Infantry / Frontier</t>
  </si>
  <si>
    <t>Lemat Carbine / Vandal</t>
  </si>
  <si>
    <t>Lemat Carbine/ Vandal</t>
  </si>
  <si>
    <t>Caldwell Conversion</t>
  </si>
  <si>
    <t>Conversion</t>
  </si>
  <si>
    <t>Lemat / New Army</t>
  </si>
  <si>
    <t>Lemat/ new army</t>
  </si>
  <si>
    <t>SPITZER</t>
  </si>
  <si>
    <t>Berthier</t>
  </si>
  <si>
    <t>Mosin Obrez</t>
  </si>
  <si>
    <t>SLUG</t>
  </si>
  <si>
    <t>Shotgun</t>
  </si>
  <si>
    <t>Auto5/Romero</t>
  </si>
  <si>
    <t>Specter/Drilling</t>
  </si>
  <si>
    <t>Rival/Lemat carbine/Slate</t>
  </si>
  <si>
    <t>Terminus/Specter B./Burgess</t>
  </si>
  <si>
    <t>Drilling S./Romero S.</t>
  </si>
  <si>
    <t>Rival S./Terminus S.</t>
  </si>
  <si>
    <t>Lemat/Haymaker</t>
  </si>
  <si>
    <t>LOWER TORSO</t>
  </si>
  <si>
    <t>Silenced FMJ</t>
  </si>
  <si>
    <t>Centennial Shorty</t>
  </si>
  <si>
    <t>ARMS</t>
  </si>
  <si>
    <t>BASIC</t>
  </si>
  <si>
    <t>LEGS</t>
  </si>
  <si>
    <t>Manual Testing</t>
  </si>
  <si>
    <t>its all inconsistent what the hell</t>
  </si>
  <si>
    <t>*67 past 200,5 meters</t>
  </si>
  <si>
    <t>Long S. Pistol</t>
  </si>
  <si>
    <t>Sparks S. Pistol</t>
  </si>
  <si>
    <t>quick</t>
  </si>
  <si>
    <t>charged</t>
  </si>
  <si>
    <t>bleed 20/18</t>
  </si>
  <si>
    <t>Nitro has unique limb damage modifiers but lower torso same as upper</t>
  </si>
  <si>
    <t>drop of distance of 45 its probably more like spread you can still hit clear headshots at 90m but its kinda random</t>
  </si>
  <si>
    <t>Nitro Arms</t>
  </si>
  <si>
    <t>upper/lower</t>
  </si>
  <si>
    <t>Nitro Legs</t>
  </si>
  <si>
    <r>
      <rPr>
        <b/>
        <sz val="11"/>
        <color rgb="FFFFFFFF"/>
        <rFont val="Calibri"/>
        <family val="2"/>
      </rPr>
      <t xml:space="preserve">Bow </t>
    </r>
    <r>
      <rPr>
        <sz val="11"/>
        <color rgb="FFFFFFFF"/>
        <rFont val="Calibri"/>
        <family val="2"/>
      </rPr>
      <t>body</t>
    </r>
  </si>
  <si>
    <t>bow quickshot drop off distance already at 10m</t>
  </si>
  <si>
    <r>
      <rPr>
        <b/>
        <sz val="11"/>
        <color rgb="FFFFFFFF"/>
        <rFont val="Calibri"/>
        <family val="2"/>
      </rPr>
      <t xml:space="preserve">Bow </t>
    </r>
    <r>
      <rPr>
        <sz val="11"/>
        <color rgb="FFFFFFFF"/>
        <rFont val="Calibri"/>
        <family val="2"/>
      </rPr>
      <t>arms</t>
    </r>
  </si>
  <si>
    <r>
      <rPr>
        <b/>
        <sz val="11"/>
        <color rgb="FFFFFFFF"/>
        <rFont val="Calibri"/>
        <family val="2"/>
      </rPr>
      <t xml:space="preserve">Bow </t>
    </r>
    <r>
      <rPr>
        <sz val="11"/>
        <color rgb="FFFFFFFF"/>
        <rFont val="Calibri"/>
        <family val="2"/>
      </rPr>
      <t>legs</t>
    </r>
  </si>
  <si>
    <t>quick/charged difference</t>
  </si>
  <si>
    <t>Crossbow body</t>
  </si>
  <si>
    <t>x1</t>
  </si>
  <si>
    <t>Crossbow arms</t>
  </si>
  <si>
    <t>x0,75</t>
  </si>
  <si>
    <t>Crossbow legs</t>
  </si>
  <si>
    <t>x0,7</t>
  </si>
  <si>
    <t>handcrossbow old</t>
  </si>
  <si>
    <t>handcbow upper</t>
  </si>
  <si>
    <t>handcbow body</t>
  </si>
  <si>
    <t>old</t>
  </si>
  <si>
    <t>new</t>
  </si>
  <si>
    <t>handcbow arms</t>
  </si>
  <si>
    <t>handcrossbow new</t>
  </si>
  <si>
    <t>handcbow legs</t>
  </si>
  <si>
    <t>Cbow steelbolts</t>
  </si>
  <si>
    <t>upper torso</t>
  </si>
  <si>
    <t>drop off distance actually at 50-60m</t>
  </si>
  <si>
    <t>COMPACT</t>
  </si>
  <si>
    <t>MANUALLY TESTED VALUES</t>
  </si>
  <si>
    <t>new army/Lemat/dolch</t>
  </si>
  <si>
    <t>not 100% correct just for visual clarity</t>
  </si>
  <si>
    <t>MEDIUM</t>
  </si>
  <si>
    <t>LONG</t>
  </si>
  <si>
    <t>Cavalry FMJ</t>
  </si>
  <si>
    <t>Frontier Silenced</t>
  </si>
  <si>
    <t>1865 Carbine Sil.</t>
  </si>
  <si>
    <t>Cent. Shorty Sil.</t>
  </si>
  <si>
    <t>Auto5/Romero/Specter/Drilling</t>
  </si>
  <si>
    <t>displayed damage in menu 10,5m?</t>
  </si>
  <si>
    <t>Rival/Terminus/Lemat carbine/Specter Bayonet/Slate</t>
  </si>
  <si>
    <t>Drilling Shorty/Romero Shorty/Rival Shorty/Terminus Shorty/Lemat/Haymaker</t>
  </si>
  <si>
    <t>Lemat</t>
  </si>
  <si>
    <t>upper=1,3</t>
  </si>
  <si>
    <t>lower=1,0</t>
  </si>
  <si>
    <t>arm=0,75</t>
  </si>
  <si>
    <t>leg=0,5</t>
  </si>
  <si>
    <t>OLD</t>
  </si>
  <si>
    <t>with perk</t>
  </si>
  <si>
    <r>
      <rPr>
        <b/>
        <sz val="11"/>
        <color rgb="FFFF0000"/>
        <rFont val="Calibri"/>
        <family val="2"/>
      </rPr>
      <t xml:space="preserve">Bow </t>
    </r>
    <r>
      <rPr>
        <sz val="11"/>
        <color rgb="FFFF0000"/>
        <rFont val="Calibri"/>
        <family val="2"/>
      </rPr>
      <t>body</t>
    </r>
  </si>
  <si>
    <r>
      <rPr>
        <b/>
        <sz val="11"/>
        <color rgb="FFFF0000"/>
        <rFont val="Calibri"/>
        <family val="2"/>
      </rPr>
      <t xml:space="preserve">Bow </t>
    </r>
    <r>
      <rPr>
        <sz val="11"/>
        <color rgb="FFFF0000"/>
        <rFont val="Calibri"/>
        <family val="2"/>
      </rPr>
      <t>arms</t>
    </r>
  </si>
  <si>
    <r>
      <rPr>
        <b/>
        <sz val="11"/>
        <color rgb="FFFF0000"/>
        <rFont val="Calibri"/>
        <family val="2"/>
      </rPr>
      <t xml:space="preserve">Bow </t>
    </r>
    <r>
      <rPr>
        <sz val="11"/>
        <color rgb="FFFF0000"/>
        <rFont val="Calibri"/>
        <family val="2"/>
      </rPr>
      <t>legs</t>
    </r>
  </si>
  <si>
    <t xml:space="preserve">Bow nerfed 2.9 </t>
  </si>
  <si>
    <r>
      <rPr>
        <b/>
        <sz val="11"/>
        <color rgb="FFFFFFFF"/>
        <rFont val="Calibri"/>
        <family val="2"/>
      </rPr>
      <t xml:space="preserve">Bow </t>
    </r>
    <r>
      <rPr>
        <sz val="11"/>
        <color rgb="FFFFFFFF"/>
        <rFont val="Calibri"/>
        <family val="2"/>
      </rPr>
      <t>body</t>
    </r>
  </si>
  <si>
    <r>
      <rPr>
        <b/>
        <sz val="11"/>
        <color rgb="FFFFFFFF"/>
        <rFont val="Calibri"/>
        <family val="2"/>
      </rPr>
      <t xml:space="preserve">Bow </t>
    </r>
    <r>
      <rPr>
        <sz val="11"/>
        <color rgb="FFFFFFFF"/>
        <rFont val="Calibri"/>
        <family val="2"/>
      </rPr>
      <t>arms</t>
    </r>
  </si>
  <si>
    <r>
      <rPr>
        <b/>
        <sz val="11"/>
        <color rgb="FFFFFFFF"/>
        <rFont val="Calibri"/>
        <family val="2"/>
      </rPr>
      <t xml:space="preserve">Bow </t>
    </r>
    <r>
      <rPr>
        <sz val="11"/>
        <color rgb="FFFFFFFF"/>
        <rFont val="Calibri"/>
        <family val="2"/>
      </rPr>
      <t>legs</t>
    </r>
  </si>
  <si>
    <t>Chu Ko Nu</t>
  </si>
  <si>
    <t>lower=1</t>
  </si>
  <si>
    <t>arms=0,75</t>
  </si>
  <si>
    <t>legs=0,7</t>
  </si>
  <si>
    <t>Bomb launcher/lance</t>
  </si>
  <si>
    <t>harpoon</t>
  </si>
  <si>
    <t>Buckshot TESTING</t>
  </si>
  <si>
    <t>16m</t>
  </si>
  <si>
    <t>17m</t>
  </si>
  <si>
    <t>18m</t>
  </si>
  <si>
    <t>19m</t>
  </si>
  <si>
    <t>Romero</t>
  </si>
  <si>
    <t>150+</t>
  </si>
  <si>
    <t>133-150+</t>
  </si>
  <si>
    <t>96-105</t>
  </si>
  <si>
    <t>89-102</t>
  </si>
  <si>
    <t>99-79</t>
  </si>
  <si>
    <t>101-73</t>
  </si>
  <si>
    <t>73-89</t>
  </si>
  <si>
    <t>79-68</t>
  </si>
  <si>
    <t>141-130</t>
  </si>
  <si>
    <t>108-129</t>
  </si>
  <si>
    <t>80-98</t>
  </si>
  <si>
    <t>74-91</t>
  </si>
  <si>
    <t>93-85</t>
  </si>
  <si>
    <t>98-105</t>
  </si>
  <si>
    <t>90-84</t>
  </si>
  <si>
    <t>84-54</t>
  </si>
  <si>
    <t>(using Google Ai and importing my entire pdf file and using my previous slug calculations</t>
  </si>
  <si>
    <t>Romero 77 Buckshot: Master Data-Corrected Model (5m–30m)</t>
  </si>
  <si>
    <t>MASTER MEMORY BLOCK: Romero 77 Buckshot (Post-1896 Update)</t>
  </si>
  <si>
    <t>Distance</t>
  </si>
  <si>
    <t>Upper Torso (x1.3)</t>
  </si>
  <si>
    <t>Lower Torso (x1.0)</t>
  </si>
  <si>
    <t>Arms (x0.75)</t>
  </si>
  <si>
    <t>Leg (x0.5)</t>
  </si>
  <si>
    <t>Status / Anchor</t>
  </si>
  <si>
    <t>1. Statistical Logic &amp; Multipliers</t>
  </si>
  <si>
    <t>1. Statistical Logic &amp; Scaling</t>
  </si>
  <si>
    <t>5.0m</t>
  </si>
  <si>
    <t>351.0</t>
  </si>
  <si>
    <t>270.0</t>
  </si>
  <si>
    <t>202.5</t>
  </si>
  <si>
    <t>135.0</t>
  </si>
  <si>
    <t>Anchor: 100% Hits</t>
  </si>
  <si>
    <t>System: Combined Slug Long Barrel % (Linear Pellet Power) + Accelerating Spread Tax (Pellet density loss).</t>
  </si>
  <si>
    <t>The System: Total Damage = [Slug Long Barrel %] × [Spread Accuracy Penalty].</t>
  </si>
  <si>
    <t>6.0m</t>
  </si>
  <si>
    <t>332.0</t>
  </si>
  <si>
    <t>255.0</t>
  </si>
  <si>
    <t>191.2</t>
  </si>
  <si>
    <t>120.0</t>
  </si>
  <si>
    <t>Tested Plateau</t>
  </si>
  <si>
    <t>Official Anchor: The 218 damage menu stat is standardized at 10.5 meters for the Upper Torso.</t>
  </si>
  <si>
    <t>Standard Benchmark: The 218 damage stat is the Listed Average at 10.5 meters for the Upper Torso.</t>
  </si>
  <si>
    <t>7.0m</t>
  </si>
  <si>
    <t>312.0</t>
  </si>
  <si>
    <t>240.0</t>
  </si>
  <si>
    <t>180.0</t>
  </si>
  <si>
    <t>Limb Multipliers: Upper Torso (x1.3), Lower Torso (x1.0), Arms (x0.75), Legs (x0.5).</t>
  </si>
  <si>
    <t>Hitbox Multipliers: Upper Torso (x1.3), Lower Torso (x1.0), Arms (x0.75), Legs (x0.5).</t>
  </si>
  <si>
    <t>8.0m</t>
  </si>
  <si>
    <t>291.5</t>
  </si>
  <si>
    <t>224.2</t>
  </si>
  <si>
    <t>168.1</t>
  </si>
  <si>
    <t>112.1</t>
  </si>
  <si>
    <t>2. Manual Testing Anchors (The "Source of Truth")</t>
  </si>
  <si>
    <t>2. Manual Testing Anchors (The "Verified Truth")</t>
  </si>
  <si>
    <t>9.0m</t>
  </si>
  <si>
    <t>268.0</t>
  </si>
  <si>
    <t>206.2</t>
  </si>
  <si>
    <t>154.6</t>
  </si>
  <si>
    <t>103.1</t>
  </si>
  <si>
    <t>Last Arm OHK</t>
  </si>
  <si>
    <t>5.0m: 351 UT / 270 LT / 202 Arms / 135 Leg. (100% pellet connection).</t>
  </si>
  <si>
    <t>5.0m (Fixed Anchor): 351 UT / 270 LT / 202 Arms / 135 Leg. (100% pellet connection; no spread loss).</t>
  </si>
  <si>
    <t>10.0m</t>
  </si>
  <si>
    <t>231.2</t>
  </si>
  <si>
    <t>177.8</t>
  </si>
  <si>
    <t>133.4</t>
  </si>
  <si>
    <t>88.9</t>
  </si>
  <si>
    <t>6m–7m: Damage Plateau: Arms stay at ~180, Legs at 120, Lower Torso at ~240.</t>
  </si>
  <si>
    <t>6m–7m (Plateau): Verified 120 damage to legs. Spread density is high enough to offset linear damage drop-off.</t>
  </si>
  <si>
    <t>10.5m</t>
  </si>
  <si>
    <t>218.0</t>
  </si>
  <si>
    <t>168.0</t>
  </si>
  <si>
    <t>126.0</t>
  </si>
  <si>
    <t>84.0</t>
  </si>
  <si>
    <t>Official Stat</t>
  </si>
  <si>
    <t>9.0m: Last Arm OHK (Approximate limit where arm shots can still one-tap).</t>
  </si>
  <si>
    <t>12.0m (LT Limit): 150± Average for Lower Torso. This is the "Bleed Limit" where upper torso overlap secures the kill.</t>
  </si>
  <si>
    <t>11.0m</t>
  </si>
  <si>
    <t>210.4</t>
  </si>
  <si>
    <t>161.8</t>
  </si>
  <si>
    <t>121.4</t>
  </si>
  <si>
    <t>80.9</t>
  </si>
  <si>
    <t>12.0m: Last Lower Torso OHK (Hits 150+ potentially; Average ~150).</t>
  </si>
  <si>
    <t>14.0m (UT Limit): 150± Average for Upper Torso. The "Precision Limit" and the last reliable OHK meter.</t>
  </si>
  <si>
    <t>12.0m</t>
  </si>
  <si>
    <t>195.0</t>
  </si>
  <si>
    <t>150.0</t>
  </si>
  <si>
    <t>112.5</t>
  </si>
  <si>
    <t>75.0</t>
  </si>
  <si>
    <t>Last LT OHK</t>
  </si>
  <si>
    <t>14.0m: Last Upper Torso OHK (Hits 150+ potentially; Average ~150).</t>
  </si>
  <si>
    <t>20m–30m (Long Range):</t>
  </si>
  <si>
    <t>13.0m</t>
  </si>
  <si>
    <t>172.5</t>
  </si>
  <si>
    <t>132.7</t>
  </si>
  <si>
    <t>99.5</t>
  </si>
  <si>
    <t>66.4</t>
  </si>
  <si>
    <t>20.0m: "Inconsistent Zone" – Tested range 73–101 (Average: 87 UT).</t>
  </si>
  <si>
    <t>20m: Range 73–101 (Avg 87). Marked "All Inconsistent."</t>
  </si>
  <si>
    <t>14.0m</t>
  </si>
  <si>
    <t>115.4</t>
  </si>
  <si>
    <t>86.5</t>
  </si>
  <si>
    <t>57.7</t>
  </si>
  <si>
    <t>Last UT OHK</t>
  </si>
  <si>
    <t>30.0m: Max Harassment – Tested range 68–79 (Average: 73.5 UT).</t>
  </si>
  <si>
    <t>30m: Range 68–79 (Avg 73.5). The "Spread Floor" stabilizes here.</t>
  </si>
  <si>
    <t>15.0m</t>
  </si>
  <si>
    <t>102.1</t>
  </si>
  <si>
    <t>76.6</t>
  </si>
  <si>
    <t>51.0</t>
  </si>
  <si>
    <t>Non-lethal zone</t>
  </si>
  <si>
    <t>3. High-Resolution Performance Table</t>
  </si>
  <si>
    <t>3. Meter-by-Meter Bleed-Adjusted Table (Averages)</t>
  </si>
  <si>
    <t>16.0m</t>
  </si>
  <si>
    <t>118.1</t>
  </si>
  <si>
    <t>90.9</t>
  </si>
  <si>
    <t>68.2</t>
  </si>
  <si>
    <t>45.4</t>
  </si>
  <si>
    <t>Status</t>
  </si>
  <si>
    <t>Lower Torso + Bleed</t>
  </si>
  <si>
    <t>17.0m</t>
  </si>
  <si>
    <t>105.8</t>
  </si>
  <si>
    <t>81.4</t>
  </si>
  <si>
    <t>61.0</t>
  </si>
  <si>
    <t>40.7</t>
  </si>
  <si>
    <t>Point Blank</t>
  </si>
  <si>
    <t>100% Connect</t>
  </si>
  <si>
    <t>18.0m</t>
  </si>
  <si>
    <t>95.2</t>
  </si>
  <si>
    <t>73.2</t>
  </si>
  <si>
    <t>54.9</t>
  </si>
  <si>
    <t>36.6</t>
  </si>
  <si>
    <t>19.0m</t>
  </si>
  <si>
    <t>89.0</t>
  </si>
  <si>
    <t>68.5</t>
  </si>
  <si>
    <t>51.4</t>
  </si>
  <si>
    <t>34.3</t>
  </si>
  <si>
    <t>182.0</t>
  </si>
  <si>
    <t>Listed Avg</t>
  </si>
  <si>
    <t>20.0m</t>
  </si>
  <si>
    <t>87.0</t>
  </si>
  <si>
    <t>67.0</t>
  </si>
  <si>
    <t>50.3</t>
  </si>
  <si>
    <t>33.5</t>
  </si>
  <si>
    <t>Tested Avg</t>
  </si>
  <si>
    <t>150.0 (±)</t>
  </si>
  <si>
    <t>21.0m</t>
  </si>
  <si>
    <t>85.8</t>
  </si>
  <si>
    <t>66.0</t>
  </si>
  <si>
    <t>49.5</t>
  </si>
  <si>
    <t>33.0</t>
  </si>
  <si>
    <t>118.0</t>
  </si>
  <si>
    <t>22.0m</t>
  </si>
  <si>
    <t>84.6</t>
  </si>
  <si>
    <t>65.1</t>
  </si>
  <si>
    <t>48.8</t>
  </si>
  <si>
    <t>32.5</t>
  </si>
  <si>
    <t>104.0</t>
  </si>
  <si>
    <t>Non-lethal</t>
  </si>
  <si>
    <t>23.0m</t>
  </si>
  <si>
    <t>83.4</t>
  </si>
  <si>
    <t>64.2</t>
  </si>
  <si>
    <t>48.1</t>
  </si>
  <si>
    <t>32.1</t>
  </si>
  <si>
    <t>132.0</t>
  </si>
  <si>
    <t>101.5</t>
  </si>
  <si>
    <t>76.1</t>
  </si>
  <si>
    <t>50.8</t>
  </si>
  <si>
    <t>68.0</t>
  </si>
  <si>
    <t>Tested Range</t>
  </si>
  <si>
    <t>24.0m</t>
  </si>
  <si>
    <t>82.2</t>
  </si>
  <si>
    <t>63.2</t>
  </si>
  <si>
    <t>47.4</t>
  </si>
  <si>
    <t>31.6</t>
  </si>
  <si>
    <t>66.9</t>
  </si>
  <si>
    <t>50.2</t>
  </si>
  <si>
    <t>25.0m</t>
  </si>
  <si>
    <t>81.0</t>
  </si>
  <si>
    <t>63.0</t>
  </si>
  <si>
    <t>46.7</t>
  </si>
  <si>
    <t>31.2</t>
  </si>
  <si>
    <t>62.3</t>
  </si>
  <si>
    <t>30.0m</t>
  </si>
  <si>
    <t>73.5</t>
  </si>
  <si>
    <t>57.0</t>
  </si>
  <si>
    <t>42.4</t>
  </si>
  <si>
    <t>26.0m</t>
  </si>
  <si>
    <t>79.5</t>
  </si>
  <si>
    <t>61.1</t>
  </si>
  <si>
    <t>45.8</t>
  </si>
  <si>
    <t>56.5</t>
  </si>
  <si>
    <t>4. Pattern Breakdown</t>
  </si>
  <si>
    <t>27.0m</t>
  </si>
  <si>
    <t>78.0</t>
  </si>
  <si>
    <t>60.0</t>
  </si>
  <si>
    <t>45.0</t>
  </si>
  <si>
    <t>30.0</t>
  </si>
  <si>
    <t>4. Pattern Reconciliation</t>
  </si>
  <si>
    <t>The "Spread Tax": Accuracy is ~100% up to 5m, drops to ~88% at 10.5m, and hits a "lathality cliff" at ~68% accuracy by 14m.</t>
  </si>
  <si>
    <t>28.0m</t>
  </si>
  <si>
    <t>76.5</t>
  </si>
  <si>
    <t>58.8</t>
  </si>
  <si>
    <t>44.1</t>
  </si>
  <si>
    <t>Arm One-Taps: At 5m, an arm shot (202.5) is a clear kill. The threshold where arm shots fall below 150 HP is approximately 9 meters.</t>
  </si>
  <si>
    <t>Hitbox Bleed: Lower Torso shots receive a ~12–15 damage "bonus" at 10–12m because the tight cone overlaps into the x1.3 chest zone.</t>
  </si>
  <si>
    <t>29.0m</t>
  </si>
  <si>
    <t>43.3</t>
  </si>
  <si>
    <t>10.5m to 14m: Accuracy drop-off (Spread Tax) is the primary factor in losing the OHK potential for Lower and then Upper Torso.</t>
  </si>
  <si>
    <t>20m to 30m: Stability zone. The tight Spread of 20 ensures that even at 30m, hitting the arms or legs still provides "nuisance" damage (~30-40) while the torso maintains a ~70 damage floor.</t>
  </si>
  <si>
    <t>Long Barrel Shotguns</t>
  </si>
  <si>
    <t xml:space="preserve">This table reflects Actual Gameplay Performance, where center-mass shots overlap hitboxes.                                        </t>
  </si>
  <si>
    <t>Romero 77 Buckshot: Full Bleed-Adjusted Model (5m–30m)</t>
  </si>
  <si>
    <t>Specter 1882 Buckshot: Full Bleed-Adjusted Model (5m–30m)</t>
  </si>
  <si>
    <t>Crown &amp; King Auto-5: Full Bleed-Adjusted Model (5m–30m)</t>
  </si>
  <si>
    <t>Calculated with LongBarrel Fall-off and Spread 20 Tax.</t>
  </si>
  <si>
    <t>Calculated with Long Barrel Fall-off and Spread 25 Hitbox Overlap.</t>
  </si>
  <si>
    <t>Calculated with Long Barrel Fall-off and Spread 35 Hitbox Overlap.</t>
  </si>
  <si>
    <t>Anchor</t>
  </si>
  <si>
    <t>Universal Anchor</t>
  </si>
  <si>
    <t>329.0</t>
  </si>
  <si>
    <t>253.0</t>
  </si>
  <si>
    <t>189.7</t>
  </si>
  <si>
    <t>126.5</t>
  </si>
  <si>
    <t>318.0</t>
  </si>
  <si>
    <t>244.6</t>
  </si>
  <si>
    <t>183.5</t>
  </si>
  <si>
    <t>122.3</t>
  </si>
  <si>
    <t>308.0</t>
  </si>
  <si>
    <t>237.0</t>
  </si>
  <si>
    <t>177.7</t>
  </si>
  <si>
    <t>118.5</t>
  </si>
  <si>
    <t>285.0</t>
  </si>
  <si>
    <t>219.2</t>
  </si>
  <si>
    <t>164.4</t>
  </si>
  <si>
    <t>109.6</t>
  </si>
  <si>
    <t>282.0</t>
  </si>
  <si>
    <t>217.0</t>
  </si>
  <si>
    <t>162.7</t>
  </si>
  <si>
    <t>108.5</t>
  </si>
  <si>
    <t>210.0</t>
  </si>
  <si>
    <t>146.0</t>
  </si>
  <si>
    <t>97.3</t>
  </si>
  <si>
    <t>256.0</t>
  </si>
  <si>
    <t>197.0</t>
  </si>
  <si>
    <t>147.7</t>
  </si>
  <si>
    <t>98.5</t>
  </si>
  <si>
    <t>224.0</t>
  </si>
  <si>
    <t>188.0</t>
  </si>
  <si>
    <t>129.2</t>
  </si>
  <si>
    <t>86.2</t>
  </si>
  <si>
    <t>192.0</t>
  </si>
  <si>
    <t>228.0</t>
  </si>
  <si>
    <t>184.0</t>
  </si>
  <si>
    <t>131.5</t>
  </si>
  <si>
    <t>87.7</t>
  </si>
  <si>
    <t>201.0</t>
  </si>
  <si>
    <t>170.0</t>
  </si>
  <si>
    <t>116.0</t>
  </si>
  <si>
    <t>77.3</t>
  </si>
  <si>
    <t>213.0</t>
  </si>
  <si>
    <t>172.0</t>
  </si>
  <si>
    <t>122.9</t>
  </si>
  <si>
    <t>81.9</t>
  </si>
  <si>
    <t>194.0</t>
  </si>
  <si>
    <t>162.0</t>
  </si>
  <si>
    <t>111.9</t>
  </si>
  <si>
    <t>74.6</t>
  </si>
  <si>
    <t>Official Stat Anchor</t>
  </si>
  <si>
    <t>171.0</t>
  </si>
  <si>
    <t>158.0</t>
  </si>
  <si>
    <t>High Lethality</t>
  </si>
  <si>
    <t>178.0</t>
  </si>
  <si>
    <t>102.7</t>
  </si>
  <si>
    <t>174.0</t>
  </si>
  <si>
    <t>100.3</t>
  </si>
  <si>
    <t>128.0</t>
  </si>
  <si>
    <t>134.0</t>
  </si>
  <si>
    <t>105.0</t>
  </si>
  <si>
    <t>73.8</t>
  </si>
  <si>
    <t>49.2</t>
  </si>
  <si>
    <t>Reliability Cliff</t>
  </si>
  <si>
    <t>129.0</t>
  </si>
  <si>
    <t>110.0</t>
  </si>
  <si>
    <t>74.4</t>
  </si>
  <si>
    <t>49.6</t>
  </si>
  <si>
    <t>109.0</t>
  </si>
  <si>
    <t>90.0</t>
  </si>
  <si>
    <t>62.9</t>
  </si>
  <si>
    <t>41.9</t>
  </si>
  <si>
    <t>114.0</t>
  </si>
  <si>
    <t>98.0</t>
  </si>
  <si>
    <t>65.8</t>
  </si>
  <si>
    <t>43.8</t>
  </si>
  <si>
    <t>93.0</t>
  </si>
  <si>
    <t>53.7</t>
  </si>
  <si>
    <t>35.8</t>
  </si>
  <si>
    <t>92.0</t>
  </si>
  <si>
    <t>103.0</t>
  </si>
  <si>
    <t>88.0</t>
  </si>
  <si>
    <t>59.4</t>
  </si>
  <si>
    <t>39.6</t>
  </si>
  <si>
    <t>83.0</t>
  </si>
  <si>
    <t>80.0</t>
  </si>
  <si>
    <t>53.6</t>
  </si>
  <si>
    <t>35.7</t>
  </si>
  <si>
    <t>71.0</t>
  </si>
  <si>
    <t>41.0</t>
  </si>
  <si>
    <t>85.0</t>
  </si>
  <si>
    <t>73.0</t>
  </si>
  <si>
    <t>49.0</t>
  </si>
  <si>
    <t>32.7</t>
  </si>
  <si>
    <t>53.0</t>
  </si>
  <si>
    <t>36.3</t>
  </si>
  <si>
    <t>70.0</t>
  </si>
  <si>
    <t>48.0</t>
  </si>
  <si>
    <t>32.9</t>
  </si>
  <si>
    <t>Inconsistent</t>
  </si>
  <si>
    <t>52.0</t>
  </si>
  <si>
    <t>44.0</t>
  </si>
  <si>
    <t>20.0</t>
  </si>
  <si>
    <t>74.0</t>
  </si>
  <si>
    <t>64.0</t>
  </si>
  <si>
    <t>42.7</t>
  </si>
  <si>
    <t>37.0</t>
  </si>
  <si>
    <t>65.0</t>
  </si>
  <si>
    <t>58.0</t>
  </si>
  <si>
    <t>39.2</t>
  </si>
  <si>
    <t>35.0</t>
  </si>
  <si>
    <t>55.0</t>
  </si>
  <si>
    <t>36.9</t>
  </si>
  <si>
    <t>38.0</t>
  </si>
  <si>
    <t>32.0</t>
  </si>
  <si>
    <t>35.2</t>
  </si>
  <si>
    <t>Heavy Drop</t>
  </si>
  <si>
    <t>36.0</t>
  </si>
  <si>
    <t>62.0</t>
  </si>
  <si>
    <t>50.0</t>
  </si>
  <si>
    <t>34.0</t>
  </si>
  <si>
    <t>29.0</t>
  </si>
  <si>
    <t>56.0</t>
  </si>
  <si>
    <t>32.3</t>
  </si>
  <si>
    <t>27.0</t>
  </si>
  <si>
    <t>26.0</t>
  </si>
  <si>
    <t>59.0</t>
  </si>
  <si>
    <t>25.0</t>
  </si>
  <si>
    <t>42.0</t>
  </si>
  <si>
    <t>Minimal</t>
  </si>
  <si>
    <t>28.0</t>
  </si>
  <si>
    <t>24.0</t>
  </si>
  <si>
    <t>Drilling should be the same as the Romero considering its spread and length</t>
  </si>
  <si>
    <t>Medium Barrel Shotguns</t>
  </si>
  <si>
    <t>Caldwell Rival 78: Full Bleed-Adjusted Model (5m–30m)</t>
  </si>
  <si>
    <t>Winfield 1893 Slate: Full Bleed-Adjusted Model (5m–30m)</t>
  </si>
  <si>
    <t>Winfield 1887 Terminus: Full Bleed-Adjusted Model (5m–30m)</t>
  </si>
  <si>
    <t>Calculated with Medium Barrel Fall-off and Spread 45 Tax.</t>
  </si>
  <si>
    <t>Calculated with Medium Barrel Fall-off and Spread 30 Hitbox Overlap.</t>
  </si>
  <si>
    <t>Status / Reliability</t>
  </si>
  <si>
    <t>Point Blank Anchor</t>
  </si>
  <si>
    <t>305.0</t>
  </si>
  <si>
    <t>250.0</t>
  </si>
  <si>
    <t>176.0</t>
  </si>
  <si>
    <t>117.3</t>
  </si>
  <si>
    <t>321.0</t>
  </si>
  <si>
    <t>246.9</t>
  </si>
  <si>
    <t>185.2</t>
  </si>
  <si>
    <t>123.5</t>
  </si>
  <si>
    <t>266.0</t>
  </si>
  <si>
    <t>225.0</t>
  </si>
  <si>
    <t>153.5</t>
  </si>
  <si>
    <t>102.3</t>
  </si>
  <si>
    <t>168.2</t>
  </si>
  <si>
    <t>231.0</t>
  </si>
  <si>
    <t>133.3</t>
  </si>
  <si>
    <t>88.8</t>
  </si>
  <si>
    <t>262.0</t>
  </si>
  <si>
    <t>201.5</t>
  </si>
  <si>
    <t>151.2</t>
  </si>
  <si>
    <t>100.8</t>
  </si>
  <si>
    <t>Last Arm OHK (~8.1m)</t>
  </si>
  <si>
    <t>205.0</t>
  </si>
  <si>
    <t>118.3</t>
  </si>
  <si>
    <t>78.8</t>
  </si>
  <si>
    <t>Reliable OHK</t>
  </si>
  <si>
    <t>234.0</t>
  </si>
  <si>
    <t>72.3</t>
  </si>
  <si>
    <t>Last LT OHK (Bleed)</t>
  </si>
  <si>
    <t>211.0</t>
  </si>
  <si>
    <t>162.3</t>
  </si>
  <si>
    <t>121.7</t>
  </si>
  <si>
    <t>81.2</t>
  </si>
  <si>
    <t>156.0</t>
  </si>
  <si>
    <t>106.1</t>
  </si>
  <si>
    <t>70.8</t>
  </si>
  <si>
    <t>Listed Avg Benchmark</t>
  </si>
  <si>
    <t>207.0</t>
  </si>
  <si>
    <t>159.2</t>
  </si>
  <si>
    <t>119.4</t>
  </si>
  <si>
    <t>79.6</t>
  </si>
  <si>
    <t>130.0</t>
  </si>
  <si>
    <t>Last UT OHK (Limit)</t>
  </si>
  <si>
    <t>103.8</t>
  </si>
  <si>
    <t>69.2</t>
  </si>
  <si>
    <t>122.0</t>
  </si>
  <si>
    <t>70.4</t>
  </si>
  <si>
    <t>46.9</t>
  </si>
  <si>
    <t>91.0</t>
  </si>
  <si>
    <t>60.6</t>
  </si>
  <si>
    <t>40.4</t>
  </si>
  <si>
    <t>125.0</t>
  </si>
  <si>
    <t>96.1</t>
  </si>
  <si>
    <t>72.1</t>
  </si>
  <si>
    <t>53.1</t>
  </si>
  <si>
    <t>35.4</t>
  </si>
  <si>
    <t>40.0</t>
  </si>
  <si>
    <t>46.2</t>
  </si>
  <si>
    <t>Strict 2-Tap Zone</t>
  </si>
  <si>
    <t>67.7</t>
  </si>
  <si>
    <t>33.8</t>
  </si>
  <si>
    <t>Damage Decay</t>
  </si>
  <si>
    <t>79.0</t>
  </si>
  <si>
    <t>60.8</t>
  </si>
  <si>
    <t>45.6</t>
  </si>
  <si>
    <t>54.6</t>
  </si>
  <si>
    <t>Minimal Lethality</t>
  </si>
  <si>
    <t>44.6</t>
  </si>
  <si>
    <t>39.0</t>
  </si>
  <si>
    <t>Inconsistent Zone</t>
  </si>
  <si>
    <t>Heavy Fall-off</t>
  </si>
  <si>
    <t>34.6</t>
  </si>
  <si>
    <t>31.0</t>
  </si>
  <si>
    <t>19.0</t>
  </si>
  <si>
    <t>Spread Stability Start</t>
  </si>
  <si>
    <t>29.2</t>
  </si>
  <si>
    <t>Minimal Harassment</t>
  </si>
  <si>
    <t>23.0</t>
  </si>
  <si>
    <t>15.0</t>
  </si>
  <si>
    <t>10.0</t>
  </si>
  <si>
    <t>22.0</t>
  </si>
  <si>
    <t>21.0</t>
  </si>
  <si>
    <t>Spread Floor (Min)</t>
  </si>
  <si>
    <t>Lemat Carbine should be the same as the Rival considering its spread and length</t>
  </si>
  <si>
    <t>Specter 1882 Bayonet: Full Bleed-Adjusted Model (5m–30m)</t>
  </si>
  <si>
    <t>Burgess: Full Bleed-Adjusted Model (5m–30m)</t>
  </si>
  <si>
    <t>Calculated with Medium Barrel Fall-off and Spread 35 Hitbox Overlap.</t>
  </si>
  <si>
    <t>338.0</t>
  </si>
  <si>
    <t>260.0</t>
  </si>
  <si>
    <t>315.2</t>
  </si>
  <si>
    <t>242.5</t>
  </si>
  <si>
    <t>181.8</t>
  </si>
  <si>
    <t>121.2</t>
  </si>
  <si>
    <t>Pellet Plateau</t>
  </si>
  <si>
    <t>290.5</t>
  </si>
  <si>
    <t>223.5</t>
  </si>
  <si>
    <t>167.6</t>
  </si>
  <si>
    <t>111.7</t>
  </si>
  <si>
    <t>264.2</t>
  </si>
  <si>
    <t>203.2</t>
  </si>
  <si>
    <t>152.4</t>
  </si>
  <si>
    <t>101.6</t>
  </si>
  <si>
    <t>Last Arm OHK (~8.2m)</t>
  </si>
  <si>
    <t>236.4</t>
  </si>
  <si>
    <t>136.4</t>
  </si>
  <si>
    <t>211.9</t>
  </si>
  <si>
    <t>122.2</t>
  </si>
  <si>
    <t>81.5</t>
  </si>
  <si>
    <t>Consistency Limit</t>
  </si>
  <si>
    <t>204.0</t>
  </si>
  <si>
    <t>165.0</t>
  </si>
  <si>
    <t>117.7</t>
  </si>
  <si>
    <t>78.5</t>
  </si>
  <si>
    <t>Wiki Benchmark</t>
  </si>
  <si>
    <t>183.1</t>
  </si>
  <si>
    <t>105.6</t>
  </si>
  <si>
    <t>128.5</t>
  </si>
  <si>
    <t>124.2</t>
  </si>
  <si>
    <t>108.0</t>
  </si>
  <si>
    <t>71.6</t>
  </si>
  <si>
    <t>47.7</t>
  </si>
  <si>
    <t>103.5</t>
  </si>
  <si>
    <t>92.4</t>
  </si>
  <si>
    <t>59.7</t>
  </si>
  <si>
    <t>39.8</t>
  </si>
  <si>
    <t>Non-lethal Zone</t>
  </si>
  <si>
    <t>87.1</t>
  </si>
  <si>
    <t>78.2</t>
  </si>
  <si>
    <t>76.4</t>
  </si>
  <si>
    <t>68.3</t>
  </si>
  <si>
    <t>39.4</t>
  </si>
  <si>
    <t>Harassment</t>
  </si>
  <si>
    <t>61.8</t>
  </si>
  <si>
    <t>55.2</t>
  </si>
  <si>
    <t>35.6</t>
  </si>
  <si>
    <t>56.4</t>
  </si>
  <si>
    <t>50.4</t>
  </si>
  <si>
    <t>45.1</t>
  </si>
  <si>
    <t>38.6</t>
  </si>
  <si>
    <t>41.6</t>
  </si>
  <si>
    <t>16.0</t>
  </si>
  <si>
    <t>33.4</t>
  </si>
  <si>
    <t>37.6</t>
  </si>
  <si>
    <t>32.2</t>
  </si>
  <si>
    <t>36.8</t>
  </si>
  <si>
    <t>34.1</t>
  </si>
  <si>
    <t>11.0</t>
  </si>
  <si>
    <t>Spread Floor</t>
  </si>
  <si>
    <t>Short Barrel Shotguns</t>
  </si>
  <si>
    <t>Lemat Carbine =Rival</t>
  </si>
  <si>
    <t>Lemat = Rival Shorty</t>
  </si>
  <si>
    <t>Romero 77 Shorty Buckshot: Full Bleed-Adjusted Model (5m–30m)</t>
  </si>
  <si>
    <t>Specter 1882 Shorty Buckshot: Full Bleed-Adjusted Model (5m–30m)</t>
  </si>
  <si>
    <t>Terminus Shorty Buckshot: Full Bleed-Adjusted Model (5m–30m)</t>
  </si>
  <si>
    <t>Calculated with Short Barrel Fall-off and Spread 25 Hitbox Overlap.</t>
  </si>
  <si>
    <t>Calculated with Short Barrel Fall-off and Spread 45 Hitbox Overlap.</t>
  </si>
  <si>
    <t>Calculated with Short Barrel Fall-off and Spread 40 Hitbox Overlap.</t>
  </si>
  <si>
    <t>Tactical Status / Reliability</t>
  </si>
  <si>
    <t>Updated Point Blank Anchor</t>
  </si>
  <si>
    <t>127.5</t>
  </si>
  <si>
    <t>290.0</t>
  </si>
  <si>
    <t>223.0</t>
  </si>
  <si>
    <t>167.3</t>
  </si>
  <si>
    <t>111.5</t>
  </si>
  <si>
    <t>300.0</t>
  </si>
  <si>
    <t>173.1</t>
  </si>
  <si>
    <t>High Lethality Zone</t>
  </si>
  <si>
    <t>252.0</t>
  </si>
  <si>
    <t>193.8</t>
  </si>
  <si>
    <t>145.4</t>
  </si>
  <si>
    <t>96.9</t>
  </si>
  <si>
    <t>Last Arm OHK (~6.8m)</t>
  </si>
  <si>
    <t>267.0</t>
  </si>
  <si>
    <t>205.4</t>
  </si>
  <si>
    <t>154.0</t>
  </si>
  <si>
    <t>Last Arm OHK Threshold (~7.1m)</t>
  </si>
  <si>
    <t>288.0</t>
  </si>
  <si>
    <t>221.5</t>
  </si>
  <si>
    <t>166.2</t>
  </si>
  <si>
    <t>110.8</t>
  </si>
  <si>
    <t>Last Arm OHK (~8.4m)</t>
  </si>
  <si>
    <t>167.7</t>
  </si>
  <si>
    <t>125.8</t>
  </si>
  <si>
    <t>83.8</t>
  </si>
  <si>
    <t>236.0</t>
  </si>
  <si>
    <t>181.5</t>
  </si>
  <si>
    <t>136.2</t>
  </si>
  <si>
    <t>90.8</t>
  </si>
  <si>
    <t>Consistent One-Tap Potential</t>
  </si>
  <si>
    <t>200.0</t>
  </si>
  <si>
    <t>100.0</t>
  </si>
  <si>
    <t>196.0</t>
  </si>
  <si>
    <t>150.8</t>
  </si>
  <si>
    <t>113.1</t>
  </si>
  <si>
    <t>75.4</t>
  </si>
  <si>
    <t>212.5</t>
  </si>
  <si>
    <t>163.5</t>
  </si>
  <si>
    <t>122.6</t>
  </si>
  <si>
    <t>81.7</t>
  </si>
  <si>
    <t>Tight Pellet Control</t>
  </si>
  <si>
    <t>175.4</t>
  </si>
  <si>
    <t>193.0</t>
  </si>
  <si>
    <t>111.3</t>
  </si>
  <si>
    <t>74.2</t>
  </si>
  <si>
    <t>Last Lower Torso OHK (Bleed)</t>
  </si>
  <si>
    <t>214.0</t>
  </si>
  <si>
    <t>164.6</t>
  </si>
  <si>
    <t>82.3</t>
  </si>
  <si>
    <t>136.9</t>
  </si>
  <si>
    <t>144.6</t>
  </si>
  <si>
    <t>Official Menu Benchmark</t>
  </si>
  <si>
    <t>161.0</t>
  </si>
  <si>
    <t>123.8</t>
  </si>
  <si>
    <t>92.9</t>
  </si>
  <si>
    <t>61.9</t>
  </si>
  <si>
    <t>Lethality Limit / Tight Tracking Required</t>
  </si>
  <si>
    <t>68.1</t>
  </si>
  <si>
    <t>72.7</t>
  </si>
  <si>
    <t>48.5</t>
  </si>
  <si>
    <t>Reliability Cliff (Non-Lethal)</t>
  </si>
  <si>
    <t>92.3</t>
  </si>
  <si>
    <t>37.7</t>
  </si>
  <si>
    <t>Heavy Drop-off</t>
  </si>
  <si>
    <t>79.2</t>
  </si>
  <si>
    <t>Levering Two-Tap Zone</t>
  </si>
  <si>
    <t>102.0</t>
  </si>
  <si>
    <t>82.0</t>
  </si>
  <si>
    <t>63.1</t>
  </si>
  <si>
    <t>47.3</t>
  </si>
  <si>
    <t>Rapid Drop-off</t>
  </si>
  <si>
    <t>Strict Multi-Tap Required</t>
  </si>
  <si>
    <t>65.5</t>
  </si>
  <si>
    <t>37.8</t>
  </si>
  <si>
    <t>42.3</t>
  </si>
  <si>
    <t>Harassment Range</t>
  </si>
  <si>
    <t>46.5</t>
  </si>
  <si>
    <t>Inconsistent Zone Benchmark</t>
  </si>
  <si>
    <t>36.5</t>
  </si>
  <si>
    <t>14.0</t>
  </si>
  <si>
    <t>17.0</t>
  </si>
  <si>
    <t>Heavy Fall-off Benchmark</t>
  </si>
  <si>
    <t>Minimal Nuisance</t>
  </si>
  <si>
    <t>9.0</t>
  </si>
  <si>
    <t>Spread Floor Minimum</t>
  </si>
  <si>
    <t>Drilling Shorty should be the same as the Romero Shorty considering its spread and length</t>
  </si>
  <si>
    <t>Caldwell Rival 78 Handcannon: Full Bleed-Adjusted Model (5m–30m)</t>
  </si>
  <si>
    <t>Crown &amp; King Auto-4 Shorty: Full Bleed-Adjusted Model (5m–30m)</t>
  </si>
  <si>
    <t>Calculated with Short Barrel Fall-off and Spread 55 Hitbox Overlap</t>
  </si>
  <si>
    <t>Calculated with Short Barrel Fall-off and Spread 655 Hitbox Overlap</t>
  </si>
  <si>
    <t>273.9</t>
  </si>
  <si>
    <t>210.7</t>
  </si>
  <si>
    <t>105.3</t>
  </si>
  <si>
    <t>184.6</t>
  </si>
  <si>
    <t>138.5</t>
  </si>
  <si>
    <t>249.7</t>
  </si>
  <si>
    <t>192.1</t>
  </si>
  <si>
    <t>144.1</t>
  </si>
  <si>
    <t>96.0</t>
  </si>
  <si>
    <t>218.8</t>
  </si>
  <si>
    <t>168.3</t>
  </si>
  <si>
    <t>126.2</t>
  </si>
  <si>
    <t>84.1</t>
  </si>
  <si>
    <t>224.8</t>
  </si>
  <si>
    <t>173.0</t>
  </si>
  <si>
    <t>129.7</t>
  </si>
  <si>
    <t>151.5</t>
  </si>
  <si>
    <t>113.6</t>
  </si>
  <si>
    <t>75.8</t>
  </si>
  <si>
    <t>155.8</t>
  </si>
  <si>
    <t>116.8</t>
  </si>
  <si>
    <t>77.9</t>
  </si>
  <si>
    <t>Last Arm OHK (~6.2m)</t>
  </si>
  <si>
    <t>177.3</t>
  </si>
  <si>
    <t>Tight Center Tracking Required</t>
  </si>
  <si>
    <t>182.6</t>
  </si>
  <si>
    <t>70.2</t>
  </si>
  <si>
    <t>Last Lower Torso OHK</t>
  </si>
  <si>
    <t>160.0</t>
  </si>
  <si>
    <t>123.1</t>
  </si>
  <si>
    <t>61.5</t>
  </si>
  <si>
    <t>Consistency Limit Edge</t>
  </si>
  <si>
    <t>164.9</t>
  </si>
  <si>
    <t>126.9</t>
  </si>
  <si>
    <t>95.1</t>
  </si>
  <si>
    <t>63.5</t>
  </si>
  <si>
    <t>Last Upper Torso OHK Limit (~9.9m)</t>
  </si>
  <si>
    <t>121.5</t>
  </si>
  <si>
    <t>91.2</t>
  </si>
  <si>
    <t>✅ Listed Benchmark</t>
  </si>
  <si>
    <t>59.2</t>
  </si>
  <si>
    <t>New Official Menu Benchmark</t>
  </si>
  <si>
    <t>149.0</t>
  </si>
  <si>
    <t>114.6</t>
  </si>
  <si>
    <t>86.0</t>
  </si>
  <si>
    <t>57.3</t>
  </si>
  <si>
    <t>Reliability Cliff (UT)</t>
  </si>
  <si>
    <t>141.0</t>
  </si>
  <si>
    <t>81.3</t>
  </si>
  <si>
    <t>54.2</t>
  </si>
  <si>
    <t>Reliability Cliff (Strict 2-Tap Zone)</t>
  </si>
  <si>
    <t>127.1</t>
  </si>
  <si>
    <t>97.8</t>
  </si>
  <si>
    <t>73.3</t>
  </si>
  <si>
    <t>48.9</t>
  </si>
  <si>
    <t>120.3</t>
  </si>
  <si>
    <t>92.5</t>
  </si>
  <si>
    <t>69.4</t>
  </si>
  <si>
    <t>46.3</t>
  </si>
  <si>
    <t>Semi-Auto Cycle Required</t>
  </si>
  <si>
    <t>108.7</t>
  </si>
  <si>
    <t>83.6</t>
  </si>
  <si>
    <t>62.7</t>
  </si>
  <si>
    <t>41.8</t>
  </si>
  <si>
    <t>102.8</t>
  </si>
  <si>
    <t>79.1</t>
  </si>
  <si>
    <t>59.3</t>
  </si>
  <si>
    <t>39.5</t>
  </si>
  <si>
    <t>74.8</t>
  </si>
  <si>
    <t>56.1</t>
  </si>
  <si>
    <t>37.4</t>
  </si>
  <si>
    <t>92.1</t>
  </si>
  <si>
    <t>68.4</t>
  </si>
  <si>
    <t>51.3</t>
  </si>
  <si>
    <t>34.2</t>
  </si>
  <si>
    <t>84.2</t>
  </si>
  <si>
    <t>64.8</t>
  </si>
  <si>
    <t>48.6</t>
  </si>
  <si>
    <t>32.4</t>
  </si>
  <si>
    <t>Strict Multi-Tap Zone</t>
  </si>
  <si>
    <t>76.3</t>
  </si>
  <si>
    <t>58.7</t>
  </si>
  <si>
    <t>72.2</t>
  </si>
  <si>
    <t>55.5</t>
  </si>
  <si>
    <t>41.7</t>
  </si>
  <si>
    <t>52.1</t>
  </si>
  <si>
    <t>39.1</t>
  </si>
  <si>
    <t>64.1</t>
  </si>
  <si>
    <t>49.3</t>
  </si>
  <si>
    <t>60.5</t>
  </si>
  <si>
    <t>34.9</t>
  </si>
  <si>
    <t>33.1</t>
  </si>
  <si>
    <t>54.1</t>
  </si>
  <si>
    <t>51.2</t>
  </si>
  <si>
    <t>43.0</t>
  </si>
  <si>
    <t>32.6</t>
  </si>
  <si>
    <t>40.1</t>
  </si>
  <si>
    <t>36.7</t>
  </si>
  <si>
    <t>34.8</t>
  </si>
  <si>
    <t>32.8</t>
  </si>
  <si>
    <t>Lemat should be the same as the Rival Shorty considering its spread and length</t>
  </si>
  <si>
    <t>Cavalry HV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</si>
</sst>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76" formatCode="0.00000000"/>
    <numFmt numFmtId="177" formatCode="d\.m"/>
    <numFmt numFmtId="178" formatCode="0.000000000000"/>
    <numFmt numFmtId="179" formatCode="0.0000000"/>
    <numFmt numFmtId="180" formatCode="d/m"/>
  </numFmts>
  <fonts count="87">
    <font>
      <sz val="10"/>
      <color rgb="FF000000"/>
      <name val="Arial"/>
      <scheme val="minor"/>
    </font>
    <font>
      <sz val="10"/>
      <color theme="1"/>
      <name val="Arial"/>
      <scheme val="minor"/>
    </font>
    <font>
      <b/>
      <sz val="32"/>
      <color theme="1"/>
      <name val="Calibri"/>
    </font>
    <font>
      <sz val="10"/>
      <name val="Arial"/>
    </font>
    <font>
      <sz val="10"/>
      <color theme="1"/>
      <name val="Arial"/>
    </font>
    <font>
      <b/>
      <u/>
      <sz val="18"/>
      <color theme="1"/>
      <name val="Calibri"/>
    </font>
    <font>
      <b/>
      <sz val="20"/>
      <color rgb="FF000000"/>
      <name val="Arial"/>
      <scheme val="minor"/>
    </font>
    <font>
      <b/>
      <sz val="10"/>
      <color rgb="FFFF0000"/>
      <name val="Arial"/>
      <scheme val="minor"/>
    </font>
    <font>
      <b/>
      <sz val="11"/>
      <color rgb="FFFFFFFF"/>
      <name val="Calibri"/>
    </font>
    <font>
      <sz val="10"/>
      <color theme="1"/>
      <name val="Calibri"/>
    </font>
    <font>
      <sz val="7"/>
      <color theme="1"/>
      <name val="Calibri"/>
    </font>
    <font>
      <b/>
      <u/>
      <sz val="18"/>
      <color theme="1"/>
      <name val="Calibri"/>
    </font>
    <font>
      <b/>
      <sz val="10"/>
      <color theme="1"/>
      <name val="Arial"/>
      <scheme val="minor"/>
    </font>
    <font>
      <sz val="9"/>
      <color theme="1"/>
      <name val="Arial"/>
      <scheme val="minor"/>
    </font>
    <font>
      <b/>
      <sz val="9"/>
      <color rgb="FFFFFFFF"/>
      <name val="Calibri"/>
    </font>
    <font>
      <sz val="8"/>
      <color theme="1"/>
      <name val="Arial"/>
      <scheme val="minor"/>
    </font>
    <font>
      <b/>
      <sz val="10"/>
      <color rgb="FFFFFFFF"/>
      <name val="Calibri"/>
    </font>
    <font>
      <sz val="7"/>
      <color theme="1"/>
      <name val="Arial"/>
      <scheme val="minor"/>
    </font>
    <font>
      <b/>
      <sz val="13"/>
      <color theme="1"/>
      <name val="Arial"/>
      <scheme val="minor"/>
    </font>
    <font>
      <b/>
      <sz val="10"/>
      <color theme="1"/>
      <name val="Calibri"/>
    </font>
    <font>
      <b/>
      <sz val="17"/>
      <color rgb="FFFF0000"/>
      <name val="Arial"/>
      <scheme val="minor"/>
    </font>
    <font>
      <sz val="11"/>
      <color theme="1"/>
      <name val="Arial"/>
    </font>
    <font>
      <b/>
      <sz val="14"/>
      <color theme="1"/>
      <name val="Arial"/>
    </font>
    <font>
      <b/>
      <sz val="11"/>
      <color theme="1"/>
      <name val="Arial"/>
    </font>
    <font>
      <sz val="8"/>
      <color theme="1"/>
      <name val="Arial"/>
    </font>
    <font>
      <sz val="9"/>
      <color theme="1"/>
      <name val="Arial"/>
    </font>
    <font>
      <sz val="11"/>
      <color theme="1"/>
      <name val="Arial"/>
      <scheme val="minor"/>
    </font>
    <font>
      <b/>
      <sz val="17"/>
      <color theme="1"/>
      <name val="Calibri"/>
    </font>
    <font>
      <b/>
      <u/>
      <sz val="28"/>
      <color theme="1"/>
      <name val="Calibri"/>
    </font>
    <font>
      <b/>
      <sz val="25"/>
      <color theme="1"/>
      <name val="Arial"/>
      <scheme val="minor"/>
    </font>
    <font>
      <sz val="10"/>
      <color theme="1"/>
      <name val="Arial"/>
    </font>
    <font>
      <b/>
      <u/>
      <sz val="11"/>
      <color theme="1"/>
      <name val="Calibri"/>
    </font>
    <font>
      <b/>
      <sz val="12"/>
      <color theme="1"/>
      <name val="&quot;Google Sans&quot;"/>
    </font>
    <font>
      <b/>
      <u/>
      <sz val="28"/>
      <color theme="1"/>
      <name val="Calibri"/>
      <family val="2"/>
    </font>
    <font>
      <b/>
      <sz val="11"/>
      <color theme="1"/>
      <name val="Calibri"/>
      <family val="2"/>
    </font>
    <font>
      <b/>
      <sz val="11"/>
      <color rgb="FFFFFF00"/>
      <name val="Calibri"/>
      <family val="2"/>
    </font>
    <font>
      <b/>
      <sz val="11"/>
      <color rgb="FF00FF00"/>
      <name val="Calibri"/>
      <family val="2"/>
    </font>
    <font>
      <b/>
      <sz val="7"/>
      <color rgb="FFFFFFFF"/>
      <name val="Calibri"/>
      <family val="2"/>
    </font>
    <font>
      <b/>
      <sz val="7"/>
      <color rgb="FF00FF00"/>
      <name val="Calibri"/>
      <family val="2"/>
    </font>
    <font>
      <b/>
      <sz val="9"/>
      <color rgb="FF00FF00"/>
      <name val="Calibri"/>
      <family val="2"/>
    </font>
    <font>
      <b/>
      <strike/>
      <sz val="11"/>
      <color rgb="FF980000"/>
      <name val="Calibri"/>
      <family val="2"/>
    </font>
    <font>
      <b/>
      <sz val="8"/>
      <color rgb="FFFFFFFF"/>
      <name val="Calibri"/>
      <family val="2"/>
    </font>
    <font>
      <b/>
      <sz val="8"/>
      <color rgb="FF00FF00"/>
      <name val="Calibri"/>
      <family val="2"/>
    </font>
    <font>
      <sz val="10"/>
      <color rgb="FFFF0000"/>
      <name val="Calibri"/>
      <family val="2"/>
    </font>
    <font>
      <b/>
      <strike/>
      <sz val="9"/>
      <color rgb="FF980000"/>
      <name val="Calibri"/>
      <family val="2"/>
    </font>
    <font>
      <b/>
      <sz val="11"/>
      <color rgb="FF000000"/>
      <name val="Calibri"/>
      <family val="2"/>
    </font>
    <font>
      <b/>
      <sz val="10"/>
      <color rgb="FF00FF00"/>
      <name val="Calibri"/>
      <family val="2"/>
    </font>
    <font>
      <sz val="10"/>
      <color rgb="FFFF0000"/>
      <name val="Arial"/>
      <family val="2"/>
      <scheme val="minor"/>
    </font>
    <font>
      <b/>
      <sz val="10"/>
      <color rgb="FFFF9900"/>
      <name val="Arial"/>
      <family val="2"/>
      <scheme val="minor"/>
    </font>
    <font>
      <sz val="6"/>
      <color theme="1"/>
      <name val="Arial"/>
      <family val="2"/>
      <scheme val="minor"/>
    </font>
    <font>
      <b/>
      <u/>
      <sz val="17"/>
      <color theme="1"/>
      <name val="Calibri"/>
      <family val="2"/>
    </font>
    <font>
      <sz val="11"/>
      <color theme="1"/>
      <name val="Calibri"/>
      <family val="2"/>
    </font>
    <font>
      <b/>
      <u/>
      <sz val="17"/>
      <color theme="1"/>
      <name val="Calibri"/>
      <family val="2"/>
    </font>
    <font>
      <b/>
      <u/>
      <sz val="11"/>
      <color theme="1"/>
      <name val="Calibri"/>
      <family val="2"/>
    </font>
    <font>
      <b/>
      <u/>
      <sz val="11"/>
      <color theme="1"/>
      <name val="Calibri"/>
      <family val="2"/>
    </font>
    <font>
      <b/>
      <u/>
      <sz val="11"/>
      <color theme="1"/>
      <name val="Calibri"/>
      <family val="2"/>
    </font>
    <font>
      <b/>
      <sz val="6"/>
      <color rgb="FFFFFFFF"/>
      <name val="Calibri"/>
      <family val="2"/>
    </font>
    <font>
      <b/>
      <sz val="6"/>
      <color rgb="FF00FF00"/>
      <name val="Calibri"/>
      <family val="2"/>
    </font>
    <font>
      <b/>
      <u/>
      <sz val="18"/>
      <color theme="1"/>
      <name val="Calibri"/>
      <family val="2"/>
    </font>
    <font>
      <sz val="10"/>
      <color theme="1"/>
      <name val="Calibri"/>
      <family val="2"/>
    </font>
    <font>
      <b/>
      <sz val="10"/>
      <color rgb="FFFFFFFF"/>
      <name val="Calibri"/>
      <family val="2"/>
    </font>
    <font>
      <sz val="9"/>
      <color theme="1"/>
      <name val="Calibri"/>
      <family val="2"/>
    </font>
    <font>
      <b/>
      <u/>
      <sz val="14"/>
      <color theme="1"/>
      <name val="Calibri"/>
      <family val="2"/>
    </font>
    <font>
      <sz val="10"/>
      <color rgb="FF000000"/>
      <name val="Calibri"/>
      <family val="2"/>
    </font>
    <font>
      <b/>
      <u/>
      <sz val="28"/>
      <color theme="1"/>
      <name val="Calibri"/>
      <family val="2"/>
    </font>
    <font>
      <b/>
      <sz val="16"/>
      <color theme="1"/>
      <name val="Calibri"/>
      <family val="2"/>
    </font>
    <font>
      <b/>
      <sz val="21"/>
      <color theme="1"/>
      <name val="Arial"/>
      <family val="2"/>
      <scheme val="minor"/>
    </font>
    <font>
      <sz val="5"/>
      <color theme="1"/>
      <name val="Arial"/>
      <family val="2"/>
    </font>
    <font>
      <sz val="10"/>
      <color theme="1"/>
      <name val="Arial"/>
      <family val="2"/>
      <scheme val="minor"/>
    </font>
    <font>
      <sz val="5"/>
      <color theme="1"/>
      <name val="Arial"/>
      <family val="2"/>
      <scheme val="minor"/>
    </font>
    <font>
      <sz val="7"/>
      <color theme="1"/>
      <name val="Arial"/>
      <family val="2"/>
    </font>
    <font>
      <b/>
      <sz val="15"/>
      <color theme="1"/>
      <name val="Arial"/>
      <family val="2"/>
      <scheme val="minor"/>
    </font>
    <font>
      <b/>
      <sz val="5"/>
      <color rgb="FFFFFFFF"/>
      <name val="Calibri"/>
      <family val="2"/>
    </font>
    <font>
      <b/>
      <sz val="11"/>
      <color rgb="FFFF0000"/>
      <name val="Calibri"/>
      <family val="2"/>
    </font>
    <font>
      <sz val="15"/>
      <color rgb="FFADAFB8"/>
      <name val="&quot;Google Sans&quot;"/>
    </font>
    <font>
      <b/>
      <sz val="15"/>
      <color rgb="FFADAFB8"/>
      <name val="&quot;Google Sans&quot;"/>
    </font>
    <font>
      <b/>
      <sz val="11"/>
      <color rgb="FFE6E8F0"/>
      <name val="&quot;Google Sans&quot;"/>
    </font>
    <font>
      <b/>
      <sz val="12"/>
      <color rgb="FFADAFB8"/>
      <name val="&quot;Google Sans&quot;"/>
    </font>
    <font>
      <b/>
      <sz val="12"/>
      <color rgb="FFE6E8F0"/>
      <name val="&quot;Google Sans&quot;"/>
    </font>
    <font>
      <sz val="11"/>
      <color rgb="FFE6E8F0"/>
      <name val="&quot;Google Sans&quot;"/>
    </font>
    <font>
      <sz val="12"/>
      <color rgb="FFE6E8F0"/>
      <name val="&quot;Google Sans&quot;"/>
    </font>
    <font>
      <b/>
      <sz val="10"/>
      <color theme="1"/>
      <name val="Arial"/>
      <family val="2"/>
      <scheme val="minor"/>
    </font>
    <font>
      <i/>
      <sz val="12"/>
      <color rgb="FFADAFB8"/>
      <name val="&quot;Google Sans&quot;"/>
    </font>
    <font>
      <b/>
      <sz val="11"/>
      <color rgb="FFFFFFFF"/>
      <name val="Calibri"/>
      <family val="2"/>
    </font>
    <font>
      <sz val="11"/>
      <color rgb="FFFFFFFF"/>
      <name val="Calibri"/>
      <family val="2"/>
    </font>
    <font>
      <sz val="11"/>
      <color rgb="FFFF0000"/>
      <name val="Calibri"/>
      <family val="2"/>
    </font>
    <font>
      <sz val="8"/>
      <name val="Arial"/>
      <family val="3"/>
      <charset val="129"/>
      <scheme val="minor"/>
    </font>
  </fonts>
  <fills count="94">
    <fill>
      <patternFill patternType="none"/>
    </fill>
    <fill>
      <patternFill patternType="gray125"/>
    </fill>
    <fill>
      <patternFill patternType="solid">
        <fgColor rgb="FFA5A5A5"/>
        <bgColor rgb="FFA5A5A5"/>
      </patternFill>
    </fill>
    <fill>
      <patternFill patternType="solid">
        <fgColor rgb="FFF8696B"/>
        <bgColor rgb="FFF8696B"/>
      </patternFill>
    </fill>
    <fill>
      <patternFill patternType="solid">
        <fgColor rgb="FFF9776A"/>
        <bgColor rgb="FFF9776A"/>
      </patternFill>
    </fill>
    <fill>
      <patternFill patternType="solid">
        <fgColor rgb="FFFA8369"/>
        <bgColor rgb="FFFA8369"/>
      </patternFill>
    </fill>
    <fill>
      <patternFill patternType="solid">
        <fgColor rgb="FFFB8B69"/>
        <bgColor rgb="FFFB8B69"/>
      </patternFill>
    </fill>
    <fill>
      <patternFill patternType="solid">
        <fgColor rgb="FFFDB567"/>
        <bgColor rgb="FFFDB567"/>
      </patternFill>
    </fill>
    <fill>
      <patternFill patternType="solid">
        <fgColor rgb="FF00FF00"/>
        <bgColor rgb="FF00FF00"/>
      </patternFill>
    </fill>
    <fill>
      <patternFill patternType="solid">
        <fgColor rgb="FFFC9C68"/>
        <bgColor rgb="FFFC9C68"/>
      </patternFill>
    </fill>
    <fill>
      <patternFill patternType="solid">
        <fgColor rgb="FFFDAF67"/>
        <bgColor rgb="FFFDAF67"/>
      </patternFill>
    </fill>
    <fill>
      <patternFill patternType="solid">
        <fgColor rgb="FFFEC966"/>
        <bgColor rgb="FFFEC966"/>
      </patternFill>
    </fill>
    <fill>
      <patternFill patternType="solid">
        <fgColor rgb="FFF96F6A"/>
        <bgColor rgb="FFF96F6A"/>
      </patternFill>
    </fill>
    <fill>
      <patternFill patternType="solid">
        <fgColor rgb="FFFB9169"/>
        <bgColor rgb="FFFB9169"/>
      </patternFill>
    </fill>
    <fill>
      <patternFill patternType="solid">
        <fgColor rgb="FFFDB267"/>
        <bgColor rgb="FFFDB267"/>
      </patternFill>
    </fill>
    <fill>
      <patternFill patternType="solid">
        <fgColor rgb="FFFEC666"/>
        <bgColor rgb="FFFEC666"/>
      </patternFill>
    </fill>
    <fill>
      <patternFill patternType="solid">
        <fgColor rgb="FFFDD867"/>
        <bgColor rgb="FFFDD867"/>
      </patternFill>
    </fill>
    <fill>
      <patternFill patternType="solid">
        <fgColor rgb="FFFA8869"/>
        <bgColor rgb="FFFA8869"/>
      </patternFill>
    </fill>
    <fill>
      <patternFill patternType="solid">
        <fgColor rgb="FFFDAA68"/>
        <bgColor rgb="FFFDAA68"/>
      </patternFill>
    </fill>
    <fill>
      <patternFill patternType="solid">
        <fgColor theme="0"/>
        <bgColor theme="0"/>
      </patternFill>
    </fill>
    <fill>
      <patternFill patternType="solid">
        <fgColor rgb="FFFFFF00"/>
        <bgColor rgb="FFFFFF00"/>
      </patternFill>
    </fill>
    <fill>
      <patternFill patternType="solid">
        <fgColor rgb="FFFB8E69"/>
        <bgColor rgb="FFFB8E69"/>
      </patternFill>
    </fill>
    <fill>
      <patternFill patternType="solid">
        <fgColor rgb="FFFA8270"/>
        <bgColor rgb="FFFA8270"/>
      </patternFill>
    </fill>
    <fill>
      <patternFill patternType="solid">
        <fgColor rgb="FFFB9975"/>
        <bgColor rgb="FFFB9975"/>
      </patternFill>
    </fill>
    <fill>
      <patternFill patternType="solid">
        <fgColor rgb="FFFCAA78"/>
        <bgColor rgb="FFFCAA78"/>
      </patternFill>
    </fill>
    <fill>
      <patternFill patternType="solid">
        <fgColor rgb="FFFDBB7B"/>
        <bgColor rgb="FFFDBB7B"/>
      </patternFill>
    </fill>
    <fill>
      <patternFill patternType="solid">
        <fgColor rgb="FFFEC87E"/>
        <bgColor rgb="FFFEC87E"/>
      </patternFill>
    </fill>
    <fill>
      <patternFill patternType="solid">
        <fgColor rgb="FFFECD7F"/>
        <bgColor rgb="FFFECD7F"/>
      </patternFill>
    </fill>
    <fill>
      <patternFill patternType="solid">
        <fgColor rgb="FFFED380"/>
        <bgColor rgb="FFFED380"/>
      </patternFill>
    </fill>
    <fill>
      <patternFill patternType="solid">
        <fgColor rgb="FFFED781"/>
        <bgColor rgb="FFFED781"/>
      </patternFill>
    </fill>
    <fill>
      <patternFill patternType="solid">
        <fgColor rgb="FFFFDB81"/>
        <bgColor rgb="FFFFDB81"/>
      </patternFill>
    </fill>
    <fill>
      <patternFill patternType="solid">
        <fgColor rgb="FFFFE884"/>
        <bgColor rgb="FFFFE884"/>
      </patternFill>
    </fill>
    <fill>
      <patternFill patternType="solid">
        <fgColor rgb="FFE2E282"/>
        <bgColor rgb="FFE2E282"/>
      </patternFill>
    </fill>
    <fill>
      <patternFill patternType="solid">
        <fgColor rgb="FFC6DA80"/>
        <bgColor rgb="FFC6DA80"/>
      </patternFill>
    </fill>
    <fill>
      <patternFill patternType="solid">
        <fgColor rgb="FF9BCE7E"/>
        <bgColor rgb="FF9BCE7E"/>
      </patternFill>
    </fill>
    <fill>
      <patternFill patternType="solid">
        <fgColor rgb="FF63BE7B"/>
        <bgColor rgb="FF63BE7B"/>
      </patternFill>
    </fill>
    <fill>
      <patternFill patternType="solid">
        <fgColor rgb="FFFFD966"/>
        <bgColor rgb="FFFFD966"/>
      </patternFill>
    </fill>
    <fill>
      <patternFill patternType="solid">
        <fgColor rgb="FFEFD86B"/>
        <bgColor rgb="FFEFD86B"/>
      </patternFill>
    </fill>
    <fill>
      <patternFill patternType="solid">
        <fgColor rgb="FFEBD76D"/>
        <bgColor rgb="FFEBD76D"/>
      </patternFill>
    </fill>
    <fill>
      <patternFill patternType="solid">
        <fgColor rgb="FFE7D76E"/>
        <bgColor rgb="FFE7D76E"/>
      </patternFill>
    </fill>
    <fill>
      <patternFill patternType="solid">
        <fgColor rgb="FFDDD671"/>
        <bgColor rgb="FFDDD671"/>
      </patternFill>
    </fill>
    <fill>
      <patternFill patternType="solid">
        <fgColor rgb="FFD4D674"/>
        <bgColor rgb="FFD4D674"/>
      </patternFill>
    </fill>
    <fill>
      <patternFill patternType="solid">
        <fgColor rgb="FFCAD577"/>
        <bgColor rgb="FFCAD577"/>
      </patternFill>
    </fill>
    <fill>
      <patternFill patternType="solid">
        <fgColor rgb="FFBCD47C"/>
        <bgColor rgb="FFBCD47C"/>
      </patternFill>
    </fill>
    <fill>
      <patternFill patternType="solid">
        <fgColor rgb="FFB2D47F"/>
        <bgColor rgb="FFB2D47F"/>
      </patternFill>
    </fill>
    <fill>
      <patternFill patternType="solid">
        <fgColor rgb="FFE9D76D"/>
        <bgColor rgb="FFE9D76D"/>
      </patternFill>
    </fill>
    <fill>
      <patternFill patternType="solid">
        <fgColor rgb="FFE5D76F"/>
        <bgColor rgb="FFE5D76F"/>
      </patternFill>
    </fill>
    <fill>
      <patternFill patternType="solid">
        <fgColor rgb="FFE1D770"/>
        <bgColor rgb="FFE1D770"/>
      </patternFill>
    </fill>
    <fill>
      <patternFill patternType="solid">
        <fgColor rgb="FFDBD672"/>
        <bgColor rgb="FFDBD672"/>
      </patternFill>
    </fill>
    <fill>
      <patternFill patternType="solid">
        <fgColor rgb="FFD2D675"/>
        <bgColor rgb="FFD2D675"/>
      </patternFill>
    </fill>
    <fill>
      <patternFill patternType="solid">
        <fgColor rgb="FFC8D578"/>
        <bgColor rgb="FFC8D578"/>
      </patternFill>
    </fill>
    <fill>
      <patternFill patternType="solid">
        <fgColor rgb="FFC0D57A"/>
        <bgColor rgb="FFC0D57A"/>
      </patternFill>
    </fill>
    <fill>
      <patternFill patternType="solid">
        <fgColor rgb="FFB8D47D"/>
        <bgColor rgb="FFB8D47D"/>
      </patternFill>
    </fill>
    <fill>
      <patternFill patternType="solid">
        <fgColor rgb="FFB1D47F"/>
        <bgColor rgb="FFB1D47F"/>
      </patternFill>
    </fill>
    <fill>
      <patternFill patternType="solid">
        <fgColor rgb="FFF9D868"/>
        <bgColor rgb="FFF9D868"/>
      </patternFill>
    </fill>
    <fill>
      <patternFill patternType="solid">
        <fgColor rgb="FFDFD770"/>
        <bgColor rgb="FFDFD770"/>
      </patternFill>
    </fill>
    <fill>
      <patternFill patternType="solid">
        <fgColor rgb="FFD8D673"/>
        <bgColor rgb="FFD8D673"/>
      </patternFill>
    </fill>
    <fill>
      <patternFill patternType="solid">
        <fgColor rgb="FFC2D57A"/>
        <bgColor rgb="FFC2D57A"/>
      </patternFill>
    </fill>
    <fill>
      <patternFill patternType="solid">
        <fgColor rgb="FFBED47B"/>
        <bgColor rgb="FFBED47B"/>
      </patternFill>
    </fill>
    <fill>
      <patternFill patternType="solid">
        <fgColor rgb="FFFF0000"/>
        <bgColor rgb="FFFF0000"/>
      </patternFill>
    </fill>
    <fill>
      <patternFill patternType="solid">
        <fgColor rgb="FFFF9900"/>
        <bgColor rgb="FFFF9900"/>
      </patternFill>
    </fill>
    <fill>
      <patternFill patternType="solid">
        <fgColor rgb="FF92D050"/>
        <bgColor rgb="FF92D050"/>
      </patternFill>
    </fill>
    <fill>
      <patternFill patternType="solid">
        <fgColor rgb="FFDD7E6B"/>
        <bgColor rgb="FFDD7E6B"/>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FFFFFF"/>
        <bgColor rgb="FFFFFFFF"/>
      </patternFill>
    </fill>
    <fill>
      <patternFill patternType="solid">
        <fgColor rgb="FFFCA168"/>
        <bgColor rgb="FFFCA168"/>
      </patternFill>
    </fill>
    <fill>
      <patternFill patternType="solid">
        <fgColor rgb="FFFEBD67"/>
        <bgColor rgb="FFFEBD67"/>
      </patternFill>
    </fill>
    <fill>
      <patternFill patternType="solid">
        <fgColor rgb="FFFFD766"/>
        <bgColor rgb="FFFFD766"/>
      </patternFill>
    </fill>
    <fill>
      <patternFill patternType="solid">
        <fgColor rgb="FFB7B7B7"/>
        <bgColor rgb="FFB7B7B7"/>
      </patternFill>
    </fill>
    <fill>
      <patternFill patternType="solid">
        <fgColor rgb="FFD9D9D9"/>
        <bgColor rgb="FFD9D9D9"/>
      </patternFill>
    </fill>
    <fill>
      <patternFill patternType="solid">
        <fgColor rgb="FFCCCCCC"/>
        <bgColor rgb="FFCCCCCC"/>
      </patternFill>
    </fill>
    <fill>
      <patternFill patternType="solid">
        <fgColor rgb="FFEFD76C"/>
        <bgColor rgb="FFEFD76C"/>
      </patternFill>
    </fill>
    <fill>
      <patternFill patternType="solid">
        <fgColor rgb="FFD3D674"/>
        <bgColor rgb="FFD3D674"/>
      </patternFill>
    </fill>
    <fill>
      <patternFill patternType="solid">
        <fgColor rgb="FFD0D675"/>
        <bgColor rgb="FFD0D675"/>
      </patternFill>
    </fill>
    <fill>
      <patternFill patternType="solid">
        <fgColor rgb="FFCDD576"/>
        <bgColor rgb="FFCDD576"/>
      </patternFill>
    </fill>
    <fill>
      <patternFill patternType="solid">
        <fgColor rgb="FFC7D578"/>
        <bgColor rgb="FFC7D578"/>
      </patternFill>
    </fill>
    <fill>
      <patternFill patternType="solid">
        <fgColor rgb="FFC3D57A"/>
        <bgColor rgb="FFC3D57A"/>
      </patternFill>
    </fill>
    <fill>
      <patternFill patternType="solid">
        <fgColor rgb="FFBAD47C"/>
        <bgColor rgb="FFBAD47C"/>
      </patternFill>
    </fill>
    <fill>
      <patternFill patternType="solid">
        <fgColor rgb="FFB6D47E"/>
        <bgColor rgb="FFB6D47E"/>
      </patternFill>
    </fill>
    <fill>
      <patternFill patternType="solid">
        <fgColor rgb="FFFCD867"/>
        <bgColor rgb="FFFCD867"/>
      </patternFill>
    </fill>
    <fill>
      <patternFill patternType="solid">
        <fgColor rgb="FFF0D86B"/>
        <bgColor rgb="FFF0D86B"/>
      </patternFill>
    </fill>
    <fill>
      <patternFill patternType="solid">
        <fgColor rgb="FFD7D673"/>
        <bgColor rgb="FFD7D673"/>
      </patternFill>
    </fill>
    <fill>
      <patternFill patternType="solid">
        <fgColor rgb="FFD1D675"/>
        <bgColor rgb="FFD1D675"/>
      </patternFill>
    </fill>
    <fill>
      <patternFill patternType="solid">
        <fgColor rgb="FFCED576"/>
        <bgColor rgb="FFCED576"/>
      </patternFill>
    </fill>
    <fill>
      <patternFill patternType="solid">
        <fgColor rgb="FFC9D578"/>
        <bgColor rgb="FFC9D578"/>
      </patternFill>
    </fill>
    <fill>
      <patternFill patternType="solid">
        <fgColor rgb="FFC4D579"/>
        <bgColor rgb="FFC4D579"/>
      </patternFill>
    </fill>
    <fill>
      <patternFill patternType="solid">
        <fgColor rgb="FFBFD47B"/>
        <bgColor rgb="FFBFD47B"/>
      </patternFill>
    </fill>
    <fill>
      <patternFill patternType="solid">
        <fgColor rgb="FFBAD47D"/>
        <bgColor rgb="FFBAD47D"/>
      </patternFill>
    </fill>
    <fill>
      <patternFill patternType="solid">
        <fgColor rgb="FFB4D47E"/>
        <bgColor rgb="FFB4D47E"/>
      </patternFill>
    </fill>
    <fill>
      <patternFill patternType="solid">
        <fgColor rgb="FF363840"/>
        <bgColor rgb="FF363840"/>
      </patternFill>
    </fill>
    <fill>
      <patternFill patternType="solid">
        <fgColor rgb="FF22242A"/>
        <bgColor rgb="FF22242A"/>
      </patternFill>
    </fill>
  </fills>
  <borders count="14">
    <border>
      <left/>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double">
        <color rgb="FF3F3F3F"/>
      </left>
      <right style="double">
        <color rgb="FF3F3F3F"/>
      </right>
      <top/>
      <bottom style="double">
        <color rgb="FF3F3F3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double">
        <color rgb="FF3F3F3F"/>
      </right>
      <top style="double">
        <color rgb="FF3F3F3F"/>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
      <left/>
      <right/>
      <top/>
      <bottom style="thin">
        <color rgb="FF363840"/>
      </bottom>
      <diagonal/>
    </border>
  </borders>
  <cellStyleXfs count="1">
    <xf numFmtId="0" fontId="0" fillId="0" borderId="0"/>
  </cellStyleXfs>
  <cellXfs count="363">
    <xf numFmtId="0" fontId="0" fillId="0" borderId="0" xfId="0" applyFont="1" applyAlignment="1"/>
    <xf numFmtId="0" fontId="1" fillId="0" borderId="0" xfId="0" applyFont="1"/>
    <xf numFmtId="0" fontId="1" fillId="0" borderId="0" xfId="0" applyFont="1"/>
    <xf numFmtId="0" fontId="1"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xf numFmtId="0" fontId="6" fillId="0" borderId="0" xfId="0" applyFont="1" applyAlignment="1"/>
    <xf numFmtId="0" fontId="7" fillId="0" borderId="0" xfId="0" applyFont="1"/>
    <xf numFmtId="0" fontId="8" fillId="2" borderId="7" xfId="0" applyFont="1" applyFill="1" applyBorder="1" applyAlignment="1"/>
    <xf numFmtId="0" fontId="9" fillId="3" borderId="8" xfId="0" applyFont="1" applyFill="1" applyBorder="1" applyAlignment="1">
      <alignment horizontal="center"/>
    </xf>
    <xf numFmtId="0" fontId="9" fillId="4" borderId="8" xfId="0" applyFont="1" applyFill="1" applyBorder="1" applyAlignment="1">
      <alignment horizontal="center"/>
    </xf>
    <xf numFmtId="0" fontId="10" fillId="4" borderId="8" xfId="0" applyFont="1" applyFill="1" applyBorder="1" applyAlignment="1">
      <alignment horizontal="center"/>
    </xf>
    <xf numFmtId="0" fontId="9" fillId="5" borderId="8" xfId="0" applyFont="1" applyFill="1" applyBorder="1" applyAlignment="1">
      <alignment horizontal="center"/>
    </xf>
    <xf numFmtId="0" fontId="1" fillId="0" borderId="0" xfId="0" applyFont="1" applyAlignment="1"/>
    <xf numFmtId="0" fontId="11" fillId="0" borderId="9" xfId="0" applyFont="1" applyBorder="1" applyAlignment="1"/>
    <xf numFmtId="2" fontId="8" fillId="2" borderId="10" xfId="0" applyNumberFormat="1" applyFont="1" applyFill="1" applyBorder="1" applyAlignment="1">
      <alignment horizontal="center"/>
    </xf>
    <xf numFmtId="1" fontId="8" fillId="2" borderId="10" xfId="0" applyNumberFormat="1" applyFont="1" applyFill="1" applyBorder="1" applyAlignment="1">
      <alignment horizontal="center"/>
    </xf>
    <xf numFmtId="176" fontId="1" fillId="0" borderId="0" xfId="0" applyNumberFormat="1" applyFont="1"/>
    <xf numFmtId="0" fontId="9" fillId="3" borderId="8" xfId="0" applyFont="1" applyFill="1" applyBorder="1" applyAlignment="1">
      <alignment horizontal="center"/>
    </xf>
    <xf numFmtId="0" fontId="9" fillId="4" borderId="8" xfId="0" applyFont="1" applyFill="1" applyBorder="1" applyAlignment="1">
      <alignment horizontal="center"/>
    </xf>
    <xf numFmtId="0" fontId="9" fillId="5" borderId="8" xfId="0" applyFont="1" applyFill="1" applyBorder="1" applyAlignment="1">
      <alignment horizontal="center"/>
    </xf>
    <xf numFmtId="0" fontId="1" fillId="0" borderId="8" xfId="0" applyFont="1" applyBorder="1" applyAlignment="1"/>
    <xf numFmtId="0" fontId="1" fillId="0" borderId="8" xfId="0" applyFont="1" applyBorder="1"/>
    <xf numFmtId="0" fontId="9" fillId="6" borderId="8" xfId="0" applyFont="1" applyFill="1" applyBorder="1" applyAlignment="1">
      <alignment horizontal="center"/>
    </xf>
    <xf numFmtId="0" fontId="9" fillId="7" borderId="8" xfId="0" applyFont="1" applyFill="1" applyBorder="1" applyAlignment="1">
      <alignment horizontal="center"/>
    </xf>
    <xf numFmtId="0" fontId="12" fillId="8" borderId="0" xfId="0" applyFont="1" applyFill="1"/>
    <xf numFmtId="0" fontId="9" fillId="9" borderId="8" xfId="0" applyFont="1" applyFill="1" applyBorder="1" applyAlignment="1">
      <alignment horizontal="center"/>
    </xf>
    <xf numFmtId="0" fontId="9" fillId="10" borderId="8" xfId="0" applyFont="1" applyFill="1" applyBorder="1" applyAlignment="1">
      <alignment horizontal="center"/>
    </xf>
    <xf numFmtId="0" fontId="9" fillId="11" borderId="8" xfId="0" applyFont="1" applyFill="1" applyBorder="1" applyAlignment="1">
      <alignment horizontal="center"/>
    </xf>
    <xf numFmtId="0" fontId="9" fillId="12" borderId="8" xfId="0" applyFont="1" applyFill="1" applyBorder="1" applyAlignment="1">
      <alignment horizontal="center"/>
    </xf>
    <xf numFmtId="0" fontId="9" fillId="13" borderId="8" xfId="0" applyFont="1" applyFill="1" applyBorder="1" applyAlignment="1">
      <alignment horizontal="center"/>
    </xf>
    <xf numFmtId="0" fontId="9" fillId="14" borderId="8" xfId="0" applyFont="1" applyFill="1" applyBorder="1" applyAlignment="1">
      <alignment horizontal="center"/>
    </xf>
    <xf numFmtId="0" fontId="9" fillId="15" borderId="8" xfId="0" applyFont="1" applyFill="1" applyBorder="1" applyAlignment="1">
      <alignment horizontal="center"/>
    </xf>
    <xf numFmtId="0" fontId="9" fillId="16" borderId="8" xfId="0" applyFont="1" applyFill="1" applyBorder="1" applyAlignment="1">
      <alignment horizontal="center"/>
    </xf>
    <xf numFmtId="0" fontId="13" fillId="0" borderId="8" xfId="0" applyFont="1" applyBorder="1" applyAlignment="1"/>
    <xf numFmtId="0" fontId="14" fillId="2" borderId="7" xfId="0" applyFont="1" applyFill="1" applyBorder="1" applyAlignment="1"/>
    <xf numFmtId="0" fontId="9" fillId="17" borderId="8" xfId="0" applyFont="1" applyFill="1" applyBorder="1" applyAlignment="1">
      <alignment horizontal="center"/>
    </xf>
    <xf numFmtId="0" fontId="9" fillId="18" borderId="8" xfId="0" applyFont="1" applyFill="1" applyBorder="1" applyAlignment="1">
      <alignment horizontal="center"/>
    </xf>
    <xf numFmtId="0" fontId="8" fillId="2" borderId="11" xfId="0" applyFont="1" applyFill="1" applyBorder="1" applyAlignment="1"/>
    <xf numFmtId="0" fontId="1" fillId="19" borderId="0" xfId="0" applyFont="1" applyFill="1"/>
    <xf numFmtId="0" fontId="15" fillId="0" borderId="8" xfId="0" applyFont="1" applyBorder="1" applyAlignment="1"/>
    <xf numFmtId="0" fontId="14" fillId="2" borderId="7" xfId="0" applyFont="1" applyFill="1" applyBorder="1" applyAlignment="1"/>
    <xf numFmtId="0" fontId="16" fillId="2" borderId="7" xfId="0" applyFont="1" applyFill="1" applyBorder="1" applyAlignment="1"/>
    <xf numFmtId="2" fontId="8" fillId="2" borderId="10" xfId="0" applyNumberFormat="1" applyFont="1" applyFill="1" applyBorder="1" applyAlignment="1">
      <alignment horizontal="center"/>
    </xf>
    <xf numFmtId="0" fontId="1" fillId="0" borderId="8" xfId="0" applyFont="1" applyBorder="1" applyAlignment="1">
      <alignment horizontal="left"/>
    </xf>
    <xf numFmtId="0" fontId="4" fillId="0" borderId="8" xfId="0" applyFont="1" applyBorder="1" applyAlignment="1">
      <alignment horizontal="right"/>
    </xf>
    <xf numFmtId="0" fontId="4" fillId="0" borderId="8" xfId="0" applyFont="1" applyBorder="1" applyAlignment="1">
      <alignment horizontal="left"/>
    </xf>
    <xf numFmtId="0" fontId="17" fillId="0" borderId="8" xfId="0" applyFont="1" applyBorder="1" applyAlignment="1">
      <alignment horizontal="left"/>
    </xf>
    <xf numFmtId="0" fontId="1" fillId="0" borderId="8" xfId="0" applyFont="1" applyBorder="1" applyAlignment="1">
      <alignment horizontal="left"/>
    </xf>
    <xf numFmtId="1" fontId="1" fillId="0" borderId="8" xfId="0" applyNumberFormat="1" applyFont="1" applyBorder="1" applyAlignment="1"/>
    <xf numFmtId="0" fontId="8" fillId="2" borderId="7" xfId="0" applyFont="1" applyFill="1" applyBorder="1" applyAlignment="1"/>
    <xf numFmtId="0" fontId="17" fillId="0" borderId="8" xfId="0" applyFont="1" applyBorder="1" applyAlignment="1"/>
    <xf numFmtId="0" fontId="8" fillId="2" borderId="11" xfId="0" applyFont="1" applyFill="1" applyBorder="1" applyAlignment="1"/>
    <xf numFmtId="0" fontId="17" fillId="0" borderId="8" xfId="0" applyFont="1" applyBorder="1"/>
    <xf numFmtId="0" fontId="1" fillId="20" borderId="8" xfId="0" applyFont="1" applyFill="1" applyBorder="1"/>
    <xf numFmtId="0" fontId="1" fillId="20" borderId="8" xfId="0" applyFont="1" applyFill="1" applyBorder="1" applyAlignment="1"/>
    <xf numFmtId="2" fontId="8" fillId="2" borderId="12" xfId="0" applyNumberFormat="1" applyFont="1" applyFill="1" applyBorder="1" applyAlignment="1">
      <alignment horizontal="center"/>
    </xf>
    <xf numFmtId="2" fontId="8" fillId="2" borderId="12" xfId="0" applyNumberFormat="1" applyFont="1" applyFill="1" applyBorder="1" applyAlignment="1">
      <alignment horizontal="center"/>
    </xf>
    <xf numFmtId="0" fontId="4" fillId="0" borderId="0" xfId="0" applyFont="1" applyAlignment="1">
      <alignment horizontal="right"/>
    </xf>
    <xf numFmtId="0" fontId="9" fillId="21" borderId="8" xfId="0" applyFont="1" applyFill="1" applyBorder="1" applyAlignment="1">
      <alignment horizontal="center"/>
    </xf>
    <xf numFmtId="0" fontId="1" fillId="20" borderId="0" xfId="0" applyFont="1" applyFill="1" applyAlignment="1"/>
    <xf numFmtId="0" fontId="9" fillId="22" borderId="8" xfId="0" applyFont="1" applyFill="1" applyBorder="1" applyAlignment="1">
      <alignment horizontal="center"/>
    </xf>
    <xf numFmtId="0" fontId="9" fillId="23" borderId="8" xfId="0" applyFont="1" applyFill="1" applyBorder="1" applyAlignment="1">
      <alignment horizontal="center"/>
    </xf>
    <xf numFmtId="0" fontId="9" fillId="24" borderId="8" xfId="0" applyFont="1" applyFill="1" applyBorder="1" applyAlignment="1">
      <alignment horizontal="center"/>
    </xf>
    <xf numFmtId="0" fontId="9" fillId="25" borderId="8" xfId="0" applyFont="1" applyFill="1" applyBorder="1" applyAlignment="1">
      <alignment horizontal="center"/>
    </xf>
    <xf numFmtId="0" fontId="9" fillId="26" borderId="8" xfId="0" applyFont="1" applyFill="1" applyBorder="1" applyAlignment="1">
      <alignment horizontal="center"/>
    </xf>
    <xf numFmtId="0" fontId="9" fillId="27" borderId="8" xfId="0" applyFont="1" applyFill="1" applyBorder="1" applyAlignment="1">
      <alignment horizontal="center"/>
    </xf>
    <xf numFmtId="0" fontId="9" fillId="28" borderId="8" xfId="0" applyFont="1" applyFill="1" applyBorder="1" applyAlignment="1">
      <alignment horizontal="center"/>
    </xf>
    <xf numFmtId="0" fontId="9" fillId="29" borderId="8" xfId="0" applyFont="1" applyFill="1" applyBorder="1" applyAlignment="1">
      <alignment horizontal="center"/>
    </xf>
    <xf numFmtId="0" fontId="9" fillId="30" borderId="8" xfId="0" applyFont="1" applyFill="1" applyBorder="1" applyAlignment="1">
      <alignment horizontal="center"/>
    </xf>
    <xf numFmtId="0" fontId="9" fillId="31" borderId="8" xfId="0" applyFont="1" applyFill="1" applyBorder="1" applyAlignment="1">
      <alignment horizontal="center"/>
    </xf>
    <xf numFmtId="0" fontId="9" fillId="32" borderId="8" xfId="0" applyFont="1" applyFill="1" applyBorder="1" applyAlignment="1">
      <alignment horizontal="center"/>
    </xf>
    <xf numFmtId="0" fontId="9" fillId="33" borderId="8" xfId="0" applyFont="1" applyFill="1" applyBorder="1" applyAlignment="1">
      <alignment horizontal="center"/>
    </xf>
    <xf numFmtId="0" fontId="9" fillId="34" borderId="8" xfId="0" applyFont="1" applyFill="1" applyBorder="1" applyAlignment="1">
      <alignment horizontal="center"/>
    </xf>
    <xf numFmtId="0" fontId="9" fillId="35" borderId="8" xfId="0" applyFont="1" applyFill="1" applyBorder="1" applyAlignment="1">
      <alignment horizontal="center"/>
    </xf>
    <xf numFmtId="0" fontId="9" fillId="22" borderId="8" xfId="0" applyFont="1" applyFill="1" applyBorder="1" applyAlignment="1">
      <alignment horizontal="center"/>
    </xf>
    <xf numFmtId="0" fontId="9" fillId="11" borderId="8" xfId="0" applyFont="1" applyFill="1" applyBorder="1" applyAlignment="1">
      <alignment horizontal="center"/>
    </xf>
    <xf numFmtId="0" fontId="9" fillId="36" borderId="8" xfId="0" applyFont="1" applyFill="1" applyBorder="1" applyAlignment="1">
      <alignment horizontal="center"/>
    </xf>
    <xf numFmtId="0" fontId="9" fillId="37" borderId="8" xfId="0" applyFont="1" applyFill="1" applyBorder="1" applyAlignment="1">
      <alignment horizontal="center"/>
    </xf>
    <xf numFmtId="0" fontId="9" fillId="38" borderId="8" xfId="0" applyFont="1" applyFill="1" applyBorder="1" applyAlignment="1">
      <alignment horizontal="center"/>
    </xf>
    <xf numFmtId="0" fontId="9" fillId="39" borderId="8" xfId="0" applyFont="1" applyFill="1" applyBorder="1" applyAlignment="1">
      <alignment horizontal="center"/>
    </xf>
    <xf numFmtId="0" fontId="9" fillId="40" borderId="8" xfId="0" applyFont="1" applyFill="1" applyBorder="1" applyAlignment="1">
      <alignment horizontal="center"/>
    </xf>
    <xf numFmtId="0" fontId="9" fillId="41" borderId="8" xfId="0" applyFont="1" applyFill="1" applyBorder="1" applyAlignment="1">
      <alignment horizontal="center"/>
    </xf>
    <xf numFmtId="0" fontId="9" fillId="42" borderId="8" xfId="0" applyFont="1" applyFill="1" applyBorder="1" applyAlignment="1">
      <alignment horizontal="center"/>
    </xf>
    <xf numFmtId="0" fontId="9" fillId="43" borderId="8" xfId="0" applyFont="1" applyFill="1" applyBorder="1" applyAlignment="1">
      <alignment horizontal="center"/>
    </xf>
    <xf numFmtId="0" fontId="9" fillId="44" borderId="8" xfId="0" applyFont="1" applyFill="1" applyBorder="1" applyAlignment="1">
      <alignment horizontal="center"/>
    </xf>
    <xf numFmtId="0" fontId="9" fillId="45" borderId="8" xfId="0" applyFont="1" applyFill="1" applyBorder="1" applyAlignment="1">
      <alignment horizontal="center"/>
    </xf>
    <xf numFmtId="0" fontId="9" fillId="46" borderId="8" xfId="0" applyFont="1" applyFill="1" applyBorder="1" applyAlignment="1">
      <alignment horizontal="center"/>
    </xf>
    <xf numFmtId="0" fontId="9" fillId="47" borderId="8" xfId="0" applyFont="1" applyFill="1" applyBorder="1" applyAlignment="1">
      <alignment horizontal="center"/>
    </xf>
    <xf numFmtId="0" fontId="9" fillId="48" borderId="8" xfId="0" applyFont="1" applyFill="1" applyBorder="1" applyAlignment="1">
      <alignment horizontal="center"/>
    </xf>
    <xf numFmtId="0" fontId="9" fillId="49" borderId="8" xfId="0" applyFont="1" applyFill="1" applyBorder="1" applyAlignment="1">
      <alignment horizontal="center"/>
    </xf>
    <xf numFmtId="0" fontId="9" fillId="50" borderId="8" xfId="0" applyFont="1" applyFill="1" applyBorder="1" applyAlignment="1">
      <alignment horizontal="center"/>
    </xf>
    <xf numFmtId="0" fontId="9" fillId="51" borderId="8" xfId="0" applyFont="1" applyFill="1" applyBorder="1" applyAlignment="1">
      <alignment horizontal="center"/>
    </xf>
    <xf numFmtId="0" fontId="9" fillId="52" borderId="8" xfId="0" applyFont="1" applyFill="1" applyBorder="1" applyAlignment="1">
      <alignment horizontal="center"/>
    </xf>
    <xf numFmtId="0" fontId="9" fillId="53" borderId="8" xfId="0" applyFont="1" applyFill="1" applyBorder="1" applyAlignment="1">
      <alignment horizontal="center"/>
    </xf>
    <xf numFmtId="0" fontId="9" fillId="54" borderId="8" xfId="0" applyFont="1" applyFill="1" applyBorder="1" applyAlignment="1">
      <alignment horizontal="center"/>
    </xf>
    <xf numFmtId="0" fontId="9" fillId="55" borderId="8" xfId="0" applyFont="1" applyFill="1" applyBorder="1" applyAlignment="1">
      <alignment horizontal="center"/>
    </xf>
    <xf numFmtId="0" fontId="9" fillId="56" borderId="8" xfId="0" applyFont="1" applyFill="1" applyBorder="1" applyAlignment="1">
      <alignment horizontal="center"/>
    </xf>
    <xf numFmtId="0" fontId="9" fillId="57" borderId="8" xfId="0" applyFont="1" applyFill="1" applyBorder="1" applyAlignment="1">
      <alignment horizontal="center"/>
    </xf>
    <xf numFmtId="0" fontId="9" fillId="58" borderId="8" xfId="0" applyFont="1" applyFill="1" applyBorder="1" applyAlignment="1">
      <alignment horizontal="center"/>
    </xf>
    <xf numFmtId="0" fontId="9" fillId="52" borderId="8" xfId="0" applyFont="1" applyFill="1" applyBorder="1" applyAlignment="1">
      <alignment horizontal="center"/>
    </xf>
    <xf numFmtId="0" fontId="18" fillId="0" borderId="0" xfId="0" applyFont="1" applyAlignment="1"/>
    <xf numFmtId="0" fontId="1" fillId="59" borderId="0" xfId="0" applyFont="1" applyFill="1"/>
    <xf numFmtId="0" fontId="1" fillId="60" borderId="0" xfId="0" applyFont="1" applyFill="1"/>
    <xf numFmtId="0" fontId="1" fillId="20" borderId="0" xfId="0" applyFont="1" applyFill="1"/>
    <xf numFmtId="0" fontId="1" fillId="61" borderId="0" xfId="0" applyFont="1" applyFill="1"/>
    <xf numFmtId="0" fontId="19" fillId="0" borderId="0" xfId="0" applyFont="1" applyAlignment="1">
      <alignment horizontal="center" vertical="center"/>
    </xf>
    <xf numFmtId="0" fontId="20" fillId="0" borderId="0" xfId="0" applyFont="1" applyAlignment="1"/>
    <xf numFmtId="0" fontId="1" fillId="0" borderId="0" xfId="0" applyFont="1" applyAlignment="1">
      <alignment horizontal="right"/>
    </xf>
    <xf numFmtId="0" fontId="4" fillId="0" borderId="0" xfId="0" applyFont="1" applyAlignment="1"/>
    <xf numFmtId="177" fontId="21" fillId="0" borderId="0" xfId="0" applyNumberFormat="1" applyFont="1" applyAlignment="1">
      <alignment horizontal="right"/>
    </xf>
    <xf numFmtId="0" fontId="1"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xf>
    <xf numFmtId="0" fontId="21" fillId="0" borderId="0" xfId="0" applyFont="1" applyAlignment="1">
      <alignment horizontal="center"/>
    </xf>
    <xf numFmtId="0" fontId="22" fillId="0" borderId="0" xfId="0" applyFont="1" applyAlignment="1">
      <alignment horizontal="left"/>
    </xf>
    <xf numFmtId="0" fontId="4" fillId="0" borderId="0" xfId="0" applyFont="1" applyAlignment="1">
      <alignment horizontal="center"/>
    </xf>
    <xf numFmtId="0" fontId="23" fillId="0" borderId="8" xfId="0" applyFont="1" applyBorder="1" applyAlignment="1">
      <alignment horizontal="center"/>
    </xf>
    <xf numFmtId="0" fontId="4" fillId="0" borderId="8" xfId="0" applyFont="1" applyBorder="1" applyAlignment="1">
      <alignment horizontal="center"/>
    </xf>
    <xf numFmtId="0" fontId="24" fillId="0" borderId="8" xfId="0" applyFont="1" applyBorder="1" applyAlignment="1">
      <alignment horizontal="center"/>
    </xf>
    <xf numFmtId="0" fontId="1" fillId="0" borderId="8" xfId="0" applyFont="1" applyBorder="1" applyAlignment="1">
      <alignment horizontal="center"/>
    </xf>
    <xf numFmtId="0" fontId="4" fillId="0" borderId="8" xfId="0" applyFont="1" applyBorder="1" applyAlignment="1">
      <alignment horizontal="center"/>
    </xf>
    <xf numFmtId="0" fontId="25" fillId="0" borderId="8" xfId="0" applyFont="1" applyBorder="1" applyAlignment="1">
      <alignment horizontal="center"/>
    </xf>
    <xf numFmtId="0" fontId="4" fillId="0" borderId="8" xfId="0" applyFont="1" applyBorder="1" applyAlignment="1">
      <alignment horizontal="center"/>
    </xf>
    <xf numFmtId="0" fontId="26" fillId="0" borderId="8" xfId="0" applyFont="1" applyBorder="1" applyAlignment="1">
      <alignment horizontal="center"/>
    </xf>
    <xf numFmtId="0" fontId="27" fillId="0" borderId="0" xfId="0" applyFont="1" applyAlignment="1">
      <alignment horizontal="left"/>
    </xf>
    <xf numFmtId="0" fontId="28" fillId="0" borderId="0" xfId="0" applyFont="1" applyAlignment="1">
      <alignment horizontal="center"/>
    </xf>
    <xf numFmtId="0" fontId="27" fillId="0" borderId="0" xfId="0" applyFont="1" applyAlignment="1">
      <alignment horizontal="left"/>
    </xf>
    <xf numFmtId="0" fontId="25" fillId="0" borderId="8" xfId="0" applyFont="1" applyBorder="1" applyAlignment="1">
      <alignment horizontal="center"/>
    </xf>
    <xf numFmtId="0" fontId="21" fillId="0" borderId="8" xfId="0" applyFont="1" applyBorder="1" applyAlignment="1">
      <alignment horizontal="center"/>
    </xf>
    <xf numFmtId="0" fontId="21" fillId="0" borderId="8" xfId="0" applyFont="1" applyBorder="1" applyAlignment="1">
      <alignment horizontal="center"/>
    </xf>
    <xf numFmtId="0" fontId="29" fillId="0" borderId="0" xfId="0" applyFont="1" applyAlignment="1"/>
    <xf numFmtId="0" fontId="21" fillId="0" borderId="0" xfId="0" applyFont="1" applyAlignment="1"/>
    <xf numFmtId="0" fontId="26" fillId="0" borderId="0" xfId="0" applyFont="1" applyAlignment="1"/>
    <xf numFmtId="1" fontId="1" fillId="0" borderId="0" xfId="0" applyNumberFormat="1" applyFont="1" applyAlignment="1">
      <alignment horizontal="center"/>
    </xf>
    <xf numFmtId="0" fontId="30" fillId="0" borderId="8" xfId="0" applyFont="1" applyBorder="1" applyAlignment="1">
      <alignment horizontal="center"/>
    </xf>
    <xf numFmtId="0" fontId="1" fillId="62" borderId="0" xfId="0" applyFont="1" applyFill="1" applyAlignment="1"/>
    <xf numFmtId="0" fontId="1" fillId="62" borderId="0" xfId="0" applyFont="1" applyFill="1"/>
    <xf numFmtId="0" fontId="1" fillId="63" borderId="0" xfId="0" applyFont="1" applyFill="1" applyAlignment="1"/>
    <xf numFmtId="0" fontId="1" fillId="63" borderId="0" xfId="0" applyFont="1" applyFill="1"/>
    <xf numFmtId="0" fontId="1" fillId="64" borderId="0" xfId="0" applyFont="1" applyFill="1" applyAlignment="1"/>
    <xf numFmtId="0" fontId="1" fillId="64" borderId="0" xfId="0" applyFont="1" applyFill="1"/>
    <xf numFmtId="0" fontId="18" fillId="0" borderId="0" xfId="0" applyFont="1" applyAlignment="1"/>
    <xf numFmtId="0" fontId="1" fillId="65" borderId="0" xfId="0" applyFont="1" applyFill="1" applyAlignment="1"/>
    <xf numFmtId="0" fontId="1" fillId="65" borderId="0" xfId="0" applyFont="1" applyFill="1"/>
    <xf numFmtId="0" fontId="31" fillId="0" borderId="0" xfId="0" applyFont="1" applyAlignment="1"/>
    <xf numFmtId="0" fontId="1" fillId="66" borderId="0" xfId="0" applyFont="1" applyFill="1" applyAlignment="1"/>
    <xf numFmtId="0" fontId="1" fillId="66" borderId="0" xfId="0" applyFont="1" applyFill="1"/>
    <xf numFmtId="2" fontId="1" fillId="0" borderId="0" xfId="0" applyNumberFormat="1" applyFont="1"/>
    <xf numFmtId="0" fontId="32" fillId="0" borderId="0" xfId="0" applyFont="1" applyAlignment="1"/>
    <xf numFmtId="0" fontId="34" fillId="0" borderId="0" xfId="0" applyFont="1" applyAlignment="1"/>
    <xf numFmtId="1" fontId="8" fillId="2" borderId="10" xfId="0" applyNumberFormat="1" applyFont="1" applyFill="1" applyBorder="1" applyAlignment="1">
      <alignment horizontal="center"/>
    </xf>
    <xf numFmtId="1" fontId="35" fillId="2" borderId="10" xfId="0" applyNumberFormat="1" applyFont="1" applyFill="1" applyBorder="1" applyAlignment="1">
      <alignment horizontal="center"/>
    </xf>
    <xf numFmtId="1" fontId="35" fillId="2" borderId="10" xfId="0" applyNumberFormat="1" applyFont="1" applyFill="1" applyBorder="1" applyAlignment="1">
      <alignment horizontal="center"/>
    </xf>
    <xf numFmtId="1" fontId="1" fillId="0" borderId="0" xfId="0" applyNumberFormat="1" applyFont="1"/>
    <xf numFmtId="1" fontId="9" fillId="60" borderId="8" xfId="0" applyNumberFormat="1" applyFont="1" applyFill="1" applyBorder="1" applyAlignment="1">
      <alignment horizontal="center"/>
    </xf>
    <xf numFmtId="1" fontId="9" fillId="20" borderId="8" xfId="0" applyNumberFormat="1" applyFont="1" applyFill="1" applyBorder="1" applyAlignment="1">
      <alignment horizontal="center"/>
    </xf>
    <xf numFmtId="0" fontId="36" fillId="2" borderId="7" xfId="0" applyFont="1" applyFill="1" applyBorder="1" applyAlignment="1"/>
    <xf numFmtId="0" fontId="9" fillId="62" borderId="8" xfId="0" applyFont="1" applyFill="1" applyBorder="1" applyAlignment="1">
      <alignment horizontal="center"/>
    </xf>
    <xf numFmtId="0" fontId="9" fillId="63" borderId="8" xfId="0" applyFont="1" applyFill="1" applyBorder="1" applyAlignment="1">
      <alignment horizontal="center"/>
    </xf>
    <xf numFmtId="0" fontId="9" fillId="64" borderId="8" xfId="0" applyFont="1" applyFill="1" applyBorder="1" applyAlignment="1">
      <alignment horizontal="center"/>
    </xf>
    <xf numFmtId="0" fontId="9" fillId="65" borderId="8" xfId="0" applyFont="1" applyFill="1" applyBorder="1" applyAlignment="1">
      <alignment horizontal="center"/>
    </xf>
    <xf numFmtId="0" fontId="9" fillId="66" borderId="8" xfId="0" applyFont="1" applyFill="1" applyBorder="1" applyAlignment="1">
      <alignment horizontal="center"/>
    </xf>
    <xf numFmtId="178" fontId="1" fillId="0" borderId="0" xfId="0" applyNumberFormat="1" applyFont="1" applyAlignment="1">
      <alignment horizontal="center"/>
    </xf>
    <xf numFmtId="1" fontId="9" fillId="60" borderId="8" xfId="0" applyNumberFormat="1" applyFont="1" applyFill="1" applyBorder="1" applyAlignment="1">
      <alignment horizontal="center"/>
    </xf>
    <xf numFmtId="0" fontId="37" fillId="2" borderId="7" xfId="0" applyFont="1" applyFill="1" applyBorder="1" applyAlignment="1"/>
    <xf numFmtId="0" fontId="38" fillId="2" borderId="7" xfId="0" applyFont="1" applyFill="1" applyBorder="1" applyAlignment="1"/>
    <xf numFmtId="179" fontId="1" fillId="0" borderId="0" xfId="0" applyNumberFormat="1" applyFont="1" applyAlignment="1">
      <alignment horizontal="center"/>
    </xf>
    <xf numFmtId="176" fontId="1" fillId="0" borderId="0" xfId="0" applyNumberFormat="1" applyFont="1" applyAlignment="1">
      <alignment horizontal="center"/>
    </xf>
    <xf numFmtId="0" fontId="36" fillId="2" borderId="7" xfId="0" applyFont="1" applyFill="1" applyBorder="1" applyAlignment="1"/>
    <xf numFmtId="0" fontId="36" fillId="2" borderId="11" xfId="0" applyFont="1" applyFill="1" applyBorder="1" applyAlignment="1"/>
    <xf numFmtId="178" fontId="1" fillId="0" borderId="0" xfId="0" applyNumberFormat="1" applyFont="1"/>
    <xf numFmtId="0" fontId="39" fillId="2" borderId="7" xfId="0" applyFont="1" applyFill="1" applyBorder="1" applyAlignment="1"/>
    <xf numFmtId="0" fontId="34" fillId="0" borderId="0" xfId="0" applyFont="1" applyAlignment="1"/>
    <xf numFmtId="0" fontId="36" fillId="2" borderId="7" xfId="0" applyFont="1" applyFill="1" applyBorder="1" applyAlignment="1"/>
    <xf numFmtId="0" fontId="40" fillId="2" borderId="11" xfId="0" applyFont="1" applyFill="1" applyBorder="1" applyAlignment="1"/>
    <xf numFmtId="0" fontId="40" fillId="2" borderId="11" xfId="0" applyFont="1" applyFill="1" applyBorder="1" applyAlignment="1"/>
    <xf numFmtId="0" fontId="36" fillId="2" borderId="7" xfId="0" applyFont="1" applyFill="1" applyBorder="1" applyAlignment="1"/>
    <xf numFmtId="0" fontId="41" fillId="2" borderId="7" xfId="0" applyFont="1" applyFill="1" applyBorder="1" applyAlignment="1"/>
    <xf numFmtId="0" fontId="42" fillId="2" borderId="7" xfId="0" applyFont="1" applyFill="1" applyBorder="1" applyAlignment="1"/>
    <xf numFmtId="1" fontId="4" fillId="0" borderId="0" xfId="0" applyNumberFormat="1" applyFont="1" applyAlignment="1"/>
    <xf numFmtId="180" fontId="1" fillId="0" borderId="0" xfId="0" applyNumberFormat="1" applyFont="1" applyAlignment="1"/>
    <xf numFmtId="0" fontId="36" fillId="2" borderId="8" xfId="0" applyFont="1" applyFill="1" applyBorder="1" applyAlignment="1"/>
    <xf numFmtId="0" fontId="36" fillId="2" borderId="8" xfId="0" applyFont="1" applyFill="1" applyBorder="1" applyAlignment="1"/>
    <xf numFmtId="0" fontId="16" fillId="2" borderId="7" xfId="0" applyFont="1" applyFill="1" applyBorder="1" applyAlignment="1"/>
    <xf numFmtId="0" fontId="38" fillId="2" borderId="8" xfId="0" applyFont="1" applyFill="1" applyBorder="1" applyAlignment="1"/>
    <xf numFmtId="1" fontId="43" fillId="60" borderId="8" xfId="0" applyNumberFormat="1" applyFont="1" applyFill="1" applyBorder="1" applyAlignment="1">
      <alignment horizontal="center"/>
    </xf>
    <xf numFmtId="0" fontId="44" fillId="2" borderId="7" xfId="0" applyFont="1" applyFill="1" applyBorder="1" applyAlignment="1"/>
    <xf numFmtId="0" fontId="40" fillId="2" borderId="8" xfId="0" applyFont="1" applyFill="1" applyBorder="1" applyAlignment="1"/>
    <xf numFmtId="0" fontId="37" fillId="2" borderId="7" xfId="0" applyFont="1" applyFill="1" applyBorder="1" applyAlignment="1"/>
    <xf numFmtId="0" fontId="38" fillId="2" borderId="8" xfId="0" applyFont="1" applyFill="1" applyBorder="1" applyAlignment="1"/>
    <xf numFmtId="0" fontId="45" fillId="67" borderId="8" xfId="0" applyFont="1" applyFill="1" applyBorder="1" applyAlignment="1"/>
    <xf numFmtId="0" fontId="41" fillId="2" borderId="8" xfId="0" applyFont="1" applyFill="1" applyBorder="1" applyAlignment="1"/>
    <xf numFmtId="0" fontId="42" fillId="2" borderId="8" xfId="0" applyFont="1" applyFill="1" applyBorder="1" applyAlignment="1"/>
    <xf numFmtId="0" fontId="14" fillId="2" borderId="8" xfId="0" applyFont="1" applyFill="1" applyBorder="1" applyAlignment="1"/>
    <xf numFmtId="0" fontId="39" fillId="2" borderId="8" xfId="0" applyFont="1" applyFill="1" applyBorder="1" applyAlignment="1"/>
    <xf numFmtId="0" fontId="37" fillId="2" borderId="8" xfId="0" applyFont="1" applyFill="1" applyBorder="1" applyAlignment="1"/>
    <xf numFmtId="0" fontId="16" fillId="2" borderId="8" xfId="0" applyFont="1" applyFill="1" applyBorder="1" applyAlignment="1"/>
    <xf numFmtId="0" fontId="46" fillId="2" borderId="8" xfId="0" applyFont="1" applyFill="1" applyBorder="1" applyAlignment="1"/>
    <xf numFmtId="0" fontId="8" fillId="2" borderId="8" xfId="0" applyFont="1" applyFill="1" applyBorder="1" applyAlignment="1"/>
    <xf numFmtId="0" fontId="41" fillId="2" borderId="8" xfId="0" applyFont="1" applyFill="1" applyBorder="1" applyAlignment="1"/>
    <xf numFmtId="0" fontId="42" fillId="2" borderId="8" xfId="0" applyFont="1" applyFill="1" applyBorder="1" applyAlignment="1"/>
    <xf numFmtId="0" fontId="14" fillId="2" borderId="8" xfId="0" applyFont="1" applyFill="1" applyBorder="1" applyAlignment="1"/>
    <xf numFmtId="0" fontId="39" fillId="2" borderId="8" xfId="0" applyFont="1" applyFill="1" applyBorder="1" applyAlignment="1"/>
    <xf numFmtId="0" fontId="46" fillId="2" borderId="8" xfId="0" applyFont="1" applyFill="1" applyBorder="1" applyAlignment="1"/>
    <xf numFmtId="0" fontId="14" fillId="2" borderId="11" xfId="0" applyFont="1" applyFill="1" applyBorder="1" applyAlignment="1"/>
    <xf numFmtId="0" fontId="7" fillId="0" borderId="0" xfId="0" applyFont="1" applyAlignment="1"/>
    <xf numFmtId="0" fontId="47" fillId="0" borderId="0" xfId="0" applyFont="1"/>
    <xf numFmtId="0" fontId="48" fillId="0" borderId="0" xfId="0" applyFont="1" applyAlignment="1"/>
    <xf numFmtId="0" fontId="41" fillId="2" borderId="7" xfId="0" applyFont="1" applyFill="1" applyBorder="1" applyAlignment="1"/>
    <xf numFmtId="0" fontId="8" fillId="2" borderId="8" xfId="0" applyFont="1" applyFill="1" applyBorder="1" applyAlignment="1"/>
    <xf numFmtId="0" fontId="49" fillId="0" borderId="0" xfId="0" applyFont="1" applyAlignment="1"/>
    <xf numFmtId="0" fontId="16" fillId="2" borderId="8" xfId="0" applyFont="1" applyFill="1" applyBorder="1" applyAlignment="1"/>
    <xf numFmtId="0" fontId="50" fillId="0" borderId="0" xfId="0" applyFont="1" applyAlignment="1"/>
    <xf numFmtId="1" fontId="1" fillId="0" borderId="0" xfId="0" applyNumberFormat="1" applyFont="1" applyAlignment="1"/>
    <xf numFmtId="1" fontId="8" fillId="2" borderId="12" xfId="0" applyNumberFormat="1" applyFont="1" applyFill="1" applyBorder="1" applyAlignment="1">
      <alignment horizontal="center"/>
    </xf>
    <xf numFmtId="1" fontId="8" fillId="2" borderId="12" xfId="0" applyNumberFormat="1" applyFont="1" applyFill="1" applyBorder="1" applyAlignment="1">
      <alignment horizontal="center"/>
    </xf>
    <xf numFmtId="0" fontId="9" fillId="65" borderId="8" xfId="0" applyFont="1" applyFill="1" applyBorder="1" applyAlignment="1">
      <alignment horizontal="center"/>
    </xf>
    <xf numFmtId="1" fontId="51" fillId="60" borderId="8" xfId="0" applyNumberFormat="1" applyFont="1" applyFill="1" applyBorder="1" applyAlignment="1">
      <alignment horizontal="center"/>
    </xf>
    <xf numFmtId="0" fontId="52" fillId="0" borderId="0" xfId="0" applyFont="1" applyAlignment="1">
      <alignment horizontal="center"/>
    </xf>
    <xf numFmtId="1" fontId="53" fillId="0" borderId="0" xfId="0" applyNumberFormat="1" applyFont="1" applyAlignment="1">
      <alignment horizontal="center"/>
    </xf>
    <xf numFmtId="0" fontId="54" fillId="0" borderId="0" xfId="0" applyFont="1" applyAlignment="1">
      <alignment horizontal="center"/>
    </xf>
    <xf numFmtId="0" fontId="12" fillId="0" borderId="0" xfId="0" applyFont="1" applyAlignment="1"/>
    <xf numFmtId="0" fontId="1" fillId="60" borderId="0" xfId="0" applyFont="1" applyFill="1" applyAlignment="1"/>
    <xf numFmtId="0" fontId="40" fillId="2" borderId="7" xfId="0" applyFont="1" applyFill="1" applyBorder="1" applyAlignment="1"/>
    <xf numFmtId="0" fontId="55" fillId="0" borderId="0" xfId="0" applyFont="1" applyAlignment="1"/>
    <xf numFmtId="0" fontId="42" fillId="2" borderId="7" xfId="0" applyFont="1" applyFill="1" applyBorder="1" applyAlignment="1"/>
    <xf numFmtId="0" fontId="56" fillId="2" borderId="7" xfId="0" applyFont="1" applyFill="1" applyBorder="1" applyAlignment="1"/>
    <xf numFmtId="0" fontId="57" fillId="2" borderId="7" xfId="0" applyFont="1" applyFill="1" applyBorder="1" applyAlignment="1"/>
    <xf numFmtId="0" fontId="56" fillId="2" borderId="7" xfId="0" applyFont="1" applyFill="1" applyBorder="1" applyAlignment="1"/>
    <xf numFmtId="0" fontId="58" fillId="0" borderId="0" xfId="0" applyFont="1" applyAlignment="1">
      <alignment horizontal="center"/>
    </xf>
    <xf numFmtId="1" fontId="59" fillId="60" borderId="8" xfId="0" applyNumberFormat="1" applyFont="1" applyFill="1" applyBorder="1" applyAlignment="1">
      <alignment horizontal="center"/>
    </xf>
    <xf numFmtId="0" fontId="60" fillId="2" borderId="7" xfId="0" applyFont="1" applyFill="1" applyBorder="1" applyAlignment="1"/>
    <xf numFmtId="0" fontId="56" fillId="2" borderId="11" xfId="0" applyFont="1" applyFill="1" applyBorder="1" applyAlignment="1"/>
    <xf numFmtId="1" fontId="9" fillId="20" borderId="8" xfId="0" applyNumberFormat="1" applyFont="1" applyFill="1" applyBorder="1" applyAlignment="1">
      <alignment horizontal="center"/>
    </xf>
    <xf numFmtId="0" fontId="41" fillId="2" borderId="11" xfId="0" applyFont="1" applyFill="1" applyBorder="1" applyAlignment="1"/>
    <xf numFmtId="1" fontId="61" fillId="20" borderId="8" xfId="0" applyNumberFormat="1" applyFont="1" applyFill="1" applyBorder="1" applyAlignment="1">
      <alignment horizontal="center"/>
    </xf>
    <xf numFmtId="0" fontId="62" fillId="0" borderId="0" xfId="0" applyFont="1" applyAlignment="1">
      <alignment horizontal="center"/>
    </xf>
    <xf numFmtId="2" fontId="4" fillId="0" borderId="0" xfId="0" applyNumberFormat="1" applyFont="1" applyAlignment="1"/>
    <xf numFmtId="0" fontId="14" fillId="2" borderId="11" xfId="0" applyFont="1" applyFill="1" applyBorder="1" applyAlignment="1"/>
    <xf numFmtId="0" fontId="24" fillId="0" borderId="0" xfId="0" applyFont="1" applyAlignment="1"/>
    <xf numFmtId="0" fontId="4" fillId="0" borderId="0" xfId="0" applyFont="1" applyAlignment="1">
      <alignment horizontal="right"/>
    </xf>
    <xf numFmtId="0" fontId="4" fillId="0" borderId="0" xfId="0" applyFont="1" applyAlignment="1"/>
    <xf numFmtId="1" fontId="63" fillId="60" borderId="8" xfId="0" applyNumberFormat="1" applyFont="1" applyFill="1" applyBorder="1" applyAlignment="1">
      <alignment horizontal="center"/>
    </xf>
    <xf numFmtId="0" fontId="65" fillId="0" borderId="0" xfId="0" applyFont="1" applyAlignment="1">
      <alignment horizontal="center"/>
    </xf>
    <xf numFmtId="0" fontId="66" fillId="0" borderId="0" xfId="0" applyFont="1" applyAlignment="1"/>
    <xf numFmtId="0" fontId="1" fillId="0" borderId="0" xfId="0" applyFont="1" applyAlignment="1"/>
    <xf numFmtId="0" fontId="12" fillId="0" borderId="0" xfId="0" applyFont="1" applyAlignment="1"/>
    <xf numFmtId="0" fontId="4" fillId="0" borderId="0" xfId="0" applyFont="1" applyAlignment="1">
      <alignment horizontal="right"/>
    </xf>
    <xf numFmtId="0" fontId="67" fillId="0" borderId="0" xfId="0" applyFont="1" applyAlignment="1"/>
    <xf numFmtId="0" fontId="25" fillId="0" borderId="0" xfId="0" applyFont="1" applyAlignment="1"/>
    <xf numFmtId="0" fontId="25" fillId="0" borderId="0" xfId="0" applyFont="1" applyAlignment="1"/>
    <xf numFmtId="0" fontId="16" fillId="2" borderId="11" xfId="0" applyFont="1" applyFill="1" applyBorder="1" applyAlignment="1"/>
    <xf numFmtId="0" fontId="15" fillId="0" borderId="0" xfId="0" applyFont="1" applyAlignment="1"/>
    <xf numFmtId="0" fontId="26" fillId="0" borderId="0" xfId="0" applyFont="1" applyAlignment="1"/>
    <xf numFmtId="0" fontId="68" fillId="0" borderId="0" xfId="0" applyFont="1" applyAlignment="1"/>
    <xf numFmtId="0" fontId="49" fillId="0" borderId="0" xfId="0" applyFont="1" applyAlignment="1"/>
    <xf numFmtId="0" fontId="13" fillId="0" borderId="0" xfId="0" applyFont="1" applyAlignment="1"/>
    <xf numFmtId="0" fontId="69" fillId="0" borderId="0" xfId="0" applyFont="1" applyAlignment="1"/>
    <xf numFmtId="2" fontId="8" fillId="0" borderId="0" xfId="0" applyNumberFormat="1" applyFont="1" applyAlignment="1">
      <alignment horizontal="center"/>
    </xf>
    <xf numFmtId="0" fontId="17" fillId="0" borderId="0" xfId="0" applyFont="1" applyAlignment="1"/>
    <xf numFmtId="0" fontId="70" fillId="0" borderId="0" xfId="0" applyFont="1" applyAlignment="1"/>
    <xf numFmtId="0" fontId="24" fillId="0" borderId="0" xfId="0" applyFont="1" applyAlignment="1"/>
    <xf numFmtId="0" fontId="70" fillId="0" borderId="0" xfId="0" applyFont="1" applyAlignment="1"/>
    <xf numFmtId="0" fontId="4" fillId="0" borderId="0" xfId="0" applyFont="1" applyAlignment="1"/>
    <xf numFmtId="0" fontId="9" fillId="68" borderId="8" xfId="0" applyFont="1" applyFill="1" applyBorder="1" applyAlignment="1">
      <alignment horizontal="center"/>
    </xf>
    <xf numFmtId="0" fontId="9" fillId="69" borderId="8" xfId="0" applyFont="1" applyFill="1" applyBorder="1" applyAlignment="1">
      <alignment horizontal="center"/>
    </xf>
    <xf numFmtId="0" fontId="9" fillId="70" borderId="8" xfId="0" applyFont="1" applyFill="1" applyBorder="1" applyAlignment="1">
      <alignment horizontal="center"/>
    </xf>
    <xf numFmtId="0" fontId="8" fillId="2" borderId="11" xfId="0" applyFont="1" applyFill="1" applyBorder="1" applyAlignment="1"/>
    <xf numFmtId="0" fontId="1" fillId="71" borderId="0" xfId="0" applyFont="1" applyFill="1"/>
    <xf numFmtId="0" fontId="1" fillId="71" borderId="0" xfId="0" applyFont="1" applyFill="1" applyAlignment="1"/>
    <xf numFmtId="0" fontId="1" fillId="72" borderId="0" xfId="0" applyFont="1" applyFill="1" applyAlignment="1"/>
    <xf numFmtId="0" fontId="1" fillId="73" borderId="0" xfId="0" applyFont="1" applyFill="1" applyAlignment="1"/>
    <xf numFmtId="2" fontId="9" fillId="60" borderId="8" xfId="0" applyNumberFormat="1" applyFont="1" applyFill="1" applyBorder="1" applyAlignment="1">
      <alignment horizontal="center"/>
    </xf>
    <xf numFmtId="2" fontId="9" fillId="20" borderId="8" xfId="0" applyNumberFormat="1" applyFont="1" applyFill="1" applyBorder="1" applyAlignment="1">
      <alignment horizontal="center"/>
    </xf>
    <xf numFmtId="0" fontId="13" fillId="0" borderId="0" xfId="0" applyFont="1" applyAlignment="1"/>
    <xf numFmtId="0" fontId="69" fillId="0" borderId="0" xfId="0" applyFont="1" applyAlignment="1"/>
    <xf numFmtId="0" fontId="15" fillId="0" borderId="0" xfId="0" applyFont="1" applyAlignment="1"/>
    <xf numFmtId="0" fontId="68" fillId="0" borderId="0" xfId="0" applyFont="1" applyAlignment="1"/>
    <xf numFmtId="0" fontId="17" fillId="0" borderId="0" xfId="0" applyFont="1" applyAlignment="1"/>
    <xf numFmtId="2" fontId="26" fillId="0" borderId="0" xfId="0" applyNumberFormat="1" applyFont="1" applyAlignment="1"/>
    <xf numFmtId="2" fontId="1" fillId="0" borderId="0" xfId="0" applyNumberFormat="1" applyFont="1" applyAlignment="1"/>
    <xf numFmtId="0" fontId="72" fillId="2" borderId="11" xfId="0" applyFont="1" applyFill="1" applyBorder="1" applyAlignment="1"/>
    <xf numFmtId="0" fontId="37" fillId="2" borderId="11" xfId="0" applyFont="1" applyFill="1" applyBorder="1" applyAlignment="1"/>
    <xf numFmtId="0" fontId="9" fillId="13" borderId="8" xfId="0" applyFont="1" applyFill="1" applyBorder="1" applyAlignment="1">
      <alignment horizontal="center"/>
    </xf>
    <xf numFmtId="0" fontId="7" fillId="0" borderId="0" xfId="0" applyFont="1" applyAlignment="1"/>
    <xf numFmtId="0" fontId="47" fillId="0" borderId="0" xfId="0" applyFont="1" applyAlignment="1"/>
    <xf numFmtId="0" fontId="73" fillId="2" borderId="7" xfId="0" applyFont="1" applyFill="1" applyBorder="1" applyAlignment="1"/>
    <xf numFmtId="0" fontId="47" fillId="0" borderId="0" xfId="0" applyFont="1" applyAlignment="1"/>
    <xf numFmtId="0" fontId="47" fillId="0" borderId="0" xfId="0" applyFont="1" applyAlignment="1"/>
    <xf numFmtId="2" fontId="35" fillId="2" borderId="10" xfId="0" applyNumberFormat="1" applyFont="1" applyFill="1" applyBorder="1" applyAlignment="1">
      <alignment horizontal="center"/>
    </xf>
    <xf numFmtId="0" fontId="8" fillId="2" borderId="7" xfId="0" applyFont="1" applyFill="1" applyBorder="1" applyAlignment="1"/>
    <xf numFmtId="0" fontId="9" fillId="74" borderId="8" xfId="0" applyFont="1" applyFill="1" applyBorder="1" applyAlignment="1">
      <alignment horizontal="center"/>
    </xf>
    <xf numFmtId="0" fontId="9" fillId="75" borderId="8" xfId="0" applyFont="1" applyFill="1" applyBorder="1" applyAlignment="1">
      <alignment horizontal="center"/>
    </xf>
    <xf numFmtId="0" fontId="9" fillId="76" borderId="8" xfId="0" applyFont="1" applyFill="1" applyBorder="1" applyAlignment="1">
      <alignment horizontal="center"/>
    </xf>
    <xf numFmtId="0" fontId="9" fillId="77" borderId="8" xfId="0" applyFont="1" applyFill="1" applyBorder="1" applyAlignment="1">
      <alignment horizontal="center"/>
    </xf>
    <xf numFmtId="0" fontId="9" fillId="78" borderId="8" xfId="0" applyFont="1" applyFill="1" applyBorder="1" applyAlignment="1">
      <alignment horizontal="center"/>
    </xf>
    <xf numFmtId="0" fontId="9" fillId="79" borderId="8" xfId="0" applyFont="1" applyFill="1" applyBorder="1" applyAlignment="1">
      <alignment horizontal="center"/>
    </xf>
    <xf numFmtId="0" fontId="9" fillId="80" borderId="8" xfId="0" applyFont="1" applyFill="1" applyBorder="1" applyAlignment="1">
      <alignment horizontal="center"/>
    </xf>
    <xf numFmtId="0" fontId="9" fillId="81" borderId="8" xfId="0" applyFont="1" applyFill="1" applyBorder="1" applyAlignment="1">
      <alignment horizontal="center"/>
    </xf>
    <xf numFmtId="0" fontId="9" fillId="82" borderId="8" xfId="0" applyFont="1" applyFill="1" applyBorder="1" applyAlignment="1">
      <alignment horizontal="center"/>
    </xf>
    <xf numFmtId="0" fontId="9" fillId="83" borderId="8" xfId="0" applyFont="1" applyFill="1" applyBorder="1" applyAlignment="1">
      <alignment horizontal="center"/>
    </xf>
    <xf numFmtId="0" fontId="9" fillId="84" borderId="8" xfId="0" applyFont="1" applyFill="1" applyBorder="1" applyAlignment="1">
      <alignment horizontal="center"/>
    </xf>
    <xf numFmtId="0" fontId="9" fillId="85" borderId="8" xfId="0" applyFont="1" applyFill="1" applyBorder="1" applyAlignment="1">
      <alignment horizontal="center"/>
    </xf>
    <xf numFmtId="0" fontId="9" fillId="86" borderId="8" xfId="0" applyFont="1" applyFill="1" applyBorder="1" applyAlignment="1">
      <alignment horizontal="center"/>
    </xf>
    <xf numFmtId="0" fontId="9" fillId="87" borderId="8" xfId="0" applyFont="1" applyFill="1" applyBorder="1" applyAlignment="1">
      <alignment horizontal="center"/>
    </xf>
    <xf numFmtId="0" fontId="9" fillId="88" borderId="8" xfId="0" applyFont="1" applyFill="1" applyBorder="1" applyAlignment="1">
      <alignment horizontal="center"/>
    </xf>
    <xf numFmtId="0" fontId="9" fillId="89" borderId="8" xfId="0" applyFont="1" applyFill="1" applyBorder="1" applyAlignment="1">
      <alignment horizontal="center"/>
    </xf>
    <xf numFmtId="0" fontId="9" fillId="90" borderId="8" xfId="0" applyFont="1" applyFill="1" applyBorder="1" applyAlignment="1">
      <alignment horizontal="center"/>
    </xf>
    <xf numFmtId="0" fontId="9" fillId="91" borderId="8" xfId="0" applyFont="1" applyFill="1" applyBorder="1" applyAlignment="1">
      <alignment horizontal="center"/>
    </xf>
    <xf numFmtId="0" fontId="4" fillId="71" borderId="0" xfId="0" applyFont="1" applyFill="1" applyAlignment="1">
      <alignment horizontal="right"/>
    </xf>
    <xf numFmtId="0" fontId="1" fillId="73" borderId="0" xfId="0" applyFont="1" applyFill="1"/>
    <xf numFmtId="0" fontId="8" fillId="2" borderId="7" xfId="0" applyFont="1" applyFill="1" applyBorder="1" applyAlignment="1"/>
    <xf numFmtId="0" fontId="26" fillId="73" borderId="0" xfId="0" applyFont="1" applyFill="1" applyAlignment="1"/>
    <xf numFmtId="0" fontId="26" fillId="73" borderId="0" xfId="0" applyFont="1" applyFill="1" applyAlignment="1">
      <alignment horizontal="right"/>
    </xf>
    <xf numFmtId="0" fontId="71" fillId="0" borderId="0" xfId="0" applyFont="1" applyAlignment="1"/>
    <xf numFmtId="0" fontId="74" fillId="92" borderId="0" xfId="0" applyFont="1" applyFill="1" applyAlignment="1">
      <alignment horizontal="left"/>
    </xf>
    <xf numFmtId="0" fontId="75" fillId="92" borderId="0" xfId="0" applyFont="1" applyFill="1" applyAlignment="1"/>
    <xf numFmtId="0" fontId="76" fillId="93" borderId="13" xfId="0" applyFont="1" applyFill="1" applyBorder="1" applyAlignment="1">
      <alignment horizontal="center" vertical="top"/>
    </xf>
    <xf numFmtId="0" fontId="76" fillId="93" borderId="13" xfId="0" applyFont="1" applyFill="1" applyBorder="1" applyAlignment="1">
      <alignment horizontal="center" vertical="top"/>
    </xf>
    <xf numFmtId="0" fontId="77" fillId="92" borderId="0" xfId="0" applyFont="1" applyFill="1" applyAlignment="1"/>
    <xf numFmtId="0" fontId="79" fillId="93" borderId="13" xfId="0" applyFont="1" applyFill="1" applyBorder="1" applyAlignment="1">
      <alignment horizontal="center" vertical="top"/>
    </xf>
    <xf numFmtId="0" fontId="79" fillId="93" borderId="13" xfId="0" applyFont="1" applyFill="1" applyBorder="1" applyAlignment="1">
      <alignment horizontal="center" vertical="top"/>
    </xf>
    <xf numFmtId="0" fontId="76" fillId="93" borderId="13" xfId="0" applyFont="1" applyFill="1" applyBorder="1" applyAlignment="1">
      <alignment horizontal="left" vertical="top" wrapText="1"/>
    </xf>
    <xf numFmtId="0" fontId="76" fillId="93" borderId="13" xfId="0" applyFont="1" applyFill="1" applyBorder="1" applyAlignment="1">
      <alignment vertical="top" wrapText="1"/>
    </xf>
    <xf numFmtId="0" fontId="79" fillId="93" borderId="13" xfId="0" applyFont="1" applyFill="1" applyBorder="1" applyAlignment="1">
      <alignment vertical="top" wrapText="1"/>
    </xf>
    <xf numFmtId="0" fontId="76" fillId="93" borderId="0" xfId="0" applyFont="1" applyFill="1" applyAlignment="1">
      <alignment vertical="top" wrapText="1"/>
    </xf>
    <xf numFmtId="0" fontId="79" fillId="93" borderId="0" xfId="0" applyFont="1" applyFill="1" applyAlignment="1">
      <alignment vertical="top" wrapText="1"/>
    </xf>
    <xf numFmtId="177" fontId="76" fillId="93" borderId="0" xfId="0" applyNumberFormat="1" applyFont="1" applyFill="1" applyAlignment="1">
      <alignment vertical="top" wrapText="1"/>
    </xf>
    <xf numFmtId="177" fontId="79" fillId="93" borderId="13" xfId="0" applyNumberFormat="1" applyFont="1" applyFill="1" applyBorder="1" applyAlignment="1">
      <alignment horizontal="center" vertical="top"/>
    </xf>
    <xf numFmtId="0" fontId="76" fillId="93" borderId="0" xfId="0" applyFont="1" applyFill="1" applyAlignment="1">
      <alignment horizontal="center" vertical="top"/>
    </xf>
    <xf numFmtId="0" fontId="76" fillId="93" borderId="0" xfId="0" applyFont="1" applyFill="1" applyAlignment="1">
      <alignment horizontal="center" vertical="top"/>
    </xf>
    <xf numFmtId="0" fontId="79" fillId="93" borderId="0" xfId="0" applyFont="1" applyFill="1" applyAlignment="1">
      <alignment horizontal="center" vertical="top"/>
    </xf>
    <xf numFmtId="177" fontId="76" fillId="93" borderId="0" xfId="0" applyNumberFormat="1" applyFont="1" applyFill="1" applyAlignment="1">
      <alignment horizontal="center" vertical="top"/>
    </xf>
    <xf numFmtId="0" fontId="81" fillId="0" borderId="0" xfId="0" applyFont="1" applyAlignment="1"/>
    <xf numFmtId="0" fontId="81" fillId="0" borderId="0" xfId="0" applyFont="1" applyAlignment="1"/>
    <xf numFmtId="0" fontId="74" fillId="92" borderId="0" xfId="0" applyFont="1" applyFill="1" applyAlignment="1"/>
    <xf numFmtId="0" fontId="82" fillId="92" borderId="0" xfId="0" applyFont="1" applyFill="1" applyAlignment="1"/>
    <xf numFmtId="0" fontId="76" fillId="93" borderId="13" xfId="0" applyFont="1" applyFill="1" applyBorder="1" applyAlignment="1">
      <alignment horizontal="left" vertical="top"/>
    </xf>
    <xf numFmtId="0" fontId="76" fillId="93" borderId="13" xfId="0" applyFont="1" applyFill="1" applyBorder="1" applyAlignment="1">
      <alignment vertical="top"/>
    </xf>
    <xf numFmtId="177" fontId="79" fillId="93" borderId="13" xfId="0" applyNumberFormat="1" applyFont="1" applyFill="1" applyBorder="1" applyAlignment="1">
      <alignment vertical="top" wrapText="1"/>
    </xf>
    <xf numFmtId="0" fontId="76" fillId="93" borderId="0" xfId="0" applyFont="1" applyFill="1" applyAlignment="1">
      <alignment vertical="top"/>
    </xf>
    <xf numFmtId="177" fontId="79" fillId="93" borderId="0" xfId="0" applyNumberFormat="1" applyFont="1" applyFill="1" applyAlignment="1">
      <alignment vertical="top" wrapText="1"/>
    </xf>
    <xf numFmtId="0" fontId="76" fillId="93" borderId="13" xfId="0" applyFont="1" applyFill="1" applyBorder="1" applyAlignment="1">
      <alignment vertical="top" wrapText="1"/>
    </xf>
    <xf numFmtId="0" fontId="3" fillId="0" borderId="13" xfId="0" applyFont="1" applyBorder="1"/>
    <xf numFmtId="0" fontId="78" fillId="93" borderId="0" xfId="0" applyFont="1" applyFill="1" applyAlignment="1">
      <alignment wrapText="1"/>
    </xf>
    <xf numFmtId="0" fontId="0" fillId="0" borderId="0" xfId="0" applyFont="1" applyAlignment="1"/>
    <xf numFmtId="0" fontId="77" fillId="92" borderId="0" xfId="0" applyFont="1" applyFill="1" applyAlignment="1"/>
    <xf numFmtId="0" fontId="76" fillId="93" borderId="13" xfId="0" applyFont="1" applyFill="1" applyBorder="1" applyAlignment="1">
      <alignment horizontal="left" vertical="top" wrapText="1"/>
    </xf>
    <xf numFmtId="0" fontId="76" fillId="93" borderId="0" xfId="0" applyFont="1" applyFill="1" applyAlignment="1">
      <alignment vertical="top" wrapText="1"/>
    </xf>
    <xf numFmtId="0" fontId="2" fillId="0" borderId="1" xfId="0" applyFont="1" applyBorder="1" applyAlignment="1">
      <alignment horizontal="center"/>
    </xf>
    <xf numFmtId="0" fontId="3" fillId="0" borderId="2" xfId="0" applyFont="1" applyBorder="1"/>
    <xf numFmtId="0" fontId="3" fillId="0" borderId="3" xfId="0" applyFont="1" applyBorder="1"/>
    <xf numFmtId="0" fontId="4" fillId="0" borderId="4" xfId="0" applyFont="1" applyBorder="1" applyAlignment="1"/>
    <xf numFmtId="0" fontId="3" fillId="0" borderId="5" xfId="0" applyFont="1" applyBorder="1"/>
    <xf numFmtId="0" fontId="3" fillId="0" borderId="6" xfId="0" applyFont="1" applyBorder="1"/>
    <xf numFmtId="0" fontId="5" fillId="0" borderId="4" xfId="0" applyFont="1" applyBorder="1" applyAlignment="1">
      <alignment horizontal="center"/>
    </xf>
    <xf numFmtId="0" fontId="29" fillId="0" borderId="0" xfId="0" applyFont="1" applyAlignment="1"/>
    <xf numFmtId="0" fontId="33" fillId="0" borderId="0" xfId="0" applyFont="1" applyAlignment="1">
      <alignment horizontal="center"/>
    </xf>
    <xf numFmtId="2" fontId="64" fillId="0" borderId="0" xfId="0" applyNumberFormat="1" applyFont="1" applyAlignment="1">
      <alignment horizontal="center"/>
    </xf>
    <xf numFmtId="0" fontId="71" fillId="0" borderId="0" xfId="0" applyFont="1" applyAlignment="1">
      <alignment horizontal="center"/>
    </xf>
    <xf numFmtId="0" fontId="75" fillId="92" borderId="0" xfId="0" applyFont="1" applyFill="1" applyAlignment="1"/>
    <xf numFmtId="0" fontId="80" fillId="93" borderId="0" xfId="0" applyFont="1" applyFill="1" applyAlignment="1">
      <alignment wrapText="1"/>
    </xf>
  </cellXfs>
  <cellStyles count="1">
    <cellStyle name="표준" xfId="0" builtinId="0"/>
  </cellStyles>
  <dxfs count="9">
    <dxf>
      <fill>
        <patternFill patternType="solid">
          <fgColor rgb="FFFF9900"/>
          <bgColor rgb="FFFF9900"/>
        </patternFill>
      </fill>
    </dxf>
    <dxf>
      <fill>
        <patternFill patternType="solid">
          <fgColor rgb="FFFFFF00"/>
          <bgColor rgb="FFFFFF00"/>
        </patternFill>
      </fill>
    </dxf>
    <dxf>
      <fill>
        <patternFill patternType="solid">
          <fgColor rgb="FF92D050"/>
          <bgColor rgb="FF92D050"/>
        </patternFill>
      </fill>
    </dxf>
    <dxf>
      <fill>
        <patternFill patternType="solid">
          <fgColor rgb="FFFF9900"/>
          <bgColor rgb="FFFF9900"/>
        </patternFill>
      </fill>
    </dxf>
    <dxf>
      <fill>
        <patternFill patternType="solid">
          <fgColor rgb="FFFF0000"/>
          <bgColor rgb="FFFF0000"/>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ularantworten 1-style" pivot="0" count="4" xr9:uid="{00000000-0011-0000-FFFF-FFFF00000000}">
      <tableStyleElement type="wholeTable" size="0" dxfId="5"/>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lineChart>
        <c:grouping val="standard"/>
        <c:varyColors val="1"/>
        <c:ser>
          <c:idx val="0"/>
          <c:order val="0"/>
          <c:spPr>
            <a:ln cmpd="sng">
              <a:solidFill>
                <a:srgbClr val="4285F4"/>
              </a:solidFill>
            </a:ln>
          </c:spPr>
          <c:marker>
            <c:symbol val="circle"/>
            <c:size val="2"/>
            <c:spPr>
              <a:solidFill>
                <a:srgbClr val="4285F4"/>
              </a:solidFill>
              <a:ln cmpd="sng">
                <a:solidFill>
                  <a:srgbClr val="4285F4"/>
                </a:solidFill>
              </a:ln>
            </c:spPr>
          </c:marker>
          <c:dLbls>
            <c:spPr>
              <a:noFill/>
              <a:ln>
                <a:noFill/>
              </a:ln>
              <a:effectLst/>
            </c:spPr>
            <c:txPr>
              <a:bodyPr/>
              <a:lstStyle/>
              <a:p>
                <a:pPr lvl="0">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Tabellenblatt1!$B$914:$B$935</c:f>
              <c:numCache>
                <c:formatCode>General</c:formatCode>
                <c:ptCount val="22"/>
                <c:pt idx="0">
                  <c:v>145</c:v>
                </c:pt>
                <c:pt idx="1">
                  <c:v>145</c:v>
                </c:pt>
                <c:pt idx="2">
                  <c:v>145</c:v>
                </c:pt>
                <c:pt idx="3">
                  <c:v>140</c:v>
                </c:pt>
                <c:pt idx="4">
                  <c:v>135</c:v>
                </c:pt>
                <c:pt idx="5">
                  <c:v>130</c:v>
                </c:pt>
                <c:pt idx="6">
                  <c:v>124</c:v>
                </c:pt>
                <c:pt idx="7">
                  <c:v>114</c:v>
                </c:pt>
                <c:pt idx="8">
                  <c:v>104</c:v>
                </c:pt>
                <c:pt idx="9">
                  <c:v>93</c:v>
                </c:pt>
                <c:pt idx="10">
                  <c:v>88</c:v>
                </c:pt>
                <c:pt idx="11">
                  <c:v>84</c:v>
                </c:pt>
                <c:pt idx="12">
                  <c:v>81</c:v>
                </c:pt>
                <c:pt idx="13">
                  <c:v>78</c:v>
                </c:pt>
                <c:pt idx="14">
                  <c:v>74</c:v>
                </c:pt>
                <c:pt idx="15">
                  <c:v>74</c:v>
                </c:pt>
                <c:pt idx="16">
                  <c:v>74</c:v>
                </c:pt>
                <c:pt idx="17">
                  <c:v>74</c:v>
                </c:pt>
                <c:pt idx="18">
                  <c:v>74</c:v>
                </c:pt>
                <c:pt idx="19">
                  <c:v>74</c:v>
                </c:pt>
                <c:pt idx="20">
                  <c:v>74</c:v>
                </c:pt>
                <c:pt idx="21">
                  <c:v>74</c:v>
                </c:pt>
              </c:numCache>
            </c:numRef>
          </c:val>
          <c:smooth val="0"/>
          <c:extLst>
            <c:ext xmlns:c16="http://schemas.microsoft.com/office/drawing/2014/chart" uri="{C3380CC4-5D6E-409C-BE32-E72D297353CC}">
              <c16:uniqueId val="{00000000-F8DB-455B-9300-701168328A2C}"/>
            </c:ext>
          </c:extLst>
        </c:ser>
        <c:ser>
          <c:idx val="1"/>
          <c:order val="1"/>
          <c:spPr>
            <a:ln cmpd="sng">
              <a:solidFill>
                <a:srgbClr val="EA4335"/>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Tabellenblatt1!$C$914:$C$935</c:f>
              <c:numCache>
                <c:formatCode>General</c:formatCode>
                <c:ptCount val="22"/>
                <c:pt idx="0">
                  <c:v>144</c:v>
                </c:pt>
                <c:pt idx="1">
                  <c:v>144</c:v>
                </c:pt>
                <c:pt idx="2">
                  <c:v>144</c:v>
                </c:pt>
                <c:pt idx="3">
                  <c:v>139</c:v>
                </c:pt>
                <c:pt idx="4">
                  <c:v>133</c:v>
                </c:pt>
                <c:pt idx="5">
                  <c:v>128</c:v>
                </c:pt>
                <c:pt idx="6">
                  <c:v>123</c:v>
                </c:pt>
                <c:pt idx="7">
                  <c:v>113</c:v>
                </c:pt>
                <c:pt idx="8">
                  <c:v>102</c:v>
                </c:pt>
                <c:pt idx="9">
                  <c:v>92</c:v>
                </c:pt>
                <c:pt idx="10">
                  <c:v>88</c:v>
                </c:pt>
                <c:pt idx="11">
                  <c:v>84</c:v>
                </c:pt>
                <c:pt idx="12">
                  <c:v>80</c:v>
                </c:pt>
                <c:pt idx="13">
                  <c:v>76</c:v>
                </c:pt>
                <c:pt idx="14">
                  <c:v>72</c:v>
                </c:pt>
                <c:pt idx="15">
                  <c:v>72</c:v>
                </c:pt>
                <c:pt idx="16">
                  <c:v>72</c:v>
                </c:pt>
                <c:pt idx="17">
                  <c:v>72</c:v>
                </c:pt>
                <c:pt idx="18">
                  <c:v>72</c:v>
                </c:pt>
                <c:pt idx="19">
                  <c:v>72</c:v>
                </c:pt>
                <c:pt idx="20">
                  <c:v>72</c:v>
                </c:pt>
                <c:pt idx="21">
                  <c:v>72</c:v>
                </c:pt>
              </c:numCache>
            </c:numRef>
          </c:val>
          <c:smooth val="0"/>
          <c:extLst>
            <c:ext xmlns:c16="http://schemas.microsoft.com/office/drawing/2014/chart" uri="{C3380CC4-5D6E-409C-BE32-E72D297353CC}">
              <c16:uniqueId val="{00000001-F8DB-455B-9300-701168328A2C}"/>
            </c:ext>
          </c:extLst>
        </c:ser>
        <c:ser>
          <c:idx val="2"/>
          <c:order val="2"/>
          <c:spPr>
            <a:ln cmpd="sng">
              <a:solidFill>
                <a:srgbClr val="FBBC04"/>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Tabellenblatt1!$D$914:$D$935</c:f>
              <c:numCache>
                <c:formatCode>General</c:formatCode>
                <c:ptCount val="22"/>
                <c:pt idx="0">
                  <c:v>139</c:v>
                </c:pt>
                <c:pt idx="1">
                  <c:v>139</c:v>
                </c:pt>
                <c:pt idx="2">
                  <c:v>139</c:v>
                </c:pt>
                <c:pt idx="3">
                  <c:v>133</c:v>
                </c:pt>
                <c:pt idx="4">
                  <c:v>128</c:v>
                </c:pt>
                <c:pt idx="5">
                  <c:v>123</c:v>
                </c:pt>
                <c:pt idx="6">
                  <c:v>118</c:v>
                </c:pt>
                <c:pt idx="7">
                  <c:v>109</c:v>
                </c:pt>
                <c:pt idx="8">
                  <c:v>98</c:v>
                </c:pt>
                <c:pt idx="9">
                  <c:v>88</c:v>
                </c:pt>
                <c:pt idx="10">
                  <c:v>84</c:v>
                </c:pt>
                <c:pt idx="11">
                  <c:v>81</c:v>
                </c:pt>
                <c:pt idx="12">
                  <c:v>78</c:v>
                </c:pt>
                <c:pt idx="13">
                  <c:v>74</c:v>
                </c:pt>
                <c:pt idx="14">
                  <c:v>70</c:v>
                </c:pt>
                <c:pt idx="15">
                  <c:v>70</c:v>
                </c:pt>
                <c:pt idx="16">
                  <c:v>70</c:v>
                </c:pt>
                <c:pt idx="17">
                  <c:v>70</c:v>
                </c:pt>
                <c:pt idx="18">
                  <c:v>70</c:v>
                </c:pt>
                <c:pt idx="19">
                  <c:v>70</c:v>
                </c:pt>
                <c:pt idx="20">
                  <c:v>70</c:v>
                </c:pt>
                <c:pt idx="21">
                  <c:v>70</c:v>
                </c:pt>
              </c:numCache>
            </c:numRef>
          </c:val>
          <c:smooth val="0"/>
          <c:extLst>
            <c:ext xmlns:c16="http://schemas.microsoft.com/office/drawing/2014/chart" uri="{C3380CC4-5D6E-409C-BE32-E72D297353CC}">
              <c16:uniqueId val="{00000002-F8DB-455B-9300-701168328A2C}"/>
            </c:ext>
          </c:extLst>
        </c:ser>
        <c:ser>
          <c:idx val="3"/>
          <c:order val="3"/>
          <c:spPr>
            <a:ln cmpd="sng">
              <a:solidFill>
                <a:srgbClr val="34A853"/>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Tabellenblatt1!$E$914:$E$935</c:f>
              <c:numCache>
                <c:formatCode>General</c:formatCode>
                <c:ptCount val="22"/>
                <c:pt idx="0">
                  <c:v>137</c:v>
                </c:pt>
                <c:pt idx="1">
                  <c:v>137</c:v>
                </c:pt>
                <c:pt idx="2">
                  <c:v>137</c:v>
                </c:pt>
                <c:pt idx="3">
                  <c:v>132</c:v>
                </c:pt>
                <c:pt idx="4">
                  <c:v>127</c:v>
                </c:pt>
                <c:pt idx="5">
                  <c:v>122</c:v>
                </c:pt>
                <c:pt idx="6">
                  <c:v>118</c:v>
                </c:pt>
                <c:pt idx="7">
                  <c:v>107</c:v>
                </c:pt>
                <c:pt idx="8">
                  <c:v>97</c:v>
                </c:pt>
                <c:pt idx="9">
                  <c:v>88</c:v>
                </c:pt>
                <c:pt idx="10">
                  <c:v>84</c:v>
                </c:pt>
                <c:pt idx="11">
                  <c:v>80</c:v>
                </c:pt>
                <c:pt idx="12">
                  <c:v>76</c:v>
                </c:pt>
                <c:pt idx="13">
                  <c:v>72</c:v>
                </c:pt>
                <c:pt idx="14">
                  <c:v>70</c:v>
                </c:pt>
                <c:pt idx="15">
                  <c:v>70</c:v>
                </c:pt>
                <c:pt idx="16">
                  <c:v>70</c:v>
                </c:pt>
                <c:pt idx="17">
                  <c:v>70</c:v>
                </c:pt>
                <c:pt idx="18">
                  <c:v>70</c:v>
                </c:pt>
                <c:pt idx="19">
                  <c:v>70</c:v>
                </c:pt>
                <c:pt idx="20">
                  <c:v>70</c:v>
                </c:pt>
                <c:pt idx="21">
                  <c:v>70</c:v>
                </c:pt>
              </c:numCache>
            </c:numRef>
          </c:val>
          <c:smooth val="0"/>
          <c:extLst>
            <c:ext xmlns:c16="http://schemas.microsoft.com/office/drawing/2014/chart" uri="{C3380CC4-5D6E-409C-BE32-E72D297353CC}">
              <c16:uniqueId val="{00000003-F8DB-455B-9300-701168328A2C}"/>
            </c:ext>
          </c:extLst>
        </c:ser>
        <c:ser>
          <c:idx val="4"/>
          <c:order val="4"/>
          <c:spPr>
            <a:ln cmpd="sng">
              <a:solidFill>
                <a:srgbClr val="FF6D01"/>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Tabellenblatt1!$F$914:$F$935</c:f>
              <c:numCache>
                <c:formatCode>General</c:formatCode>
                <c:ptCount val="22"/>
                <c:pt idx="0">
                  <c:v>135</c:v>
                </c:pt>
                <c:pt idx="1">
                  <c:v>135</c:v>
                </c:pt>
                <c:pt idx="2">
                  <c:v>135</c:v>
                </c:pt>
                <c:pt idx="3">
                  <c:v>130</c:v>
                </c:pt>
                <c:pt idx="4">
                  <c:v>124</c:v>
                </c:pt>
                <c:pt idx="5">
                  <c:v>120</c:v>
                </c:pt>
                <c:pt idx="6">
                  <c:v>115</c:v>
                </c:pt>
                <c:pt idx="7">
                  <c:v>105</c:v>
                </c:pt>
                <c:pt idx="8">
                  <c:v>96</c:v>
                </c:pt>
                <c:pt idx="9">
                  <c:v>85</c:v>
                </c:pt>
                <c:pt idx="10">
                  <c:v>83</c:v>
                </c:pt>
                <c:pt idx="11">
                  <c:v>79</c:v>
                </c:pt>
                <c:pt idx="12">
                  <c:v>75</c:v>
                </c:pt>
                <c:pt idx="13">
                  <c:v>71</c:v>
                </c:pt>
                <c:pt idx="14">
                  <c:v>68</c:v>
                </c:pt>
                <c:pt idx="15">
                  <c:v>68</c:v>
                </c:pt>
                <c:pt idx="16">
                  <c:v>68</c:v>
                </c:pt>
                <c:pt idx="17">
                  <c:v>68</c:v>
                </c:pt>
                <c:pt idx="18">
                  <c:v>68</c:v>
                </c:pt>
                <c:pt idx="19">
                  <c:v>68</c:v>
                </c:pt>
                <c:pt idx="20">
                  <c:v>68</c:v>
                </c:pt>
                <c:pt idx="21">
                  <c:v>68</c:v>
                </c:pt>
              </c:numCache>
            </c:numRef>
          </c:val>
          <c:smooth val="0"/>
          <c:extLst>
            <c:ext xmlns:c16="http://schemas.microsoft.com/office/drawing/2014/chart" uri="{C3380CC4-5D6E-409C-BE32-E72D297353CC}">
              <c16:uniqueId val="{00000004-F8DB-455B-9300-701168328A2C}"/>
            </c:ext>
          </c:extLst>
        </c:ser>
        <c:ser>
          <c:idx val="5"/>
          <c:order val="5"/>
          <c:spPr>
            <a:ln cmpd="sng">
              <a:solidFill>
                <a:srgbClr val="46BDC6"/>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Tabellenblatt1!$G$914:$G$935</c:f>
              <c:numCache>
                <c:formatCode>General</c:formatCode>
                <c:ptCount val="22"/>
                <c:pt idx="0">
                  <c:v>132</c:v>
                </c:pt>
                <c:pt idx="1">
                  <c:v>132</c:v>
                </c:pt>
                <c:pt idx="2">
                  <c:v>132</c:v>
                </c:pt>
                <c:pt idx="3">
                  <c:v>127</c:v>
                </c:pt>
                <c:pt idx="4">
                  <c:v>122</c:v>
                </c:pt>
                <c:pt idx="5">
                  <c:v>118</c:v>
                </c:pt>
                <c:pt idx="6">
                  <c:v>113</c:v>
                </c:pt>
                <c:pt idx="7">
                  <c:v>104</c:v>
                </c:pt>
                <c:pt idx="8">
                  <c:v>93</c:v>
                </c:pt>
                <c:pt idx="9">
                  <c:v>84</c:v>
                </c:pt>
                <c:pt idx="10">
                  <c:v>80</c:v>
                </c:pt>
                <c:pt idx="11">
                  <c:v>78</c:v>
                </c:pt>
                <c:pt idx="12">
                  <c:v>74</c:v>
                </c:pt>
                <c:pt idx="13">
                  <c:v>70</c:v>
                </c:pt>
                <c:pt idx="14">
                  <c:v>67</c:v>
                </c:pt>
                <c:pt idx="15">
                  <c:v>67</c:v>
                </c:pt>
                <c:pt idx="16">
                  <c:v>67</c:v>
                </c:pt>
                <c:pt idx="17">
                  <c:v>67</c:v>
                </c:pt>
                <c:pt idx="18">
                  <c:v>67</c:v>
                </c:pt>
                <c:pt idx="19">
                  <c:v>67</c:v>
                </c:pt>
                <c:pt idx="20">
                  <c:v>67</c:v>
                </c:pt>
                <c:pt idx="21">
                  <c:v>67</c:v>
                </c:pt>
              </c:numCache>
            </c:numRef>
          </c:val>
          <c:smooth val="0"/>
          <c:extLst>
            <c:ext xmlns:c16="http://schemas.microsoft.com/office/drawing/2014/chart" uri="{C3380CC4-5D6E-409C-BE32-E72D297353CC}">
              <c16:uniqueId val="{00000005-F8DB-455B-9300-701168328A2C}"/>
            </c:ext>
          </c:extLst>
        </c:ser>
        <c:ser>
          <c:idx val="6"/>
          <c:order val="6"/>
          <c:spPr>
            <a:ln cmpd="sng">
              <a:solidFill>
                <a:srgbClr val="7BAAF7"/>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Tabellenblatt1!$H$914:$H$935</c:f>
              <c:numCache>
                <c:formatCode>General</c:formatCode>
                <c:ptCount val="22"/>
                <c:pt idx="0">
                  <c:v>130</c:v>
                </c:pt>
                <c:pt idx="1">
                  <c:v>130</c:v>
                </c:pt>
                <c:pt idx="2">
                  <c:v>130</c:v>
                </c:pt>
                <c:pt idx="3">
                  <c:v>124</c:v>
                </c:pt>
                <c:pt idx="4">
                  <c:v>120</c:v>
                </c:pt>
                <c:pt idx="5">
                  <c:v>115</c:v>
                </c:pt>
                <c:pt idx="6">
                  <c:v>110</c:v>
                </c:pt>
                <c:pt idx="7">
                  <c:v>101</c:v>
                </c:pt>
                <c:pt idx="8">
                  <c:v>92</c:v>
                </c:pt>
                <c:pt idx="9">
                  <c:v>83</c:v>
                </c:pt>
                <c:pt idx="10">
                  <c:v>79</c:v>
                </c:pt>
                <c:pt idx="11">
                  <c:v>75</c:v>
                </c:pt>
                <c:pt idx="12">
                  <c:v>72</c:v>
                </c:pt>
                <c:pt idx="13">
                  <c:v>68</c:v>
                </c:pt>
                <c:pt idx="14">
                  <c:v>66</c:v>
                </c:pt>
                <c:pt idx="15">
                  <c:v>66</c:v>
                </c:pt>
                <c:pt idx="16">
                  <c:v>66</c:v>
                </c:pt>
                <c:pt idx="17">
                  <c:v>66</c:v>
                </c:pt>
                <c:pt idx="18">
                  <c:v>66</c:v>
                </c:pt>
                <c:pt idx="19">
                  <c:v>66</c:v>
                </c:pt>
                <c:pt idx="20">
                  <c:v>66</c:v>
                </c:pt>
                <c:pt idx="21">
                  <c:v>66</c:v>
                </c:pt>
              </c:numCache>
            </c:numRef>
          </c:val>
          <c:smooth val="0"/>
          <c:extLst>
            <c:ext xmlns:c16="http://schemas.microsoft.com/office/drawing/2014/chart" uri="{C3380CC4-5D6E-409C-BE32-E72D297353CC}">
              <c16:uniqueId val="{00000006-F8DB-455B-9300-701168328A2C}"/>
            </c:ext>
          </c:extLst>
        </c:ser>
        <c:ser>
          <c:idx val="7"/>
          <c:order val="7"/>
          <c:spPr>
            <a:ln cmpd="sng">
              <a:solidFill>
                <a:srgbClr val="F07B72"/>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Tabellenblatt1!$I$914:$I$935</c:f>
              <c:numCache>
                <c:formatCode>General</c:formatCode>
                <c:ptCount val="22"/>
                <c:pt idx="0">
                  <c:v>128</c:v>
                </c:pt>
                <c:pt idx="1">
                  <c:v>128</c:v>
                </c:pt>
                <c:pt idx="2">
                  <c:v>128</c:v>
                </c:pt>
                <c:pt idx="3">
                  <c:v>123</c:v>
                </c:pt>
                <c:pt idx="4">
                  <c:v>119</c:v>
                </c:pt>
                <c:pt idx="5">
                  <c:v>114</c:v>
                </c:pt>
                <c:pt idx="6">
                  <c:v>110</c:v>
                </c:pt>
                <c:pt idx="7">
                  <c:v>100</c:v>
                </c:pt>
                <c:pt idx="8">
                  <c:v>91</c:v>
                </c:pt>
                <c:pt idx="9">
                  <c:v>81</c:v>
                </c:pt>
                <c:pt idx="10">
                  <c:v>78</c:v>
                </c:pt>
                <c:pt idx="11">
                  <c:v>75</c:v>
                </c:pt>
                <c:pt idx="12">
                  <c:v>71</c:v>
                </c:pt>
                <c:pt idx="13">
                  <c:v>68</c:v>
                </c:pt>
                <c:pt idx="14">
                  <c:v>65</c:v>
                </c:pt>
                <c:pt idx="15">
                  <c:v>65</c:v>
                </c:pt>
                <c:pt idx="16">
                  <c:v>65</c:v>
                </c:pt>
                <c:pt idx="17">
                  <c:v>65</c:v>
                </c:pt>
                <c:pt idx="18">
                  <c:v>65</c:v>
                </c:pt>
                <c:pt idx="19">
                  <c:v>65</c:v>
                </c:pt>
                <c:pt idx="20">
                  <c:v>65</c:v>
                </c:pt>
                <c:pt idx="21">
                  <c:v>65</c:v>
                </c:pt>
              </c:numCache>
            </c:numRef>
          </c:val>
          <c:smooth val="0"/>
          <c:extLst>
            <c:ext xmlns:c16="http://schemas.microsoft.com/office/drawing/2014/chart" uri="{C3380CC4-5D6E-409C-BE32-E72D297353CC}">
              <c16:uniqueId val="{00000007-F8DB-455B-9300-701168328A2C}"/>
            </c:ext>
          </c:extLst>
        </c:ser>
        <c:ser>
          <c:idx val="8"/>
          <c:order val="8"/>
          <c:spPr>
            <a:ln cmpd="sng">
              <a:solidFill>
                <a:srgbClr val="FCD04F"/>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Tabellenblatt1!$J$914:$J$935</c:f>
              <c:numCache>
                <c:formatCode>General</c:formatCode>
                <c:ptCount val="22"/>
                <c:pt idx="0">
                  <c:v>126</c:v>
                </c:pt>
                <c:pt idx="1">
                  <c:v>126</c:v>
                </c:pt>
                <c:pt idx="2">
                  <c:v>126</c:v>
                </c:pt>
                <c:pt idx="3">
                  <c:v>120</c:v>
                </c:pt>
                <c:pt idx="4">
                  <c:v>116</c:v>
                </c:pt>
                <c:pt idx="5">
                  <c:v>111</c:v>
                </c:pt>
                <c:pt idx="6">
                  <c:v>107</c:v>
                </c:pt>
                <c:pt idx="7">
                  <c:v>98</c:v>
                </c:pt>
                <c:pt idx="8">
                  <c:v>89</c:v>
                </c:pt>
                <c:pt idx="9">
                  <c:v>80</c:v>
                </c:pt>
                <c:pt idx="10">
                  <c:v>76</c:v>
                </c:pt>
                <c:pt idx="11">
                  <c:v>74</c:v>
                </c:pt>
                <c:pt idx="12">
                  <c:v>70</c:v>
                </c:pt>
                <c:pt idx="13">
                  <c:v>67</c:v>
                </c:pt>
                <c:pt idx="14">
                  <c:v>63</c:v>
                </c:pt>
                <c:pt idx="15">
                  <c:v>63</c:v>
                </c:pt>
                <c:pt idx="16">
                  <c:v>63</c:v>
                </c:pt>
                <c:pt idx="17">
                  <c:v>63</c:v>
                </c:pt>
                <c:pt idx="18">
                  <c:v>63</c:v>
                </c:pt>
                <c:pt idx="19">
                  <c:v>63</c:v>
                </c:pt>
                <c:pt idx="20">
                  <c:v>63</c:v>
                </c:pt>
                <c:pt idx="21">
                  <c:v>63</c:v>
                </c:pt>
              </c:numCache>
            </c:numRef>
          </c:val>
          <c:smooth val="0"/>
          <c:extLst>
            <c:ext xmlns:c16="http://schemas.microsoft.com/office/drawing/2014/chart" uri="{C3380CC4-5D6E-409C-BE32-E72D297353CC}">
              <c16:uniqueId val="{00000008-F8DB-455B-9300-701168328A2C}"/>
            </c:ext>
          </c:extLst>
        </c:ser>
        <c:ser>
          <c:idx val="9"/>
          <c:order val="9"/>
          <c:spPr>
            <a:ln cmpd="sng">
              <a:solidFill>
                <a:srgbClr val="71C287"/>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Tabellenblatt1!$K$914:$K$935</c:f>
              <c:numCache>
                <c:formatCode>General</c:formatCode>
                <c:ptCount val="22"/>
                <c:pt idx="0">
                  <c:v>124</c:v>
                </c:pt>
                <c:pt idx="1">
                  <c:v>124</c:v>
                </c:pt>
                <c:pt idx="2">
                  <c:v>124</c:v>
                </c:pt>
                <c:pt idx="3">
                  <c:v>119</c:v>
                </c:pt>
                <c:pt idx="4">
                  <c:v>115</c:v>
                </c:pt>
                <c:pt idx="5">
                  <c:v>110</c:v>
                </c:pt>
                <c:pt idx="6">
                  <c:v>106</c:v>
                </c:pt>
                <c:pt idx="7">
                  <c:v>97</c:v>
                </c:pt>
                <c:pt idx="8">
                  <c:v>88</c:v>
                </c:pt>
                <c:pt idx="9">
                  <c:v>79</c:v>
                </c:pt>
                <c:pt idx="10">
                  <c:v>76</c:v>
                </c:pt>
                <c:pt idx="11">
                  <c:v>72</c:v>
                </c:pt>
                <c:pt idx="12">
                  <c:v>70</c:v>
                </c:pt>
                <c:pt idx="13">
                  <c:v>66</c:v>
                </c:pt>
                <c:pt idx="14">
                  <c:v>62</c:v>
                </c:pt>
                <c:pt idx="15">
                  <c:v>62</c:v>
                </c:pt>
                <c:pt idx="16">
                  <c:v>62</c:v>
                </c:pt>
                <c:pt idx="17">
                  <c:v>62</c:v>
                </c:pt>
                <c:pt idx="18">
                  <c:v>62</c:v>
                </c:pt>
                <c:pt idx="19">
                  <c:v>62</c:v>
                </c:pt>
                <c:pt idx="20">
                  <c:v>62</c:v>
                </c:pt>
                <c:pt idx="21">
                  <c:v>62</c:v>
                </c:pt>
              </c:numCache>
            </c:numRef>
          </c:val>
          <c:smooth val="0"/>
          <c:extLst>
            <c:ext xmlns:c16="http://schemas.microsoft.com/office/drawing/2014/chart" uri="{C3380CC4-5D6E-409C-BE32-E72D297353CC}">
              <c16:uniqueId val="{00000009-F8DB-455B-9300-701168328A2C}"/>
            </c:ext>
          </c:extLst>
        </c:ser>
        <c:ser>
          <c:idx val="10"/>
          <c:order val="10"/>
          <c:spPr>
            <a:ln cmpd="sng">
              <a:solidFill>
                <a:srgbClr val="FF994D"/>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Tabellenblatt1!$L$914:$L$935</c:f>
              <c:numCache>
                <c:formatCode>General</c:formatCode>
                <c:ptCount val="22"/>
                <c:pt idx="0">
                  <c:v>123</c:v>
                </c:pt>
                <c:pt idx="1">
                  <c:v>123</c:v>
                </c:pt>
                <c:pt idx="2">
                  <c:v>123</c:v>
                </c:pt>
                <c:pt idx="3">
                  <c:v>118</c:v>
                </c:pt>
                <c:pt idx="4">
                  <c:v>114</c:v>
                </c:pt>
                <c:pt idx="5">
                  <c:v>110</c:v>
                </c:pt>
                <c:pt idx="6">
                  <c:v>105</c:v>
                </c:pt>
                <c:pt idx="7">
                  <c:v>96</c:v>
                </c:pt>
                <c:pt idx="8">
                  <c:v>87</c:v>
                </c:pt>
                <c:pt idx="9">
                  <c:v>78</c:v>
                </c:pt>
                <c:pt idx="10">
                  <c:v>75</c:v>
                </c:pt>
                <c:pt idx="11">
                  <c:v>71</c:v>
                </c:pt>
                <c:pt idx="12">
                  <c:v>68</c:v>
                </c:pt>
                <c:pt idx="13">
                  <c:v>66</c:v>
                </c:pt>
                <c:pt idx="14">
                  <c:v>62</c:v>
                </c:pt>
                <c:pt idx="15">
                  <c:v>62</c:v>
                </c:pt>
                <c:pt idx="16">
                  <c:v>62</c:v>
                </c:pt>
                <c:pt idx="17">
                  <c:v>62</c:v>
                </c:pt>
                <c:pt idx="18">
                  <c:v>62</c:v>
                </c:pt>
                <c:pt idx="19">
                  <c:v>62</c:v>
                </c:pt>
                <c:pt idx="20">
                  <c:v>62</c:v>
                </c:pt>
                <c:pt idx="21">
                  <c:v>62</c:v>
                </c:pt>
              </c:numCache>
            </c:numRef>
          </c:val>
          <c:smooth val="0"/>
          <c:extLst>
            <c:ext xmlns:c16="http://schemas.microsoft.com/office/drawing/2014/chart" uri="{C3380CC4-5D6E-409C-BE32-E72D297353CC}">
              <c16:uniqueId val="{0000000A-F8DB-455B-9300-701168328A2C}"/>
            </c:ext>
          </c:extLst>
        </c:ser>
        <c:ser>
          <c:idx val="11"/>
          <c:order val="11"/>
          <c:spPr>
            <a:ln cmpd="sng">
              <a:solidFill>
                <a:srgbClr val="7ED1D7"/>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Tabellenblatt1!$M$914:$M$935</c:f>
              <c:numCache>
                <c:formatCode>General</c:formatCode>
                <c:ptCount val="22"/>
                <c:pt idx="0">
                  <c:v>120</c:v>
                </c:pt>
                <c:pt idx="1">
                  <c:v>120</c:v>
                </c:pt>
                <c:pt idx="2">
                  <c:v>120</c:v>
                </c:pt>
                <c:pt idx="3">
                  <c:v>115</c:v>
                </c:pt>
                <c:pt idx="4">
                  <c:v>111</c:v>
                </c:pt>
                <c:pt idx="5">
                  <c:v>107</c:v>
                </c:pt>
                <c:pt idx="6">
                  <c:v>102</c:v>
                </c:pt>
                <c:pt idx="7">
                  <c:v>94</c:v>
                </c:pt>
                <c:pt idx="8">
                  <c:v>85</c:v>
                </c:pt>
                <c:pt idx="9">
                  <c:v>76</c:v>
                </c:pt>
                <c:pt idx="10">
                  <c:v>74</c:v>
                </c:pt>
                <c:pt idx="11">
                  <c:v>70</c:v>
                </c:pt>
                <c:pt idx="12">
                  <c:v>67</c:v>
                </c:pt>
                <c:pt idx="13">
                  <c:v>63</c:v>
                </c:pt>
                <c:pt idx="14">
                  <c:v>61</c:v>
                </c:pt>
                <c:pt idx="15">
                  <c:v>61</c:v>
                </c:pt>
                <c:pt idx="16">
                  <c:v>61</c:v>
                </c:pt>
                <c:pt idx="17">
                  <c:v>61</c:v>
                </c:pt>
                <c:pt idx="18">
                  <c:v>61</c:v>
                </c:pt>
                <c:pt idx="19">
                  <c:v>61</c:v>
                </c:pt>
                <c:pt idx="20">
                  <c:v>61</c:v>
                </c:pt>
                <c:pt idx="21">
                  <c:v>61</c:v>
                </c:pt>
              </c:numCache>
            </c:numRef>
          </c:val>
          <c:smooth val="0"/>
          <c:extLst>
            <c:ext xmlns:c16="http://schemas.microsoft.com/office/drawing/2014/chart" uri="{C3380CC4-5D6E-409C-BE32-E72D297353CC}">
              <c16:uniqueId val="{0000000B-F8DB-455B-9300-701168328A2C}"/>
            </c:ext>
          </c:extLst>
        </c:ser>
        <c:ser>
          <c:idx val="12"/>
          <c:order val="12"/>
          <c:spPr>
            <a:ln cmpd="sng">
              <a:solidFill>
                <a:srgbClr val="B3CEFB"/>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Tabellenblatt1!$N$914:$N$935</c:f>
              <c:numCache>
                <c:formatCode>General</c:formatCode>
                <c:ptCount val="22"/>
                <c:pt idx="0">
                  <c:v>118</c:v>
                </c:pt>
                <c:pt idx="1">
                  <c:v>118</c:v>
                </c:pt>
                <c:pt idx="2">
                  <c:v>118</c:v>
                </c:pt>
                <c:pt idx="3">
                  <c:v>114</c:v>
                </c:pt>
                <c:pt idx="4">
                  <c:v>109</c:v>
                </c:pt>
                <c:pt idx="5">
                  <c:v>105</c:v>
                </c:pt>
                <c:pt idx="6">
                  <c:v>101</c:v>
                </c:pt>
                <c:pt idx="7">
                  <c:v>92</c:v>
                </c:pt>
                <c:pt idx="8">
                  <c:v>83</c:v>
                </c:pt>
                <c:pt idx="9">
                  <c:v>75</c:v>
                </c:pt>
                <c:pt idx="10">
                  <c:v>71</c:v>
                </c:pt>
                <c:pt idx="11">
                  <c:v>68</c:v>
                </c:pt>
                <c:pt idx="12">
                  <c:v>66</c:v>
                </c:pt>
                <c:pt idx="13">
                  <c:v>62</c:v>
                </c:pt>
                <c:pt idx="14">
                  <c:v>59</c:v>
                </c:pt>
                <c:pt idx="15">
                  <c:v>59</c:v>
                </c:pt>
                <c:pt idx="16">
                  <c:v>59</c:v>
                </c:pt>
                <c:pt idx="17">
                  <c:v>59</c:v>
                </c:pt>
                <c:pt idx="18">
                  <c:v>59</c:v>
                </c:pt>
                <c:pt idx="19">
                  <c:v>59</c:v>
                </c:pt>
                <c:pt idx="20">
                  <c:v>59</c:v>
                </c:pt>
                <c:pt idx="21">
                  <c:v>59</c:v>
                </c:pt>
              </c:numCache>
            </c:numRef>
          </c:val>
          <c:smooth val="0"/>
          <c:extLst>
            <c:ext xmlns:c16="http://schemas.microsoft.com/office/drawing/2014/chart" uri="{C3380CC4-5D6E-409C-BE32-E72D297353CC}">
              <c16:uniqueId val="{0000000C-F8DB-455B-9300-701168328A2C}"/>
            </c:ext>
          </c:extLst>
        </c:ser>
        <c:ser>
          <c:idx val="13"/>
          <c:order val="13"/>
          <c:spPr>
            <a:ln cmpd="sng">
              <a:solidFill>
                <a:srgbClr val="F7B4AE"/>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Tabellenblatt1!$O$914:$O$935</c:f>
              <c:numCache>
                <c:formatCode>General</c:formatCode>
                <c:ptCount val="22"/>
                <c:pt idx="0">
                  <c:v>116</c:v>
                </c:pt>
                <c:pt idx="1">
                  <c:v>116</c:v>
                </c:pt>
                <c:pt idx="2">
                  <c:v>116</c:v>
                </c:pt>
                <c:pt idx="3">
                  <c:v>113</c:v>
                </c:pt>
                <c:pt idx="4">
                  <c:v>107</c:v>
                </c:pt>
                <c:pt idx="5">
                  <c:v>104</c:v>
                </c:pt>
                <c:pt idx="6">
                  <c:v>100</c:v>
                </c:pt>
                <c:pt idx="7">
                  <c:v>91</c:v>
                </c:pt>
                <c:pt idx="8">
                  <c:v>83</c:v>
                </c:pt>
                <c:pt idx="9">
                  <c:v>74</c:v>
                </c:pt>
                <c:pt idx="10">
                  <c:v>71</c:v>
                </c:pt>
                <c:pt idx="11">
                  <c:v>68</c:v>
                </c:pt>
                <c:pt idx="12">
                  <c:v>65</c:v>
                </c:pt>
                <c:pt idx="13">
                  <c:v>62</c:v>
                </c:pt>
                <c:pt idx="14">
                  <c:v>58</c:v>
                </c:pt>
                <c:pt idx="15">
                  <c:v>58</c:v>
                </c:pt>
                <c:pt idx="16">
                  <c:v>58</c:v>
                </c:pt>
                <c:pt idx="17">
                  <c:v>58</c:v>
                </c:pt>
                <c:pt idx="18">
                  <c:v>58</c:v>
                </c:pt>
                <c:pt idx="19">
                  <c:v>58</c:v>
                </c:pt>
                <c:pt idx="20">
                  <c:v>58</c:v>
                </c:pt>
                <c:pt idx="21">
                  <c:v>58</c:v>
                </c:pt>
              </c:numCache>
            </c:numRef>
          </c:val>
          <c:smooth val="0"/>
          <c:extLst>
            <c:ext xmlns:c16="http://schemas.microsoft.com/office/drawing/2014/chart" uri="{C3380CC4-5D6E-409C-BE32-E72D297353CC}">
              <c16:uniqueId val="{0000000D-F8DB-455B-9300-701168328A2C}"/>
            </c:ext>
          </c:extLst>
        </c:ser>
        <c:ser>
          <c:idx val="14"/>
          <c:order val="14"/>
          <c:spPr>
            <a:ln cmpd="sng">
              <a:solidFill>
                <a:srgbClr val="FDE49B"/>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Tabellenblatt1!$P$914:$P$935</c:f>
              <c:numCache>
                <c:formatCode>General</c:formatCode>
                <c:ptCount val="22"/>
                <c:pt idx="0">
                  <c:v>114</c:v>
                </c:pt>
                <c:pt idx="1">
                  <c:v>114</c:v>
                </c:pt>
                <c:pt idx="2">
                  <c:v>114</c:v>
                </c:pt>
                <c:pt idx="3">
                  <c:v>110</c:v>
                </c:pt>
                <c:pt idx="4">
                  <c:v>106</c:v>
                </c:pt>
                <c:pt idx="5">
                  <c:v>101</c:v>
                </c:pt>
                <c:pt idx="6">
                  <c:v>97</c:v>
                </c:pt>
                <c:pt idx="7">
                  <c:v>89</c:v>
                </c:pt>
                <c:pt idx="8">
                  <c:v>80</c:v>
                </c:pt>
                <c:pt idx="9">
                  <c:v>72</c:v>
                </c:pt>
                <c:pt idx="10">
                  <c:v>70</c:v>
                </c:pt>
                <c:pt idx="11">
                  <c:v>66</c:v>
                </c:pt>
                <c:pt idx="12">
                  <c:v>63</c:v>
                </c:pt>
                <c:pt idx="13">
                  <c:v>61</c:v>
                </c:pt>
                <c:pt idx="14">
                  <c:v>57</c:v>
                </c:pt>
                <c:pt idx="15">
                  <c:v>57</c:v>
                </c:pt>
                <c:pt idx="16">
                  <c:v>57</c:v>
                </c:pt>
                <c:pt idx="17">
                  <c:v>57</c:v>
                </c:pt>
                <c:pt idx="18">
                  <c:v>57</c:v>
                </c:pt>
                <c:pt idx="19">
                  <c:v>57</c:v>
                </c:pt>
                <c:pt idx="20">
                  <c:v>57</c:v>
                </c:pt>
                <c:pt idx="21">
                  <c:v>57</c:v>
                </c:pt>
              </c:numCache>
            </c:numRef>
          </c:val>
          <c:smooth val="0"/>
          <c:extLst>
            <c:ext xmlns:c16="http://schemas.microsoft.com/office/drawing/2014/chart" uri="{C3380CC4-5D6E-409C-BE32-E72D297353CC}">
              <c16:uniqueId val="{0000000E-F8DB-455B-9300-701168328A2C}"/>
            </c:ext>
          </c:extLst>
        </c:ser>
        <c:ser>
          <c:idx val="15"/>
          <c:order val="15"/>
          <c:spPr>
            <a:ln cmpd="sng">
              <a:solidFill>
                <a:srgbClr val="AEDCBA"/>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Tabellenblatt1!$Q$914:$Q$935</c:f>
              <c:numCache>
                <c:formatCode>General</c:formatCode>
                <c:ptCount val="22"/>
                <c:pt idx="0">
                  <c:v>113</c:v>
                </c:pt>
                <c:pt idx="1">
                  <c:v>113</c:v>
                </c:pt>
                <c:pt idx="2">
                  <c:v>113</c:v>
                </c:pt>
                <c:pt idx="3">
                  <c:v>109</c:v>
                </c:pt>
                <c:pt idx="4">
                  <c:v>105</c:v>
                </c:pt>
                <c:pt idx="5">
                  <c:v>100</c:v>
                </c:pt>
                <c:pt idx="6">
                  <c:v>96</c:v>
                </c:pt>
                <c:pt idx="7">
                  <c:v>88</c:v>
                </c:pt>
                <c:pt idx="8">
                  <c:v>80</c:v>
                </c:pt>
                <c:pt idx="9">
                  <c:v>71</c:v>
                </c:pt>
                <c:pt idx="10">
                  <c:v>68</c:v>
                </c:pt>
                <c:pt idx="11">
                  <c:v>66</c:v>
                </c:pt>
                <c:pt idx="12">
                  <c:v>63</c:v>
                </c:pt>
                <c:pt idx="13">
                  <c:v>59</c:v>
                </c:pt>
                <c:pt idx="14">
                  <c:v>57</c:v>
                </c:pt>
                <c:pt idx="15">
                  <c:v>57</c:v>
                </c:pt>
                <c:pt idx="16">
                  <c:v>57</c:v>
                </c:pt>
                <c:pt idx="17">
                  <c:v>57</c:v>
                </c:pt>
                <c:pt idx="18">
                  <c:v>57</c:v>
                </c:pt>
                <c:pt idx="19">
                  <c:v>57</c:v>
                </c:pt>
                <c:pt idx="20">
                  <c:v>57</c:v>
                </c:pt>
                <c:pt idx="21">
                  <c:v>57</c:v>
                </c:pt>
              </c:numCache>
            </c:numRef>
          </c:val>
          <c:smooth val="0"/>
          <c:extLst>
            <c:ext xmlns:c16="http://schemas.microsoft.com/office/drawing/2014/chart" uri="{C3380CC4-5D6E-409C-BE32-E72D297353CC}">
              <c16:uniqueId val="{0000000F-F8DB-455B-9300-701168328A2C}"/>
            </c:ext>
          </c:extLst>
        </c:ser>
        <c:dLbls>
          <c:showLegendKey val="0"/>
          <c:showVal val="0"/>
          <c:showCatName val="0"/>
          <c:showSerName val="0"/>
          <c:showPercent val="0"/>
          <c:showBubbleSize val="0"/>
        </c:dLbls>
        <c:marker val="1"/>
        <c:smooth val="0"/>
        <c:axId val="1927459265"/>
        <c:axId val="1810251194"/>
      </c:lineChart>
      <c:catAx>
        <c:axId val="192745926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1810251194"/>
        <c:crosses val="autoZero"/>
        <c:auto val="1"/>
        <c:lblAlgn val="ctr"/>
        <c:lblOffset val="100"/>
        <c:noMultiLvlLbl val="1"/>
      </c:catAx>
      <c:valAx>
        <c:axId val="18102511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1927459265"/>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lineChart>
        <c:grouping val="standard"/>
        <c:varyColors val="1"/>
        <c:ser>
          <c:idx val="0"/>
          <c:order val="0"/>
          <c:spPr>
            <a:ln cmpd="sng">
              <a:solidFill>
                <a:srgbClr val="4285F4"/>
              </a:solidFill>
            </a:ln>
          </c:spPr>
          <c:marker>
            <c:symbol val="circle"/>
            <c:size val="2"/>
            <c:spPr>
              <a:solidFill>
                <a:srgbClr val="4285F4"/>
              </a:solidFill>
              <a:ln cmpd="sng">
                <a:solidFill>
                  <a:srgbClr val="4285F4"/>
                </a:solidFill>
              </a:ln>
            </c:spPr>
          </c:marker>
          <c:dLbls>
            <c:spPr>
              <a:noFill/>
              <a:ln>
                <a:noFill/>
              </a:ln>
              <a:effectLst/>
            </c:spPr>
            <c:txPr>
              <a:bodyPr/>
              <a:lstStyle/>
              <a:p>
                <a:pPr lvl="0">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Tabellenblatt1!$A$938:$A$959</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Tabellenblatt1!$B$938:$B$959</c:f>
              <c:numCache>
                <c:formatCode>General</c:formatCode>
                <c:ptCount val="22"/>
                <c:pt idx="0">
                  <c:v>149</c:v>
                </c:pt>
                <c:pt idx="1">
                  <c:v>149</c:v>
                </c:pt>
                <c:pt idx="2">
                  <c:v>149</c:v>
                </c:pt>
                <c:pt idx="3">
                  <c:v>149</c:v>
                </c:pt>
                <c:pt idx="4">
                  <c:v>149</c:v>
                </c:pt>
                <c:pt idx="5">
                  <c:v>144</c:v>
                </c:pt>
                <c:pt idx="6">
                  <c:v>137</c:v>
                </c:pt>
                <c:pt idx="7">
                  <c:v>126</c:v>
                </c:pt>
                <c:pt idx="8">
                  <c:v>115</c:v>
                </c:pt>
                <c:pt idx="9">
                  <c:v>104</c:v>
                </c:pt>
                <c:pt idx="10">
                  <c:v>92</c:v>
                </c:pt>
                <c:pt idx="11">
                  <c:v>91</c:v>
                </c:pt>
                <c:pt idx="12">
                  <c:v>89</c:v>
                </c:pt>
                <c:pt idx="13">
                  <c:v>88</c:v>
                </c:pt>
                <c:pt idx="14">
                  <c:v>87</c:v>
                </c:pt>
                <c:pt idx="15">
                  <c:v>85</c:v>
                </c:pt>
                <c:pt idx="16">
                  <c:v>84</c:v>
                </c:pt>
                <c:pt idx="17">
                  <c:v>83</c:v>
                </c:pt>
                <c:pt idx="18">
                  <c:v>81</c:v>
                </c:pt>
                <c:pt idx="19">
                  <c:v>80</c:v>
                </c:pt>
                <c:pt idx="20">
                  <c:v>79</c:v>
                </c:pt>
                <c:pt idx="21">
                  <c:v>78</c:v>
                </c:pt>
              </c:numCache>
            </c:numRef>
          </c:val>
          <c:smooth val="0"/>
          <c:extLst>
            <c:ext xmlns:c16="http://schemas.microsoft.com/office/drawing/2014/chart" uri="{C3380CC4-5D6E-409C-BE32-E72D297353CC}">
              <c16:uniqueId val="{00000000-1C53-4FFE-BBF4-11C07AEEA132}"/>
            </c:ext>
          </c:extLst>
        </c:ser>
        <c:ser>
          <c:idx val="1"/>
          <c:order val="1"/>
          <c:spPr>
            <a:ln cmpd="sng">
              <a:solidFill>
                <a:srgbClr val="EA4335"/>
              </a:solidFill>
            </a:ln>
          </c:spPr>
          <c:marker>
            <c:symbol val="none"/>
          </c:marker>
          <c:cat>
            <c:numRef>
              <c:f>Tabellenblatt1!$A$938:$A$959</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Tabellenblatt1!$C$938:$C$959</c:f>
              <c:numCache>
                <c:formatCode>General</c:formatCode>
                <c:ptCount val="22"/>
                <c:pt idx="0">
                  <c:v>143</c:v>
                </c:pt>
                <c:pt idx="1">
                  <c:v>143</c:v>
                </c:pt>
                <c:pt idx="2">
                  <c:v>143</c:v>
                </c:pt>
                <c:pt idx="3">
                  <c:v>143</c:v>
                </c:pt>
                <c:pt idx="4">
                  <c:v>143</c:v>
                </c:pt>
                <c:pt idx="5">
                  <c:v>137</c:v>
                </c:pt>
                <c:pt idx="6">
                  <c:v>132</c:v>
                </c:pt>
                <c:pt idx="7">
                  <c:v>120</c:v>
                </c:pt>
                <c:pt idx="8">
                  <c:v>110</c:v>
                </c:pt>
                <c:pt idx="9">
                  <c:v>100</c:v>
                </c:pt>
                <c:pt idx="10">
                  <c:v>88</c:v>
                </c:pt>
                <c:pt idx="11">
                  <c:v>87</c:v>
                </c:pt>
                <c:pt idx="12">
                  <c:v>85</c:v>
                </c:pt>
                <c:pt idx="13">
                  <c:v>84</c:v>
                </c:pt>
                <c:pt idx="14">
                  <c:v>83</c:v>
                </c:pt>
                <c:pt idx="15">
                  <c:v>81</c:v>
                </c:pt>
                <c:pt idx="16">
                  <c:v>80</c:v>
                </c:pt>
                <c:pt idx="17">
                  <c:v>79</c:v>
                </c:pt>
                <c:pt idx="18">
                  <c:v>79</c:v>
                </c:pt>
                <c:pt idx="19">
                  <c:v>78</c:v>
                </c:pt>
                <c:pt idx="20">
                  <c:v>76</c:v>
                </c:pt>
                <c:pt idx="21">
                  <c:v>75</c:v>
                </c:pt>
              </c:numCache>
            </c:numRef>
          </c:val>
          <c:smooth val="0"/>
          <c:extLst>
            <c:ext xmlns:c16="http://schemas.microsoft.com/office/drawing/2014/chart" uri="{C3380CC4-5D6E-409C-BE32-E72D297353CC}">
              <c16:uniqueId val="{00000001-1C53-4FFE-BBF4-11C07AEEA132}"/>
            </c:ext>
          </c:extLst>
        </c:ser>
        <c:ser>
          <c:idx val="2"/>
          <c:order val="2"/>
          <c:spPr>
            <a:ln cmpd="sng">
              <a:solidFill>
                <a:srgbClr val="FBBC04"/>
              </a:solidFill>
            </a:ln>
          </c:spPr>
          <c:marker>
            <c:symbol val="none"/>
          </c:marker>
          <c:cat>
            <c:numRef>
              <c:f>Tabellenblatt1!$A$938:$A$959</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Tabellenblatt1!$D$938:$D$959</c:f>
              <c:numCache>
                <c:formatCode>General</c:formatCode>
                <c:ptCount val="22"/>
                <c:pt idx="0">
                  <c:v>139</c:v>
                </c:pt>
                <c:pt idx="1">
                  <c:v>139</c:v>
                </c:pt>
                <c:pt idx="2">
                  <c:v>139</c:v>
                </c:pt>
                <c:pt idx="3">
                  <c:v>139</c:v>
                </c:pt>
                <c:pt idx="4">
                  <c:v>139</c:v>
                </c:pt>
                <c:pt idx="5">
                  <c:v>133</c:v>
                </c:pt>
                <c:pt idx="6">
                  <c:v>128</c:v>
                </c:pt>
                <c:pt idx="7">
                  <c:v>118</c:v>
                </c:pt>
                <c:pt idx="8">
                  <c:v>106</c:v>
                </c:pt>
                <c:pt idx="9">
                  <c:v>96</c:v>
                </c:pt>
                <c:pt idx="10">
                  <c:v>85</c:v>
                </c:pt>
                <c:pt idx="11">
                  <c:v>84</c:v>
                </c:pt>
                <c:pt idx="12">
                  <c:v>83</c:v>
                </c:pt>
                <c:pt idx="13">
                  <c:v>81</c:v>
                </c:pt>
                <c:pt idx="14">
                  <c:v>80</c:v>
                </c:pt>
                <c:pt idx="15">
                  <c:v>80</c:v>
                </c:pt>
                <c:pt idx="16">
                  <c:v>79</c:v>
                </c:pt>
                <c:pt idx="17">
                  <c:v>78</c:v>
                </c:pt>
                <c:pt idx="18">
                  <c:v>76</c:v>
                </c:pt>
                <c:pt idx="19">
                  <c:v>75</c:v>
                </c:pt>
                <c:pt idx="20">
                  <c:v>74</c:v>
                </c:pt>
                <c:pt idx="21">
                  <c:v>72</c:v>
                </c:pt>
              </c:numCache>
            </c:numRef>
          </c:val>
          <c:smooth val="0"/>
          <c:extLst>
            <c:ext xmlns:c16="http://schemas.microsoft.com/office/drawing/2014/chart" uri="{C3380CC4-5D6E-409C-BE32-E72D297353CC}">
              <c16:uniqueId val="{00000002-1C53-4FFE-BBF4-11C07AEEA132}"/>
            </c:ext>
          </c:extLst>
        </c:ser>
        <c:ser>
          <c:idx val="3"/>
          <c:order val="3"/>
          <c:spPr>
            <a:ln cmpd="sng">
              <a:solidFill>
                <a:srgbClr val="34A853"/>
              </a:solidFill>
            </a:ln>
          </c:spPr>
          <c:marker>
            <c:symbol val="none"/>
          </c:marker>
          <c:cat>
            <c:numRef>
              <c:f>Tabellenblatt1!$A$938:$A$959</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Tabellenblatt1!$E$938:$E$959</c:f>
              <c:numCache>
                <c:formatCode>General</c:formatCode>
                <c:ptCount val="22"/>
                <c:pt idx="0">
                  <c:v>136</c:v>
                </c:pt>
                <c:pt idx="1">
                  <c:v>136</c:v>
                </c:pt>
                <c:pt idx="2">
                  <c:v>136</c:v>
                </c:pt>
                <c:pt idx="3">
                  <c:v>136</c:v>
                </c:pt>
                <c:pt idx="4">
                  <c:v>136</c:v>
                </c:pt>
                <c:pt idx="5">
                  <c:v>131</c:v>
                </c:pt>
                <c:pt idx="6">
                  <c:v>126</c:v>
                </c:pt>
                <c:pt idx="7">
                  <c:v>115</c:v>
                </c:pt>
                <c:pt idx="8">
                  <c:v>105</c:v>
                </c:pt>
                <c:pt idx="9">
                  <c:v>94</c:v>
                </c:pt>
                <c:pt idx="10">
                  <c:v>84</c:v>
                </c:pt>
                <c:pt idx="11">
                  <c:v>83</c:v>
                </c:pt>
                <c:pt idx="12">
                  <c:v>81</c:v>
                </c:pt>
                <c:pt idx="13">
                  <c:v>80</c:v>
                </c:pt>
                <c:pt idx="14">
                  <c:v>79</c:v>
                </c:pt>
                <c:pt idx="15">
                  <c:v>78</c:v>
                </c:pt>
                <c:pt idx="16">
                  <c:v>76</c:v>
                </c:pt>
                <c:pt idx="17">
                  <c:v>76</c:v>
                </c:pt>
                <c:pt idx="18">
                  <c:v>75</c:v>
                </c:pt>
                <c:pt idx="19">
                  <c:v>74</c:v>
                </c:pt>
                <c:pt idx="20">
                  <c:v>72</c:v>
                </c:pt>
                <c:pt idx="21">
                  <c:v>71</c:v>
                </c:pt>
              </c:numCache>
            </c:numRef>
          </c:val>
          <c:smooth val="0"/>
          <c:extLst>
            <c:ext xmlns:c16="http://schemas.microsoft.com/office/drawing/2014/chart" uri="{C3380CC4-5D6E-409C-BE32-E72D297353CC}">
              <c16:uniqueId val="{00000003-1C53-4FFE-BBF4-11C07AEEA132}"/>
            </c:ext>
          </c:extLst>
        </c:ser>
        <c:ser>
          <c:idx val="4"/>
          <c:order val="4"/>
          <c:spPr>
            <a:ln cmpd="sng">
              <a:solidFill>
                <a:srgbClr val="FF6D01"/>
              </a:solidFill>
            </a:ln>
          </c:spPr>
          <c:marker>
            <c:symbol val="none"/>
          </c:marker>
          <c:cat>
            <c:numRef>
              <c:f>Tabellenblatt1!$A$938:$A$959</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Tabellenblatt1!$F$938:$F$959</c:f>
              <c:numCache>
                <c:formatCode>General</c:formatCode>
                <c:ptCount val="22"/>
                <c:pt idx="0">
                  <c:v>133</c:v>
                </c:pt>
                <c:pt idx="1">
                  <c:v>133</c:v>
                </c:pt>
                <c:pt idx="2">
                  <c:v>133</c:v>
                </c:pt>
                <c:pt idx="3">
                  <c:v>133</c:v>
                </c:pt>
                <c:pt idx="4">
                  <c:v>133</c:v>
                </c:pt>
                <c:pt idx="5">
                  <c:v>128</c:v>
                </c:pt>
                <c:pt idx="6">
                  <c:v>123</c:v>
                </c:pt>
                <c:pt idx="7">
                  <c:v>113</c:v>
                </c:pt>
                <c:pt idx="8">
                  <c:v>102</c:v>
                </c:pt>
                <c:pt idx="9">
                  <c:v>93</c:v>
                </c:pt>
                <c:pt idx="10">
                  <c:v>83</c:v>
                </c:pt>
                <c:pt idx="11">
                  <c:v>81</c:v>
                </c:pt>
                <c:pt idx="12">
                  <c:v>80</c:v>
                </c:pt>
                <c:pt idx="13">
                  <c:v>79</c:v>
                </c:pt>
                <c:pt idx="14">
                  <c:v>78</c:v>
                </c:pt>
                <c:pt idx="15">
                  <c:v>76</c:v>
                </c:pt>
                <c:pt idx="16">
                  <c:v>75</c:v>
                </c:pt>
                <c:pt idx="17">
                  <c:v>75</c:v>
                </c:pt>
                <c:pt idx="18">
                  <c:v>74</c:v>
                </c:pt>
                <c:pt idx="19">
                  <c:v>72</c:v>
                </c:pt>
                <c:pt idx="20">
                  <c:v>71</c:v>
                </c:pt>
                <c:pt idx="21">
                  <c:v>70</c:v>
                </c:pt>
              </c:numCache>
            </c:numRef>
          </c:val>
          <c:smooth val="0"/>
          <c:extLst>
            <c:ext xmlns:c16="http://schemas.microsoft.com/office/drawing/2014/chart" uri="{C3380CC4-5D6E-409C-BE32-E72D297353CC}">
              <c16:uniqueId val="{00000004-1C53-4FFE-BBF4-11C07AEEA132}"/>
            </c:ext>
          </c:extLst>
        </c:ser>
        <c:ser>
          <c:idx val="5"/>
          <c:order val="5"/>
          <c:spPr>
            <a:ln cmpd="sng">
              <a:solidFill>
                <a:srgbClr val="46BDC6"/>
              </a:solidFill>
            </a:ln>
          </c:spPr>
          <c:marker>
            <c:symbol val="none"/>
          </c:marker>
          <c:cat>
            <c:numRef>
              <c:f>Tabellenblatt1!$A$938:$A$959</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Tabellenblatt1!$G$938:$G$959</c:f>
              <c:numCache>
                <c:formatCode>General</c:formatCode>
                <c:ptCount val="22"/>
                <c:pt idx="0">
                  <c:v>132</c:v>
                </c:pt>
                <c:pt idx="1">
                  <c:v>132</c:v>
                </c:pt>
                <c:pt idx="2">
                  <c:v>132</c:v>
                </c:pt>
                <c:pt idx="3">
                  <c:v>132</c:v>
                </c:pt>
                <c:pt idx="4">
                  <c:v>132</c:v>
                </c:pt>
                <c:pt idx="5">
                  <c:v>127</c:v>
                </c:pt>
                <c:pt idx="6">
                  <c:v>122</c:v>
                </c:pt>
                <c:pt idx="7">
                  <c:v>111</c:v>
                </c:pt>
                <c:pt idx="8">
                  <c:v>102</c:v>
                </c:pt>
                <c:pt idx="9">
                  <c:v>92</c:v>
                </c:pt>
                <c:pt idx="10">
                  <c:v>81</c:v>
                </c:pt>
                <c:pt idx="11">
                  <c:v>80</c:v>
                </c:pt>
                <c:pt idx="12">
                  <c:v>79</c:v>
                </c:pt>
                <c:pt idx="13">
                  <c:v>78</c:v>
                </c:pt>
                <c:pt idx="14">
                  <c:v>76</c:v>
                </c:pt>
                <c:pt idx="15">
                  <c:v>76</c:v>
                </c:pt>
                <c:pt idx="16">
                  <c:v>75</c:v>
                </c:pt>
                <c:pt idx="17">
                  <c:v>74</c:v>
                </c:pt>
                <c:pt idx="18">
                  <c:v>72</c:v>
                </c:pt>
                <c:pt idx="19">
                  <c:v>71</c:v>
                </c:pt>
                <c:pt idx="20">
                  <c:v>70</c:v>
                </c:pt>
                <c:pt idx="21">
                  <c:v>70</c:v>
                </c:pt>
              </c:numCache>
            </c:numRef>
          </c:val>
          <c:smooth val="0"/>
          <c:extLst>
            <c:ext xmlns:c16="http://schemas.microsoft.com/office/drawing/2014/chart" uri="{C3380CC4-5D6E-409C-BE32-E72D297353CC}">
              <c16:uniqueId val="{00000005-1C53-4FFE-BBF4-11C07AEEA132}"/>
            </c:ext>
          </c:extLst>
        </c:ser>
        <c:ser>
          <c:idx val="6"/>
          <c:order val="6"/>
          <c:spPr>
            <a:ln cmpd="sng">
              <a:solidFill>
                <a:srgbClr val="7BAAF7"/>
              </a:solidFill>
            </a:ln>
          </c:spPr>
          <c:marker>
            <c:symbol val="none"/>
          </c:marker>
          <c:cat>
            <c:numRef>
              <c:f>Tabellenblatt1!$A$938:$A$959</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Tabellenblatt1!$H$938:$H$959</c:f>
              <c:numCache>
                <c:formatCode>General</c:formatCode>
                <c:ptCount val="22"/>
                <c:pt idx="0">
                  <c:v>130</c:v>
                </c:pt>
                <c:pt idx="1">
                  <c:v>130</c:v>
                </c:pt>
                <c:pt idx="2">
                  <c:v>130</c:v>
                </c:pt>
                <c:pt idx="3">
                  <c:v>130</c:v>
                </c:pt>
                <c:pt idx="4">
                  <c:v>130</c:v>
                </c:pt>
                <c:pt idx="5">
                  <c:v>124</c:v>
                </c:pt>
                <c:pt idx="6">
                  <c:v>119</c:v>
                </c:pt>
                <c:pt idx="7">
                  <c:v>110</c:v>
                </c:pt>
                <c:pt idx="8">
                  <c:v>100</c:v>
                </c:pt>
                <c:pt idx="9">
                  <c:v>89</c:v>
                </c:pt>
                <c:pt idx="10">
                  <c:v>80</c:v>
                </c:pt>
                <c:pt idx="11">
                  <c:v>79</c:v>
                </c:pt>
                <c:pt idx="12">
                  <c:v>78</c:v>
                </c:pt>
                <c:pt idx="13">
                  <c:v>76</c:v>
                </c:pt>
                <c:pt idx="14">
                  <c:v>75</c:v>
                </c:pt>
                <c:pt idx="15">
                  <c:v>74</c:v>
                </c:pt>
                <c:pt idx="16">
                  <c:v>74</c:v>
                </c:pt>
                <c:pt idx="17">
                  <c:v>72</c:v>
                </c:pt>
                <c:pt idx="18">
                  <c:v>71</c:v>
                </c:pt>
                <c:pt idx="19">
                  <c:v>70</c:v>
                </c:pt>
                <c:pt idx="20">
                  <c:v>68</c:v>
                </c:pt>
                <c:pt idx="21">
                  <c:v>68</c:v>
                </c:pt>
              </c:numCache>
            </c:numRef>
          </c:val>
          <c:smooth val="0"/>
          <c:extLst>
            <c:ext xmlns:c16="http://schemas.microsoft.com/office/drawing/2014/chart" uri="{C3380CC4-5D6E-409C-BE32-E72D297353CC}">
              <c16:uniqueId val="{00000006-1C53-4FFE-BBF4-11C07AEEA132}"/>
            </c:ext>
          </c:extLst>
        </c:ser>
        <c:ser>
          <c:idx val="7"/>
          <c:order val="7"/>
          <c:spPr>
            <a:ln cmpd="sng">
              <a:solidFill>
                <a:srgbClr val="F07B72"/>
              </a:solidFill>
            </a:ln>
          </c:spPr>
          <c:marker>
            <c:symbol val="none"/>
          </c:marker>
          <c:cat>
            <c:numRef>
              <c:f>Tabellenblatt1!$A$938:$A$959</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Tabellenblatt1!$I$938:$I$959</c:f>
              <c:numCache>
                <c:formatCode>General</c:formatCode>
                <c:ptCount val="22"/>
                <c:pt idx="0">
                  <c:v>128</c:v>
                </c:pt>
                <c:pt idx="1">
                  <c:v>128</c:v>
                </c:pt>
                <c:pt idx="2">
                  <c:v>128</c:v>
                </c:pt>
                <c:pt idx="3">
                  <c:v>128</c:v>
                </c:pt>
                <c:pt idx="4">
                  <c:v>128</c:v>
                </c:pt>
                <c:pt idx="5">
                  <c:v>123</c:v>
                </c:pt>
                <c:pt idx="6">
                  <c:v>118</c:v>
                </c:pt>
                <c:pt idx="7">
                  <c:v>109</c:v>
                </c:pt>
                <c:pt idx="8">
                  <c:v>98</c:v>
                </c:pt>
                <c:pt idx="9">
                  <c:v>89</c:v>
                </c:pt>
                <c:pt idx="10">
                  <c:v>79</c:v>
                </c:pt>
                <c:pt idx="11">
                  <c:v>78</c:v>
                </c:pt>
                <c:pt idx="12">
                  <c:v>76</c:v>
                </c:pt>
                <c:pt idx="13">
                  <c:v>76</c:v>
                </c:pt>
                <c:pt idx="14">
                  <c:v>75</c:v>
                </c:pt>
                <c:pt idx="15">
                  <c:v>74</c:v>
                </c:pt>
                <c:pt idx="16">
                  <c:v>72</c:v>
                </c:pt>
                <c:pt idx="17">
                  <c:v>71</c:v>
                </c:pt>
                <c:pt idx="18">
                  <c:v>70</c:v>
                </c:pt>
                <c:pt idx="19">
                  <c:v>70</c:v>
                </c:pt>
                <c:pt idx="20">
                  <c:v>68</c:v>
                </c:pt>
                <c:pt idx="21">
                  <c:v>67</c:v>
                </c:pt>
              </c:numCache>
            </c:numRef>
          </c:val>
          <c:smooth val="0"/>
          <c:extLst>
            <c:ext xmlns:c16="http://schemas.microsoft.com/office/drawing/2014/chart" uri="{C3380CC4-5D6E-409C-BE32-E72D297353CC}">
              <c16:uniqueId val="{00000007-1C53-4FFE-BBF4-11C07AEEA132}"/>
            </c:ext>
          </c:extLst>
        </c:ser>
        <c:dLbls>
          <c:showLegendKey val="0"/>
          <c:showVal val="0"/>
          <c:showCatName val="0"/>
          <c:showSerName val="0"/>
          <c:showPercent val="0"/>
          <c:showBubbleSize val="0"/>
        </c:dLbls>
        <c:marker val="1"/>
        <c:smooth val="0"/>
        <c:axId val="812002086"/>
        <c:axId val="1786060925"/>
      </c:lineChart>
      <c:catAx>
        <c:axId val="81200208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1786060925"/>
        <c:crosses val="autoZero"/>
        <c:auto val="1"/>
        <c:lblAlgn val="ctr"/>
        <c:lblOffset val="100"/>
        <c:noMultiLvlLbl val="1"/>
      </c:catAx>
      <c:valAx>
        <c:axId val="17860609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812002086"/>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lineChart>
        <c:grouping val="standard"/>
        <c:varyColors val="1"/>
        <c:ser>
          <c:idx val="0"/>
          <c:order val="0"/>
          <c:spPr>
            <a:ln cmpd="sng">
              <a:solidFill>
                <a:srgbClr val="4285F4"/>
              </a:solidFill>
            </a:ln>
          </c:spPr>
          <c:marker>
            <c:symbol val="circle"/>
            <c:size val="2"/>
            <c:spPr>
              <a:solidFill>
                <a:srgbClr val="4285F4"/>
              </a:solidFill>
              <a:ln cmpd="sng">
                <a:solidFill>
                  <a:srgbClr val="4285F4"/>
                </a:solidFill>
              </a:ln>
            </c:spPr>
          </c:marker>
          <c:dLbls>
            <c:spPr>
              <a:noFill/>
              <a:ln>
                <a:noFill/>
              </a:ln>
              <a:effectLst/>
            </c:spPr>
            <c:txPr>
              <a:bodyPr/>
              <a:lstStyle/>
              <a:p>
                <a:pPr lvl="0">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Tabellenblatt1!$B$890:$B$912</c:f>
              <c:numCache>
                <c:formatCode>General</c:formatCode>
                <c:ptCount val="23"/>
                <c:pt idx="0">
                  <c:v>113</c:v>
                </c:pt>
                <c:pt idx="1">
                  <c:v>105</c:v>
                </c:pt>
                <c:pt idx="2">
                  <c:v>98</c:v>
                </c:pt>
                <c:pt idx="3">
                  <c:v>91</c:v>
                </c:pt>
                <c:pt idx="4">
                  <c:v>84</c:v>
                </c:pt>
                <c:pt idx="5">
                  <c:v>76</c:v>
                </c:pt>
                <c:pt idx="6">
                  <c:v>70</c:v>
                </c:pt>
                <c:pt idx="7">
                  <c:v>67</c:v>
                </c:pt>
                <c:pt idx="8">
                  <c:v>65</c:v>
                </c:pt>
                <c:pt idx="9">
                  <c:v>62</c:v>
                </c:pt>
                <c:pt idx="10">
                  <c:v>59</c:v>
                </c:pt>
                <c:pt idx="11">
                  <c:v>57</c:v>
                </c:pt>
                <c:pt idx="12">
                  <c:v>57</c:v>
                </c:pt>
                <c:pt idx="13">
                  <c:v>57</c:v>
                </c:pt>
                <c:pt idx="14">
                  <c:v>57</c:v>
                </c:pt>
                <c:pt idx="15">
                  <c:v>57</c:v>
                </c:pt>
                <c:pt idx="16">
                  <c:v>57</c:v>
                </c:pt>
                <c:pt idx="17">
                  <c:v>57</c:v>
                </c:pt>
                <c:pt idx="18">
                  <c:v>57</c:v>
                </c:pt>
                <c:pt idx="19">
                  <c:v>57</c:v>
                </c:pt>
                <c:pt idx="20">
                  <c:v>57</c:v>
                </c:pt>
                <c:pt idx="21">
                  <c:v>57</c:v>
                </c:pt>
              </c:numCache>
            </c:numRef>
          </c:val>
          <c:smooth val="0"/>
          <c:extLst>
            <c:ext xmlns:c16="http://schemas.microsoft.com/office/drawing/2014/chart" uri="{C3380CC4-5D6E-409C-BE32-E72D297353CC}">
              <c16:uniqueId val="{00000000-9C2C-4D63-830E-4895166A1547}"/>
            </c:ext>
          </c:extLst>
        </c:ser>
        <c:ser>
          <c:idx val="1"/>
          <c:order val="1"/>
          <c:spPr>
            <a:ln cmpd="sng">
              <a:solidFill>
                <a:srgbClr val="EA4335"/>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Tabellenblatt1!$C$890:$C$912</c:f>
              <c:numCache>
                <c:formatCode>General</c:formatCode>
                <c:ptCount val="23"/>
                <c:pt idx="0">
                  <c:v>110</c:v>
                </c:pt>
                <c:pt idx="1">
                  <c:v>102</c:v>
                </c:pt>
                <c:pt idx="2">
                  <c:v>96</c:v>
                </c:pt>
                <c:pt idx="3">
                  <c:v>88</c:v>
                </c:pt>
                <c:pt idx="4">
                  <c:v>81</c:v>
                </c:pt>
                <c:pt idx="5">
                  <c:v>75</c:v>
                </c:pt>
                <c:pt idx="6">
                  <c:v>68</c:v>
                </c:pt>
                <c:pt idx="7">
                  <c:v>65</c:v>
                </c:pt>
                <c:pt idx="8">
                  <c:v>63</c:v>
                </c:pt>
                <c:pt idx="9">
                  <c:v>61</c:v>
                </c:pt>
                <c:pt idx="10">
                  <c:v>58</c:v>
                </c:pt>
                <c:pt idx="11">
                  <c:v>55</c:v>
                </c:pt>
                <c:pt idx="12">
                  <c:v>55</c:v>
                </c:pt>
                <c:pt idx="13">
                  <c:v>55</c:v>
                </c:pt>
                <c:pt idx="14">
                  <c:v>55</c:v>
                </c:pt>
                <c:pt idx="15">
                  <c:v>55</c:v>
                </c:pt>
                <c:pt idx="16">
                  <c:v>55</c:v>
                </c:pt>
                <c:pt idx="17">
                  <c:v>55</c:v>
                </c:pt>
                <c:pt idx="18">
                  <c:v>55</c:v>
                </c:pt>
                <c:pt idx="19">
                  <c:v>55</c:v>
                </c:pt>
                <c:pt idx="20">
                  <c:v>55</c:v>
                </c:pt>
                <c:pt idx="21">
                  <c:v>55</c:v>
                </c:pt>
              </c:numCache>
            </c:numRef>
          </c:val>
          <c:smooth val="0"/>
          <c:extLst>
            <c:ext xmlns:c16="http://schemas.microsoft.com/office/drawing/2014/chart" uri="{C3380CC4-5D6E-409C-BE32-E72D297353CC}">
              <c16:uniqueId val="{00000001-9C2C-4D63-830E-4895166A1547}"/>
            </c:ext>
          </c:extLst>
        </c:ser>
        <c:ser>
          <c:idx val="2"/>
          <c:order val="2"/>
          <c:spPr>
            <a:ln cmpd="sng">
              <a:solidFill>
                <a:srgbClr val="FBBC04"/>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Tabellenblatt1!$D$890:$D$912</c:f>
              <c:numCache>
                <c:formatCode>General</c:formatCode>
                <c:ptCount val="23"/>
                <c:pt idx="0">
                  <c:v>107</c:v>
                </c:pt>
                <c:pt idx="1">
                  <c:v>101</c:v>
                </c:pt>
                <c:pt idx="2">
                  <c:v>93</c:v>
                </c:pt>
                <c:pt idx="3">
                  <c:v>87</c:v>
                </c:pt>
                <c:pt idx="4">
                  <c:v>80</c:v>
                </c:pt>
                <c:pt idx="5">
                  <c:v>74</c:v>
                </c:pt>
                <c:pt idx="6">
                  <c:v>66</c:v>
                </c:pt>
                <c:pt idx="7">
                  <c:v>63</c:v>
                </c:pt>
                <c:pt idx="8">
                  <c:v>61</c:v>
                </c:pt>
                <c:pt idx="9">
                  <c:v>59</c:v>
                </c:pt>
                <c:pt idx="10">
                  <c:v>57</c:v>
                </c:pt>
                <c:pt idx="11">
                  <c:v>54</c:v>
                </c:pt>
                <c:pt idx="12">
                  <c:v>54</c:v>
                </c:pt>
                <c:pt idx="13">
                  <c:v>54</c:v>
                </c:pt>
                <c:pt idx="14">
                  <c:v>54</c:v>
                </c:pt>
                <c:pt idx="15">
                  <c:v>54</c:v>
                </c:pt>
                <c:pt idx="16">
                  <c:v>54</c:v>
                </c:pt>
                <c:pt idx="17">
                  <c:v>54</c:v>
                </c:pt>
                <c:pt idx="18">
                  <c:v>54</c:v>
                </c:pt>
                <c:pt idx="19">
                  <c:v>54</c:v>
                </c:pt>
                <c:pt idx="20">
                  <c:v>54</c:v>
                </c:pt>
                <c:pt idx="21">
                  <c:v>54</c:v>
                </c:pt>
              </c:numCache>
            </c:numRef>
          </c:val>
          <c:smooth val="0"/>
          <c:extLst>
            <c:ext xmlns:c16="http://schemas.microsoft.com/office/drawing/2014/chart" uri="{C3380CC4-5D6E-409C-BE32-E72D297353CC}">
              <c16:uniqueId val="{00000002-9C2C-4D63-830E-4895166A1547}"/>
            </c:ext>
          </c:extLst>
        </c:ser>
        <c:ser>
          <c:idx val="3"/>
          <c:order val="3"/>
          <c:spPr>
            <a:ln cmpd="sng">
              <a:solidFill>
                <a:srgbClr val="34A853"/>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Tabellenblatt1!$E$890:$E$912</c:f>
              <c:numCache>
                <c:formatCode>General</c:formatCode>
                <c:ptCount val="23"/>
                <c:pt idx="0">
                  <c:v>104</c:v>
                </c:pt>
                <c:pt idx="1">
                  <c:v>97</c:v>
                </c:pt>
                <c:pt idx="2">
                  <c:v>91</c:v>
                </c:pt>
                <c:pt idx="3">
                  <c:v>84</c:v>
                </c:pt>
                <c:pt idx="4">
                  <c:v>78</c:v>
                </c:pt>
                <c:pt idx="5">
                  <c:v>71</c:v>
                </c:pt>
                <c:pt idx="6">
                  <c:v>65</c:v>
                </c:pt>
                <c:pt idx="7">
                  <c:v>61</c:v>
                </c:pt>
                <c:pt idx="8">
                  <c:v>59</c:v>
                </c:pt>
                <c:pt idx="9">
                  <c:v>57</c:v>
                </c:pt>
                <c:pt idx="10">
                  <c:v>54</c:v>
                </c:pt>
                <c:pt idx="11">
                  <c:v>52</c:v>
                </c:pt>
                <c:pt idx="12">
                  <c:v>52</c:v>
                </c:pt>
                <c:pt idx="13">
                  <c:v>52</c:v>
                </c:pt>
                <c:pt idx="14">
                  <c:v>52</c:v>
                </c:pt>
                <c:pt idx="15">
                  <c:v>52</c:v>
                </c:pt>
                <c:pt idx="16">
                  <c:v>52</c:v>
                </c:pt>
                <c:pt idx="17">
                  <c:v>52</c:v>
                </c:pt>
                <c:pt idx="18">
                  <c:v>52</c:v>
                </c:pt>
                <c:pt idx="19">
                  <c:v>52</c:v>
                </c:pt>
                <c:pt idx="20">
                  <c:v>52</c:v>
                </c:pt>
                <c:pt idx="21">
                  <c:v>52</c:v>
                </c:pt>
              </c:numCache>
            </c:numRef>
          </c:val>
          <c:smooth val="0"/>
          <c:extLst>
            <c:ext xmlns:c16="http://schemas.microsoft.com/office/drawing/2014/chart" uri="{C3380CC4-5D6E-409C-BE32-E72D297353CC}">
              <c16:uniqueId val="{00000003-9C2C-4D63-830E-4895166A1547}"/>
            </c:ext>
          </c:extLst>
        </c:ser>
        <c:ser>
          <c:idx val="4"/>
          <c:order val="4"/>
          <c:spPr>
            <a:ln cmpd="sng">
              <a:solidFill>
                <a:srgbClr val="FF6D01"/>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Tabellenblatt1!$F$890:$F$912</c:f>
              <c:numCache>
                <c:formatCode>General</c:formatCode>
                <c:ptCount val="23"/>
                <c:pt idx="0">
                  <c:v>101</c:v>
                </c:pt>
                <c:pt idx="1">
                  <c:v>94</c:v>
                </c:pt>
                <c:pt idx="2">
                  <c:v>88</c:v>
                </c:pt>
                <c:pt idx="3">
                  <c:v>81</c:v>
                </c:pt>
                <c:pt idx="4">
                  <c:v>75</c:v>
                </c:pt>
                <c:pt idx="5">
                  <c:v>68</c:v>
                </c:pt>
                <c:pt idx="6">
                  <c:v>62</c:v>
                </c:pt>
                <c:pt idx="7">
                  <c:v>59</c:v>
                </c:pt>
                <c:pt idx="8">
                  <c:v>58</c:v>
                </c:pt>
                <c:pt idx="9">
                  <c:v>55</c:v>
                </c:pt>
                <c:pt idx="10">
                  <c:v>53</c:v>
                </c:pt>
                <c:pt idx="11">
                  <c:v>50</c:v>
                </c:pt>
                <c:pt idx="12">
                  <c:v>50</c:v>
                </c:pt>
                <c:pt idx="13">
                  <c:v>50</c:v>
                </c:pt>
                <c:pt idx="14">
                  <c:v>50</c:v>
                </c:pt>
                <c:pt idx="15">
                  <c:v>50</c:v>
                </c:pt>
                <c:pt idx="16">
                  <c:v>50</c:v>
                </c:pt>
                <c:pt idx="17">
                  <c:v>50</c:v>
                </c:pt>
                <c:pt idx="18">
                  <c:v>50</c:v>
                </c:pt>
                <c:pt idx="19">
                  <c:v>50</c:v>
                </c:pt>
                <c:pt idx="20">
                  <c:v>50</c:v>
                </c:pt>
                <c:pt idx="21">
                  <c:v>50</c:v>
                </c:pt>
              </c:numCache>
            </c:numRef>
          </c:val>
          <c:smooth val="0"/>
          <c:extLst>
            <c:ext xmlns:c16="http://schemas.microsoft.com/office/drawing/2014/chart" uri="{C3380CC4-5D6E-409C-BE32-E72D297353CC}">
              <c16:uniqueId val="{00000004-9C2C-4D63-830E-4895166A1547}"/>
            </c:ext>
          </c:extLst>
        </c:ser>
        <c:ser>
          <c:idx val="5"/>
          <c:order val="5"/>
          <c:spPr>
            <a:ln cmpd="sng">
              <a:solidFill>
                <a:srgbClr val="46BDC6"/>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Tabellenblatt1!$G$890:$G$912</c:f>
              <c:numCache>
                <c:formatCode>General</c:formatCode>
                <c:ptCount val="23"/>
                <c:pt idx="0">
                  <c:v>98</c:v>
                </c:pt>
                <c:pt idx="1">
                  <c:v>92</c:v>
                </c:pt>
                <c:pt idx="2">
                  <c:v>85</c:v>
                </c:pt>
                <c:pt idx="3">
                  <c:v>79</c:v>
                </c:pt>
                <c:pt idx="4">
                  <c:v>74</c:v>
                </c:pt>
                <c:pt idx="5">
                  <c:v>67</c:v>
                </c:pt>
                <c:pt idx="6">
                  <c:v>61</c:v>
                </c:pt>
                <c:pt idx="7">
                  <c:v>58</c:v>
                </c:pt>
                <c:pt idx="8">
                  <c:v>55</c:v>
                </c:pt>
                <c:pt idx="9">
                  <c:v>54</c:v>
                </c:pt>
                <c:pt idx="10">
                  <c:v>52</c:v>
                </c:pt>
                <c:pt idx="11">
                  <c:v>49</c:v>
                </c:pt>
                <c:pt idx="12">
                  <c:v>49</c:v>
                </c:pt>
                <c:pt idx="13">
                  <c:v>49</c:v>
                </c:pt>
                <c:pt idx="14">
                  <c:v>49</c:v>
                </c:pt>
                <c:pt idx="15">
                  <c:v>49</c:v>
                </c:pt>
                <c:pt idx="16">
                  <c:v>49</c:v>
                </c:pt>
                <c:pt idx="17">
                  <c:v>49</c:v>
                </c:pt>
                <c:pt idx="18">
                  <c:v>49</c:v>
                </c:pt>
                <c:pt idx="19">
                  <c:v>49</c:v>
                </c:pt>
                <c:pt idx="20">
                  <c:v>49</c:v>
                </c:pt>
                <c:pt idx="21">
                  <c:v>49</c:v>
                </c:pt>
              </c:numCache>
            </c:numRef>
          </c:val>
          <c:smooth val="0"/>
          <c:extLst>
            <c:ext xmlns:c16="http://schemas.microsoft.com/office/drawing/2014/chart" uri="{C3380CC4-5D6E-409C-BE32-E72D297353CC}">
              <c16:uniqueId val="{00000005-9C2C-4D63-830E-4895166A1547}"/>
            </c:ext>
          </c:extLst>
        </c:ser>
        <c:dLbls>
          <c:showLegendKey val="0"/>
          <c:showVal val="0"/>
          <c:showCatName val="0"/>
          <c:showSerName val="0"/>
          <c:showPercent val="0"/>
          <c:showBubbleSize val="0"/>
        </c:dLbls>
        <c:marker val="1"/>
        <c:smooth val="0"/>
        <c:axId val="614625046"/>
        <c:axId val="1502209118"/>
      </c:lineChart>
      <c:catAx>
        <c:axId val="61462504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1502209118"/>
        <c:crosses val="autoZero"/>
        <c:auto val="1"/>
        <c:lblAlgn val="ctr"/>
        <c:lblOffset val="100"/>
        <c:noMultiLvlLbl val="1"/>
      </c:catAx>
      <c:valAx>
        <c:axId val="15022091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614625046"/>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lineChart>
        <c:grouping val="standard"/>
        <c:varyColors val="1"/>
        <c:ser>
          <c:idx val="0"/>
          <c:order val="0"/>
          <c:spPr>
            <a:ln cmpd="sng">
              <a:solidFill>
                <a:srgbClr val="4285F4"/>
              </a:solidFill>
            </a:ln>
          </c:spPr>
          <c:marker>
            <c:symbol val="circle"/>
            <c:size val="2"/>
            <c:spPr>
              <a:solidFill>
                <a:srgbClr val="4285F4"/>
              </a:solidFill>
              <a:ln cmpd="sng">
                <a:solidFill>
                  <a:srgbClr val="4285F4"/>
                </a:solidFill>
              </a:ln>
            </c:spPr>
          </c:marker>
          <c:dLbls>
            <c:spPr>
              <a:noFill/>
              <a:ln>
                <a:noFill/>
              </a:ln>
              <a:effectLst/>
            </c:spPr>
            <c:txPr>
              <a:bodyPr/>
              <a:lstStyle/>
              <a:p>
                <a:pPr lvl="0">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Tabellenblatt1!$R$938:$R$959</c:f>
              <c:numCache>
                <c:formatCode>General</c:formatCode>
                <c:ptCount val="22"/>
                <c:pt idx="0">
                  <c:v>149</c:v>
                </c:pt>
                <c:pt idx="1">
                  <c:v>149</c:v>
                </c:pt>
                <c:pt idx="2">
                  <c:v>149</c:v>
                </c:pt>
                <c:pt idx="3">
                  <c:v>149</c:v>
                </c:pt>
                <c:pt idx="4">
                  <c:v>149</c:v>
                </c:pt>
                <c:pt idx="5">
                  <c:v>139</c:v>
                </c:pt>
                <c:pt idx="6">
                  <c:v>130</c:v>
                </c:pt>
                <c:pt idx="7">
                  <c:v>107</c:v>
                </c:pt>
                <c:pt idx="8">
                  <c:v>88</c:v>
                </c:pt>
                <c:pt idx="9">
                  <c:v>79</c:v>
                </c:pt>
                <c:pt idx="10">
                  <c:v>71</c:v>
                </c:pt>
                <c:pt idx="11">
                  <c:v>71</c:v>
                </c:pt>
                <c:pt idx="12">
                  <c:v>71</c:v>
                </c:pt>
                <c:pt idx="13">
                  <c:v>71</c:v>
                </c:pt>
                <c:pt idx="14">
                  <c:v>71</c:v>
                </c:pt>
                <c:pt idx="15">
                  <c:v>71</c:v>
                </c:pt>
                <c:pt idx="16">
                  <c:v>71</c:v>
                </c:pt>
                <c:pt idx="17">
                  <c:v>71</c:v>
                </c:pt>
                <c:pt idx="18">
                  <c:v>71</c:v>
                </c:pt>
                <c:pt idx="19">
                  <c:v>71</c:v>
                </c:pt>
                <c:pt idx="20">
                  <c:v>71</c:v>
                </c:pt>
                <c:pt idx="21">
                  <c:v>71</c:v>
                </c:pt>
              </c:numCache>
            </c:numRef>
          </c:val>
          <c:smooth val="0"/>
          <c:extLst>
            <c:ext xmlns:c16="http://schemas.microsoft.com/office/drawing/2014/chart" uri="{C3380CC4-5D6E-409C-BE32-E72D297353CC}">
              <c16:uniqueId val="{00000000-411E-4679-8340-342EBC966F5A}"/>
            </c:ext>
          </c:extLst>
        </c:ser>
        <c:ser>
          <c:idx val="1"/>
          <c:order val="1"/>
          <c:spPr>
            <a:ln cmpd="sng">
              <a:solidFill>
                <a:srgbClr val="EA4335"/>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Tabellenblatt1!$S$938:$S$959</c:f>
              <c:numCache>
                <c:formatCode>General</c:formatCode>
                <c:ptCount val="22"/>
                <c:pt idx="0">
                  <c:v>126</c:v>
                </c:pt>
                <c:pt idx="1">
                  <c:v>126</c:v>
                </c:pt>
                <c:pt idx="2">
                  <c:v>126</c:v>
                </c:pt>
                <c:pt idx="3">
                  <c:v>126</c:v>
                </c:pt>
                <c:pt idx="4">
                  <c:v>126</c:v>
                </c:pt>
                <c:pt idx="5">
                  <c:v>118</c:v>
                </c:pt>
                <c:pt idx="6">
                  <c:v>109</c:v>
                </c:pt>
                <c:pt idx="7">
                  <c:v>92</c:v>
                </c:pt>
                <c:pt idx="8">
                  <c:v>74</c:v>
                </c:pt>
                <c:pt idx="9">
                  <c:v>67</c:v>
                </c:pt>
                <c:pt idx="10">
                  <c:v>59</c:v>
                </c:pt>
                <c:pt idx="11">
                  <c:v>59</c:v>
                </c:pt>
                <c:pt idx="12">
                  <c:v>59</c:v>
                </c:pt>
                <c:pt idx="13">
                  <c:v>59</c:v>
                </c:pt>
                <c:pt idx="14">
                  <c:v>59</c:v>
                </c:pt>
                <c:pt idx="15">
                  <c:v>59</c:v>
                </c:pt>
                <c:pt idx="16">
                  <c:v>59</c:v>
                </c:pt>
                <c:pt idx="17">
                  <c:v>59</c:v>
                </c:pt>
                <c:pt idx="18">
                  <c:v>59</c:v>
                </c:pt>
                <c:pt idx="19">
                  <c:v>59</c:v>
                </c:pt>
                <c:pt idx="20">
                  <c:v>59</c:v>
                </c:pt>
                <c:pt idx="21">
                  <c:v>59</c:v>
                </c:pt>
              </c:numCache>
            </c:numRef>
          </c:val>
          <c:smooth val="0"/>
          <c:extLst>
            <c:ext xmlns:c16="http://schemas.microsoft.com/office/drawing/2014/chart" uri="{C3380CC4-5D6E-409C-BE32-E72D297353CC}">
              <c16:uniqueId val="{00000001-411E-4679-8340-342EBC966F5A}"/>
            </c:ext>
          </c:extLst>
        </c:ser>
        <c:ser>
          <c:idx val="2"/>
          <c:order val="2"/>
          <c:spPr>
            <a:ln cmpd="sng">
              <a:solidFill>
                <a:srgbClr val="FBBC04"/>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Tabellenblatt1!$T$938:$T$959</c:f>
              <c:numCache>
                <c:formatCode>General</c:formatCode>
                <c:ptCount val="22"/>
                <c:pt idx="0">
                  <c:v>123</c:v>
                </c:pt>
                <c:pt idx="1">
                  <c:v>123</c:v>
                </c:pt>
                <c:pt idx="2">
                  <c:v>123</c:v>
                </c:pt>
                <c:pt idx="3">
                  <c:v>123</c:v>
                </c:pt>
                <c:pt idx="4">
                  <c:v>123</c:v>
                </c:pt>
                <c:pt idx="5">
                  <c:v>115</c:v>
                </c:pt>
                <c:pt idx="6">
                  <c:v>106</c:v>
                </c:pt>
                <c:pt idx="7">
                  <c:v>89</c:v>
                </c:pt>
                <c:pt idx="8">
                  <c:v>72</c:v>
                </c:pt>
                <c:pt idx="9">
                  <c:v>66</c:v>
                </c:pt>
                <c:pt idx="10">
                  <c:v>58</c:v>
                </c:pt>
                <c:pt idx="11">
                  <c:v>58</c:v>
                </c:pt>
                <c:pt idx="12">
                  <c:v>58</c:v>
                </c:pt>
                <c:pt idx="13">
                  <c:v>58</c:v>
                </c:pt>
                <c:pt idx="14">
                  <c:v>58</c:v>
                </c:pt>
                <c:pt idx="15">
                  <c:v>58</c:v>
                </c:pt>
                <c:pt idx="16">
                  <c:v>58</c:v>
                </c:pt>
                <c:pt idx="17">
                  <c:v>58</c:v>
                </c:pt>
                <c:pt idx="18">
                  <c:v>58</c:v>
                </c:pt>
                <c:pt idx="19">
                  <c:v>58</c:v>
                </c:pt>
                <c:pt idx="20">
                  <c:v>58</c:v>
                </c:pt>
                <c:pt idx="21">
                  <c:v>58</c:v>
                </c:pt>
              </c:numCache>
            </c:numRef>
          </c:val>
          <c:smooth val="0"/>
          <c:extLst>
            <c:ext xmlns:c16="http://schemas.microsoft.com/office/drawing/2014/chart" uri="{C3380CC4-5D6E-409C-BE32-E72D297353CC}">
              <c16:uniqueId val="{00000002-411E-4679-8340-342EBC966F5A}"/>
            </c:ext>
          </c:extLst>
        </c:ser>
        <c:ser>
          <c:idx val="3"/>
          <c:order val="3"/>
          <c:spPr>
            <a:ln cmpd="sng">
              <a:solidFill>
                <a:srgbClr val="34A853"/>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Tabellenblatt1!$U$938:$U$959</c:f>
              <c:numCache>
                <c:formatCode>General</c:formatCode>
                <c:ptCount val="22"/>
                <c:pt idx="0">
                  <c:v>122</c:v>
                </c:pt>
                <c:pt idx="1">
                  <c:v>122</c:v>
                </c:pt>
                <c:pt idx="2">
                  <c:v>122</c:v>
                </c:pt>
                <c:pt idx="3">
                  <c:v>122</c:v>
                </c:pt>
                <c:pt idx="4">
                  <c:v>122</c:v>
                </c:pt>
                <c:pt idx="5">
                  <c:v>114</c:v>
                </c:pt>
                <c:pt idx="6">
                  <c:v>105</c:v>
                </c:pt>
                <c:pt idx="7">
                  <c:v>88</c:v>
                </c:pt>
                <c:pt idx="8">
                  <c:v>71</c:v>
                </c:pt>
                <c:pt idx="9">
                  <c:v>65</c:v>
                </c:pt>
                <c:pt idx="10">
                  <c:v>58</c:v>
                </c:pt>
                <c:pt idx="11">
                  <c:v>58</c:v>
                </c:pt>
                <c:pt idx="12">
                  <c:v>58</c:v>
                </c:pt>
                <c:pt idx="13">
                  <c:v>58</c:v>
                </c:pt>
                <c:pt idx="14">
                  <c:v>58</c:v>
                </c:pt>
                <c:pt idx="15">
                  <c:v>58</c:v>
                </c:pt>
                <c:pt idx="16">
                  <c:v>58</c:v>
                </c:pt>
                <c:pt idx="17">
                  <c:v>58</c:v>
                </c:pt>
                <c:pt idx="18">
                  <c:v>58</c:v>
                </c:pt>
                <c:pt idx="19">
                  <c:v>58</c:v>
                </c:pt>
                <c:pt idx="20">
                  <c:v>58</c:v>
                </c:pt>
                <c:pt idx="21">
                  <c:v>58</c:v>
                </c:pt>
              </c:numCache>
            </c:numRef>
          </c:val>
          <c:smooth val="0"/>
          <c:extLst>
            <c:ext xmlns:c16="http://schemas.microsoft.com/office/drawing/2014/chart" uri="{C3380CC4-5D6E-409C-BE32-E72D297353CC}">
              <c16:uniqueId val="{00000003-411E-4679-8340-342EBC966F5A}"/>
            </c:ext>
          </c:extLst>
        </c:ser>
        <c:dLbls>
          <c:showLegendKey val="0"/>
          <c:showVal val="0"/>
          <c:showCatName val="0"/>
          <c:showSerName val="0"/>
          <c:showPercent val="0"/>
          <c:showBubbleSize val="0"/>
        </c:dLbls>
        <c:marker val="1"/>
        <c:smooth val="0"/>
        <c:axId val="1027593733"/>
        <c:axId val="243190181"/>
      </c:lineChart>
      <c:catAx>
        <c:axId val="102759373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243190181"/>
        <c:crosses val="autoZero"/>
        <c:auto val="1"/>
        <c:lblAlgn val="ctr"/>
        <c:lblOffset val="100"/>
        <c:noMultiLvlLbl val="1"/>
      </c:catAx>
      <c:valAx>
        <c:axId val="2431901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1027593733"/>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lineChart>
        <c:grouping val="standard"/>
        <c:varyColors val="1"/>
        <c:ser>
          <c:idx val="0"/>
          <c:order val="0"/>
          <c:spPr>
            <a:ln cmpd="sng">
              <a:solidFill>
                <a:srgbClr val="4285F4"/>
              </a:solidFill>
            </a:ln>
          </c:spPr>
          <c:marker>
            <c:symbol val="circle"/>
            <c:size val="2"/>
            <c:spPr>
              <a:solidFill>
                <a:srgbClr val="4285F4"/>
              </a:solidFill>
              <a:ln cmpd="sng">
                <a:solidFill>
                  <a:srgbClr val="4285F4"/>
                </a:solidFill>
              </a:ln>
            </c:spPr>
          </c:marker>
          <c:dLbls>
            <c:spPr>
              <a:noFill/>
              <a:ln>
                <a:noFill/>
              </a:ln>
              <a:effectLst/>
            </c:spPr>
            <c:txPr>
              <a:bodyPr/>
              <a:lstStyle/>
              <a:p>
                <a:pPr lvl="0">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Tabellenblatt1!$AC$938:$AC$959</c:f>
              <c:numCache>
                <c:formatCode>General</c:formatCode>
                <c:ptCount val="22"/>
                <c:pt idx="0">
                  <c:v>133</c:v>
                </c:pt>
                <c:pt idx="1">
                  <c:v>133</c:v>
                </c:pt>
                <c:pt idx="2">
                  <c:v>133</c:v>
                </c:pt>
                <c:pt idx="3">
                  <c:v>133</c:v>
                </c:pt>
                <c:pt idx="4">
                  <c:v>133</c:v>
                </c:pt>
                <c:pt idx="5">
                  <c:v>123</c:v>
                </c:pt>
                <c:pt idx="6">
                  <c:v>111</c:v>
                </c:pt>
                <c:pt idx="7">
                  <c:v>88</c:v>
                </c:pt>
                <c:pt idx="8">
                  <c:v>66</c:v>
                </c:pt>
                <c:pt idx="9">
                  <c:v>62</c:v>
                </c:pt>
                <c:pt idx="10">
                  <c:v>58</c:v>
                </c:pt>
                <c:pt idx="11">
                  <c:v>58</c:v>
                </c:pt>
                <c:pt idx="12">
                  <c:v>58</c:v>
                </c:pt>
                <c:pt idx="13">
                  <c:v>58</c:v>
                </c:pt>
                <c:pt idx="14">
                  <c:v>58</c:v>
                </c:pt>
                <c:pt idx="15">
                  <c:v>58</c:v>
                </c:pt>
                <c:pt idx="16">
                  <c:v>58</c:v>
                </c:pt>
                <c:pt idx="17">
                  <c:v>58</c:v>
                </c:pt>
                <c:pt idx="18">
                  <c:v>58</c:v>
                </c:pt>
                <c:pt idx="19">
                  <c:v>58</c:v>
                </c:pt>
                <c:pt idx="20">
                  <c:v>58</c:v>
                </c:pt>
                <c:pt idx="21">
                  <c:v>58</c:v>
                </c:pt>
              </c:numCache>
            </c:numRef>
          </c:val>
          <c:smooth val="0"/>
          <c:extLst>
            <c:ext xmlns:c16="http://schemas.microsoft.com/office/drawing/2014/chart" uri="{C3380CC4-5D6E-409C-BE32-E72D297353CC}">
              <c16:uniqueId val="{00000000-2798-442C-AEBC-C6FD9B514F19}"/>
            </c:ext>
          </c:extLst>
        </c:ser>
        <c:ser>
          <c:idx val="1"/>
          <c:order val="1"/>
          <c:spPr>
            <a:ln cmpd="sng">
              <a:solidFill>
                <a:srgbClr val="EA4335"/>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Tabellenblatt1!$AD$938:$AD$959</c:f>
              <c:numCache>
                <c:formatCode>General</c:formatCode>
                <c:ptCount val="22"/>
                <c:pt idx="0">
                  <c:v>113</c:v>
                </c:pt>
                <c:pt idx="1">
                  <c:v>113</c:v>
                </c:pt>
                <c:pt idx="2">
                  <c:v>113</c:v>
                </c:pt>
                <c:pt idx="3">
                  <c:v>113</c:v>
                </c:pt>
                <c:pt idx="4">
                  <c:v>113</c:v>
                </c:pt>
                <c:pt idx="5">
                  <c:v>104</c:v>
                </c:pt>
                <c:pt idx="6">
                  <c:v>93</c:v>
                </c:pt>
                <c:pt idx="7">
                  <c:v>75</c:v>
                </c:pt>
                <c:pt idx="8">
                  <c:v>55</c:v>
                </c:pt>
                <c:pt idx="9">
                  <c:v>52</c:v>
                </c:pt>
                <c:pt idx="10">
                  <c:v>49</c:v>
                </c:pt>
                <c:pt idx="11">
                  <c:v>49</c:v>
                </c:pt>
                <c:pt idx="12">
                  <c:v>49</c:v>
                </c:pt>
                <c:pt idx="13">
                  <c:v>49</c:v>
                </c:pt>
                <c:pt idx="14">
                  <c:v>49</c:v>
                </c:pt>
                <c:pt idx="15">
                  <c:v>49</c:v>
                </c:pt>
                <c:pt idx="16">
                  <c:v>49</c:v>
                </c:pt>
                <c:pt idx="17">
                  <c:v>49</c:v>
                </c:pt>
                <c:pt idx="18">
                  <c:v>49</c:v>
                </c:pt>
                <c:pt idx="19">
                  <c:v>49</c:v>
                </c:pt>
                <c:pt idx="20">
                  <c:v>49</c:v>
                </c:pt>
                <c:pt idx="21">
                  <c:v>49</c:v>
                </c:pt>
              </c:numCache>
            </c:numRef>
          </c:val>
          <c:smooth val="0"/>
          <c:extLst>
            <c:ext xmlns:c16="http://schemas.microsoft.com/office/drawing/2014/chart" uri="{C3380CC4-5D6E-409C-BE32-E72D297353CC}">
              <c16:uniqueId val="{00000001-2798-442C-AEBC-C6FD9B514F19}"/>
            </c:ext>
          </c:extLst>
        </c:ser>
        <c:ser>
          <c:idx val="2"/>
          <c:order val="2"/>
          <c:spPr>
            <a:ln cmpd="sng">
              <a:solidFill>
                <a:srgbClr val="FBBC04"/>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Tabellenblatt1!$AK$938:$AK$959</c:f>
              <c:numCache>
                <c:formatCode>General</c:formatCode>
                <c:ptCount val="22"/>
                <c:pt idx="0">
                  <c:v>133</c:v>
                </c:pt>
                <c:pt idx="1">
                  <c:v>133</c:v>
                </c:pt>
                <c:pt idx="2">
                  <c:v>133</c:v>
                </c:pt>
                <c:pt idx="3">
                  <c:v>133</c:v>
                </c:pt>
                <c:pt idx="4">
                  <c:v>133</c:v>
                </c:pt>
                <c:pt idx="5">
                  <c:v>122</c:v>
                </c:pt>
                <c:pt idx="6">
                  <c:v>110</c:v>
                </c:pt>
                <c:pt idx="7">
                  <c:v>87</c:v>
                </c:pt>
                <c:pt idx="8">
                  <c:v>63</c:v>
                </c:pt>
                <c:pt idx="9">
                  <c:v>59</c:v>
                </c:pt>
                <c:pt idx="10">
                  <c:v>55</c:v>
                </c:pt>
                <c:pt idx="11">
                  <c:v>55</c:v>
                </c:pt>
                <c:pt idx="12">
                  <c:v>55</c:v>
                </c:pt>
                <c:pt idx="13">
                  <c:v>55</c:v>
                </c:pt>
                <c:pt idx="14">
                  <c:v>55</c:v>
                </c:pt>
                <c:pt idx="15">
                  <c:v>55</c:v>
                </c:pt>
                <c:pt idx="16">
                  <c:v>55</c:v>
                </c:pt>
                <c:pt idx="17">
                  <c:v>55</c:v>
                </c:pt>
                <c:pt idx="18">
                  <c:v>55</c:v>
                </c:pt>
                <c:pt idx="19">
                  <c:v>55</c:v>
                </c:pt>
                <c:pt idx="20">
                  <c:v>55</c:v>
                </c:pt>
                <c:pt idx="21">
                  <c:v>55</c:v>
                </c:pt>
              </c:numCache>
            </c:numRef>
          </c:val>
          <c:smooth val="0"/>
          <c:extLst>
            <c:ext xmlns:c16="http://schemas.microsoft.com/office/drawing/2014/chart" uri="{C3380CC4-5D6E-409C-BE32-E72D297353CC}">
              <c16:uniqueId val="{00000002-2798-442C-AEBC-C6FD9B514F19}"/>
            </c:ext>
          </c:extLst>
        </c:ser>
        <c:dLbls>
          <c:showLegendKey val="0"/>
          <c:showVal val="0"/>
          <c:showCatName val="0"/>
          <c:showSerName val="0"/>
          <c:showPercent val="0"/>
          <c:showBubbleSize val="0"/>
        </c:dLbls>
        <c:marker val="1"/>
        <c:smooth val="0"/>
        <c:axId val="580306205"/>
        <c:axId val="1291147691"/>
      </c:lineChart>
      <c:catAx>
        <c:axId val="58030620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1291147691"/>
        <c:crosses val="autoZero"/>
        <c:auto val="1"/>
        <c:lblAlgn val="ctr"/>
        <c:lblOffset val="100"/>
        <c:noMultiLvlLbl val="1"/>
      </c:catAx>
      <c:valAx>
        <c:axId val="12911476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580306205"/>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lineChart>
        <c:grouping val="standard"/>
        <c:varyColors val="1"/>
        <c:ser>
          <c:idx val="0"/>
          <c:order val="0"/>
          <c:spPr>
            <a:ln cmpd="sng">
              <a:solidFill>
                <a:srgbClr val="4285F4"/>
              </a:solidFill>
            </a:ln>
          </c:spPr>
          <c:marker>
            <c:symbol val="circle"/>
            <c:size val="2"/>
            <c:spPr>
              <a:solidFill>
                <a:srgbClr val="4285F4"/>
              </a:solidFill>
              <a:ln cmpd="sng">
                <a:solidFill>
                  <a:srgbClr val="4285F4"/>
                </a:solidFill>
              </a:ln>
            </c:spPr>
          </c:marker>
          <c:dLbls>
            <c:spPr>
              <a:noFill/>
              <a:ln>
                <a:noFill/>
              </a:ln>
              <a:effectLst/>
            </c:spPr>
            <c:txPr>
              <a:bodyPr/>
              <a:lstStyle/>
              <a:p>
                <a:pPr lvl="0">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Tabellenblatt1!$Y$914:$Y$935</c:f>
              <c:numCache>
                <c:formatCode>General</c:formatCode>
                <c:ptCount val="22"/>
                <c:pt idx="0">
                  <c:v>114</c:v>
                </c:pt>
                <c:pt idx="1">
                  <c:v>114</c:v>
                </c:pt>
                <c:pt idx="2">
                  <c:v>114</c:v>
                </c:pt>
                <c:pt idx="3">
                  <c:v>106</c:v>
                </c:pt>
                <c:pt idx="4">
                  <c:v>97</c:v>
                </c:pt>
                <c:pt idx="5">
                  <c:v>88</c:v>
                </c:pt>
                <c:pt idx="6">
                  <c:v>80</c:v>
                </c:pt>
                <c:pt idx="7">
                  <c:v>63</c:v>
                </c:pt>
                <c:pt idx="8">
                  <c:v>58</c:v>
                </c:pt>
                <c:pt idx="9">
                  <c:v>54</c:v>
                </c:pt>
                <c:pt idx="10">
                  <c:v>54</c:v>
                </c:pt>
                <c:pt idx="11">
                  <c:v>54</c:v>
                </c:pt>
                <c:pt idx="12">
                  <c:v>54</c:v>
                </c:pt>
                <c:pt idx="13">
                  <c:v>54</c:v>
                </c:pt>
                <c:pt idx="14">
                  <c:v>54</c:v>
                </c:pt>
                <c:pt idx="15">
                  <c:v>54</c:v>
                </c:pt>
                <c:pt idx="16">
                  <c:v>54</c:v>
                </c:pt>
                <c:pt idx="17">
                  <c:v>54</c:v>
                </c:pt>
                <c:pt idx="18">
                  <c:v>54</c:v>
                </c:pt>
                <c:pt idx="19">
                  <c:v>54</c:v>
                </c:pt>
                <c:pt idx="20">
                  <c:v>54</c:v>
                </c:pt>
                <c:pt idx="21">
                  <c:v>54</c:v>
                </c:pt>
              </c:numCache>
            </c:numRef>
          </c:val>
          <c:smooth val="0"/>
          <c:extLst>
            <c:ext xmlns:c16="http://schemas.microsoft.com/office/drawing/2014/chart" uri="{C3380CC4-5D6E-409C-BE32-E72D297353CC}">
              <c16:uniqueId val="{00000000-8C9B-4CA2-A232-FC083708F4E3}"/>
            </c:ext>
          </c:extLst>
        </c:ser>
        <c:ser>
          <c:idx val="1"/>
          <c:order val="1"/>
          <c:spPr>
            <a:ln cmpd="sng">
              <a:solidFill>
                <a:srgbClr val="EA4335"/>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Tabellenblatt1!$Z$914:$Z$935</c:f>
              <c:numCache>
                <c:formatCode>General</c:formatCode>
                <c:ptCount val="22"/>
                <c:pt idx="0">
                  <c:v>110</c:v>
                </c:pt>
                <c:pt idx="1">
                  <c:v>110</c:v>
                </c:pt>
                <c:pt idx="2">
                  <c:v>110</c:v>
                </c:pt>
                <c:pt idx="3">
                  <c:v>101</c:v>
                </c:pt>
                <c:pt idx="4">
                  <c:v>93</c:v>
                </c:pt>
                <c:pt idx="5">
                  <c:v>85</c:v>
                </c:pt>
                <c:pt idx="6">
                  <c:v>76</c:v>
                </c:pt>
                <c:pt idx="7">
                  <c:v>61</c:v>
                </c:pt>
                <c:pt idx="8">
                  <c:v>55</c:v>
                </c:pt>
                <c:pt idx="9">
                  <c:v>52</c:v>
                </c:pt>
                <c:pt idx="10">
                  <c:v>52</c:v>
                </c:pt>
                <c:pt idx="11">
                  <c:v>52</c:v>
                </c:pt>
                <c:pt idx="12">
                  <c:v>52</c:v>
                </c:pt>
                <c:pt idx="13">
                  <c:v>52</c:v>
                </c:pt>
                <c:pt idx="14">
                  <c:v>52</c:v>
                </c:pt>
                <c:pt idx="15">
                  <c:v>52</c:v>
                </c:pt>
                <c:pt idx="16">
                  <c:v>52</c:v>
                </c:pt>
                <c:pt idx="17">
                  <c:v>52</c:v>
                </c:pt>
                <c:pt idx="18">
                  <c:v>52</c:v>
                </c:pt>
                <c:pt idx="19">
                  <c:v>52</c:v>
                </c:pt>
                <c:pt idx="20">
                  <c:v>52</c:v>
                </c:pt>
                <c:pt idx="21">
                  <c:v>52</c:v>
                </c:pt>
              </c:numCache>
            </c:numRef>
          </c:val>
          <c:smooth val="0"/>
          <c:extLst>
            <c:ext xmlns:c16="http://schemas.microsoft.com/office/drawing/2014/chart" uri="{C3380CC4-5D6E-409C-BE32-E72D297353CC}">
              <c16:uniqueId val="{00000001-8C9B-4CA2-A232-FC083708F4E3}"/>
            </c:ext>
          </c:extLst>
        </c:ser>
        <c:ser>
          <c:idx val="2"/>
          <c:order val="2"/>
          <c:spPr>
            <a:ln cmpd="sng">
              <a:solidFill>
                <a:srgbClr val="FBBC04"/>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Tabellenblatt1!$AA$914:$AA$935</c:f>
              <c:numCache>
                <c:formatCode>General</c:formatCode>
                <c:ptCount val="22"/>
                <c:pt idx="0">
                  <c:v>107</c:v>
                </c:pt>
                <c:pt idx="1">
                  <c:v>107</c:v>
                </c:pt>
                <c:pt idx="2">
                  <c:v>107</c:v>
                </c:pt>
                <c:pt idx="3">
                  <c:v>100</c:v>
                </c:pt>
                <c:pt idx="4">
                  <c:v>92</c:v>
                </c:pt>
                <c:pt idx="5">
                  <c:v>83</c:v>
                </c:pt>
                <c:pt idx="6">
                  <c:v>75</c:v>
                </c:pt>
                <c:pt idx="7">
                  <c:v>58</c:v>
                </c:pt>
                <c:pt idx="8">
                  <c:v>54</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numCache>
            </c:numRef>
          </c:val>
          <c:smooth val="0"/>
          <c:extLst>
            <c:ext xmlns:c16="http://schemas.microsoft.com/office/drawing/2014/chart" uri="{C3380CC4-5D6E-409C-BE32-E72D297353CC}">
              <c16:uniqueId val="{00000002-8C9B-4CA2-A232-FC083708F4E3}"/>
            </c:ext>
          </c:extLst>
        </c:ser>
        <c:ser>
          <c:idx val="3"/>
          <c:order val="3"/>
          <c:spPr>
            <a:ln cmpd="sng">
              <a:solidFill>
                <a:srgbClr val="34A853"/>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Tabellenblatt1!$AB$914:$AB$935</c:f>
              <c:numCache>
                <c:formatCode>General</c:formatCode>
                <c:ptCount val="22"/>
                <c:pt idx="0">
                  <c:v>104</c:v>
                </c:pt>
                <c:pt idx="1">
                  <c:v>104</c:v>
                </c:pt>
                <c:pt idx="2">
                  <c:v>104</c:v>
                </c:pt>
                <c:pt idx="3">
                  <c:v>96</c:v>
                </c:pt>
                <c:pt idx="4">
                  <c:v>88</c:v>
                </c:pt>
                <c:pt idx="5">
                  <c:v>80</c:v>
                </c:pt>
                <c:pt idx="6">
                  <c:v>72</c:v>
                </c:pt>
                <c:pt idx="7">
                  <c:v>57</c:v>
                </c:pt>
                <c:pt idx="8">
                  <c:v>53</c:v>
                </c:pt>
                <c:pt idx="9">
                  <c:v>49</c:v>
                </c:pt>
                <c:pt idx="10">
                  <c:v>49</c:v>
                </c:pt>
                <c:pt idx="11">
                  <c:v>49</c:v>
                </c:pt>
                <c:pt idx="12">
                  <c:v>49</c:v>
                </c:pt>
                <c:pt idx="13">
                  <c:v>49</c:v>
                </c:pt>
                <c:pt idx="14">
                  <c:v>49</c:v>
                </c:pt>
                <c:pt idx="15">
                  <c:v>49</c:v>
                </c:pt>
                <c:pt idx="16">
                  <c:v>49</c:v>
                </c:pt>
                <c:pt idx="17">
                  <c:v>49</c:v>
                </c:pt>
                <c:pt idx="18">
                  <c:v>49</c:v>
                </c:pt>
                <c:pt idx="19">
                  <c:v>49</c:v>
                </c:pt>
                <c:pt idx="20">
                  <c:v>49</c:v>
                </c:pt>
                <c:pt idx="21">
                  <c:v>49</c:v>
                </c:pt>
              </c:numCache>
            </c:numRef>
          </c:val>
          <c:smooth val="0"/>
          <c:extLst>
            <c:ext xmlns:c16="http://schemas.microsoft.com/office/drawing/2014/chart" uri="{C3380CC4-5D6E-409C-BE32-E72D297353CC}">
              <c16:uniqueId val="{00000003-8C9B-4CA2-A232-FC083708F4E3}"/>
            </c:ext>
          </c:extLst>
        </c:ser>
        <c:ser>
          <c:idx val="4"/>
          <c:order val="4"/>
          <c:spPr>
            <a:ln cmpd="sng">
              <a:solidFill>
                <a:srgbClr val="FF6D01"/>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Tabellenblatt1!$AC$914:$AC$935</c:f>
              <c:numCache>
                <c:formatCode>General</c:formatCode>
                <c:ptCount val="22"/>
                <c:pt idx="0">
                  <c:v>101</c:v>
                </c:pt>
                <c:pt idx="1">
                  <c:v>101</c:v>
                </c:pt>
                <c:pt idx="2">
                  <c:v>101</c:v>
                </c:pt>
                <c:pt idx="3">
                  <c:v>93</c:v>
                </c:pt>
                <c:pt idx="4">
                  <c:v>85</c:v>
                </c:pt>
                <c:pt idx="5">
                  <c:v>79</c:v>
                </c:pt>
                <c:pt idx="6">
                  <c:v>71</c:v>
                </c:pt>
                <c:pt idx="7">
                  <c:v>55</c:v>
                </c:pt>
                <c:pt idx="8">
                  <c:v>52</c:v>
                </c:pt>
                <c:pt idx="9">
                  <c:v>48</c:v>
                </c:pt>
                <c:pt idx="10">
                  <c:v>48</c:v>
                </c:pt>
                <c:pt idx="11">
                  <c:v>48</c:v>
                </c:pt>
                <c:pt idx="12">
                  <c:v>48</c:v>
                </c:pt>
                <c:pt idx="13">
                  <c:v>48</c:v>
                </c:pt>
                <c:pt idx="14">
                  <c:v>48</c:v>
                </c:pt>
                <c:pt idx="15">
                  <c:v>48</c:v>
                </c:pt>
                <c:pt idx="16">
                  <c:v>48</c:v>
                </c:pt>
                <c:pt idx="17">
                  <c:v>48</c:v>
                </c:pt>
                <c:pt idx="18">
                  <c:v>48</c:v>
                </c:pt>
                <c:pt idx="19">
                  <c:v>48</c:v>
                </c:pt>
                <c:pt idx="20">
                  <c:v>48</c:v>
                </c:pt>
                <c:pt idx="21">
                  <c:v>48</c:v>
                </c:pt>
              </c:numCache>
            </c:numRef>
          </c:val>
          <c:smooth val="0"/>
          <c:extLst>
            <c:ext xmlns:c16="http://schemas.microsoft.com/office/drawing/2014/chart" uri="{C3380CC4-5D6E-409C-BE32-E72D297353CC}">
              <c16:uniqueId val="{00000004-8C9B-4CA2-A232-FC083708F4E3}"/>
            </c:ext>
          </c:extLst>
        </c:ser>
        <c:dLbls>
          <c:showLegendKey val="0"/>
          <c:showVal val="0"/>
          <c:showCatName val="0"/>
          <c:showSerName val="0"/>
          <c:showPercent val="0"/>
          <c:showBubbleSize val="0"/>
        </c:dLbls>
        <c:marker val="1"/>
        <c:smooth val="0"/>
        <c:axId val="930259795"/>
        <c:axId val="1650223357"/>
      </c:lineChart>
      <c:catAx>
        <c:axId val="93025979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1650223357"/>
        <c:crosses val="autoZero"/>
        <c:auto val="1"/>
        <c:lblAlgn val="ctr"/>
        <c:lblOffset val="100"/>
        <c:noMultiLvlLbl val="1"/>
      </c:catAx>
      <c:valAx>
        <c:axId val="16502233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930259795"/>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lineChart>
        <c:grouping val="standard"/>
        <c:varyColors val="1"/>
        <c:ser>
          <c:idx val="0"/>
          <c:order val="0"/>
          <c:spPr>
            <a:ln cmpd="sng">
              <a:solidFill>
                <a:srgbClr val="4285F4"/>
              </a:solidFill>
            </a:ln>
          </c:spPr>
          <c:marker>
            <c:symbol val="circle"/>
            <c:size val="2"/>
            <c:spPr>
              <a:solidFill>
                <a:srgbClr val="4285F4"/>
              </a:solidFill>
              <a:ln cmpd="sng">
                <a:solidFill>
                  <a:srgbClr val="4285F4"/>
                </a:solidFill>
              </a:ln>
            </c:spPr>
          </c:marker>
          <c:dLbls>
            <c:spPr>
              <a:noFill/>
              <a:ln>
                <a:noFill/>
              </a:ln>
              <a:effectLst/>
            </c:spPr>
            <c:txPr>
              <a:bodyPr/>
              <a:lstStyle/>
              <a:p>
                <a:pPr lvl="0">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Tabellenblatt1!$AK$914:$AK$935</c:f>
              <c:numCache>
                <c:formatCode>General</c:formatCode>
                <c:ptCount val="22"/>
                <c:pt idx="0">
                  <c:v>137</c:v>
                </c:pt>
                <c:pt idx="1">
                  <c:v>137</c:v>
                </c:pt>
                <c:pt idx="2">
                  <c:v>137</c:v>
                </c:pt>
                <c:pt idx="3">
                  <c:v>126</c:v>
                </c:pt>
                <c:pt idx="4">
                  <c:v>114</c:v>
                </c:pt>
                <c:pt idx="5">
                  <c:v>102</c:v>
                </c:pt>
                <c:pt idx="6">
                  <c:v>91</c:v>
                </c:pt>
                <c:pt idx="7">
                  <c:v>67</c:v>
                </c:pt>
                <c:pt idx="8">
                  <c:v>63</c:v>
                </c:pt>
                <c:pt idx="9">
                  <c:v>59</c:v>
                </c:pt>
                <c:pt idx="10">
                  <c:v>59</c:v>
                </c:pt>
                <c:pt idx="11">
                  <c:v>59</c:v>
                </c:pt>
                <c:pt idx="12">
                  <c:v>59</c:v>
                </c:pt>
                <c:pt idx="13">
                  <c:v>59</c:v>
                </c:pt>
                <c:pt idx="14">
                  <c:v>59</c:v>
                </c:pt>
                <c:pt idx="15">
                  <c:v>59</c:v>
                </c:pt>
                <c:pt idx="16">
                  <c:v>59</c:v>
                </c:pt>
                <c:pt idx="17">
                  <c:v>59</c:v>
                </c:pt>
                <c:pt idx="18">
                  <c:v>59</c:v>
                </c:pt>
                <c:pt idx="19">
                  <c:v>59</c:v>
                </c:pt>
                <c:pt idx="20">
                  <c:v>59</c:v>
                </c:pt>
                <c:pt idx="21">
                  <c:v>59</c:v>
                </c:pt>
              </c:numCache>
            </c:numRef>
          </c:val>
          <c:smooth val="0"/>
          <c:extLst>
            <c:ext xmlns:c16="http://schemas.microsoft.com/office/drawing/2014/chart" uri="{C3380CC4-5D6E-409C-BE32-E72D297353CC}">
              <c16:uniqueId val="{00000000-1A91-4CBA-9CBD-9DC60886BDA8}"/>
            </c:ext>
          </c:extLst>
        </c:ser>
        <c:ser>
          <c:idx val="1"/>
          <c:order val="1"/>
          <c:spPr>
            <a:ln cmpd="sng">
              <a:solidFill>
                <a:srgbClr val="EA4335"/>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Tabellenblatt1!$AL$914:$AL$935</c:f>
              <c:numCache>
                <c:formatCode>General</c:formatCode>
                <c:ptCount val="22"/>
                <c:pt idx="0">
                  <c:v>136</c:v>
                </c:pt>
                <c:pt idx="1">
                  <c:v>136</c:v>
                </c:pt>
                <c:pt idx="2">
                  <c:v>136</c:v>
                </c:pt>
                <c:pt idx="3">
                  <c:v>124</c:v>
                </c:pt>
                <c:pt idx="4">
                  <c:v>114</c:v>
                </c:pt>
                <c:pt idx="5">
                  <c:v>102</c:v>
                </c:pt>
                <c:pt idx="6">
                  <c:v>91</c:v>
                </c:pt>
                <c:pt idx="7">
                  <c:v>67</c:v>
                </c:pt>
                <c:pt idx="8">
                  <c:v>62</c:v>
                </c:pt>
                <c:pt idx="9">
                  <c:v>59</c:v>
                </c:pt>
                <c:pt idx="10">
                  <c:v>59</c:v>
                </c:pt>
                <c:pt idx="11">
                  <c:v>59</c:v>
                </c:pt>
                <c:pt idx="12">
                  <c:v>59</c:v>
                </c:pt>
                <c:pt idx="13">
                  <c:v>59</c:v>
                </c:pt>
                <c:pt idx="14">
                  <c:v>59</c:v>
                </c:pt>
                <c:pt idx="15">
                  <c:v>59</c:v>
                </c:pt>
                <c:pt idx="16">
                  <c:v>59</c:v>
                </c:pt>
                <c:pt idx="17">
                  <c:v>59</c:v>
                </c:pt>
                <c:pt idx="18">
                  <c:v>59</c:v>
                </c:pt>
                <c:pt idx="19">
                  <c:v>59</c:v>
                </c:pt>
                <c:pt idx="20">
                  <c:v>59</c:v>
                </c:pt>
                <c:pt idx="21">
                  <c:v>59</c:v>
                </c:pt>
              </c:numCache>
            </c:numRef>
          </c:val>
          <c:smooth val="0"/>
          <c:extLst>
            <c:ext xmlns:c16="http://schemas.microsoft.com/office/drawing/2014/chart" uri="{C3380CC4-5D6E-409C-BE32-E72D297353CC}">
              <c16:uniqueId val="{00000001-1A91-4CBA-9CBD-9DC60886BDA8}"/>
            </c:ext>
          </c:extLst>
        </c:ser>
        <c:ser>
          <c:idx val="2"/>
          <c:order val="2"/>
          <c:spPr>
            <a:ln cmpd="sng">
              <a:solidFill>
                <a:srgbClr val="FBBC04"/>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Tabellenblatt1!$AM$914:$AM$935</c:f>
              <c:numCache>
                <c:formatCode>General</c:formatCode>
                <c:ptCount val="22"/>
                <c:pt idx="0">
                  <c:v>128</c:v>
                </c:pt>
                <c:pt idx="1">
                  <c:v>128</c:v>
                </c:pt>
                <c:pt idx="2">
                  <c:v>128</c:v>
                </c:pt>
                <c:pt idx="3">
                  <c:v>118</c:v>
                </c:pt>
                <c:pt idx="4">
                  <c:v>107</c:v>
                </c:pt>
                <c:pt idx="5">
                  <c:v>96</c:v>
                </c:pt>
                <c:pt idx="6">
                  <c:v>85</c:v>
                </c:pt>
                <c:pt idx="7">
                  <c:v>63</c:v>
                </c:pt>
                <c:pt idx="8">
                  <c:v>59</c:v>
                </c:pt>
                <c:pt idx="9">
                  <c:v>55</c:v>
                </c:pt>
                <c:pt idx="10">
                  <c:v>55</c:v>
                </c:pt>
                <c:pt idx="11">
                  <c:v>55</c:v>
                </c:pt>
                <c:pt idx="12">
                  <c:v>55</c:v>
                </c:pt>
                <c:pt idx="13">
                  <c:v>55</c:v>
                </c:pt>
                <c:pt idx="14">
                  <c:v>55</c:v>
                </c:pt>
                <c:pt idx="15">
                  <c:v>55</c:v>
                </c:pt>
                <c:pt idx="16">
                  <c:v>55</c:v>
                </c:pt>
                <c:pt idx="17">
                  <c:v>55</c:v>
                </c:pt>
                <c:pt idx="18">
                  <c:v>55</c:v>
                </c:pt>
                <c:pt idx="19">
                  <c:v>55</c:v>
                </c:pt>
                <c:pt idx="20">
                  <c:v>55</c:v>
                </c:pt>
                <c:pt idx="21">
                  <c:v>55</c:v>
                </c:pt>
              </c:numCache>
            </c:numRef>
          </c:val>
          <c:smooth val="0"/>
          <c:extLst>
            <c:ext xmlns:c16="http://schemas.microsoft.com/office/drawing/2014/chart" uri="{C3380CC4-5D6E-409C-BE32-E72D297353CC}">
              <c16:uniqueId val="{00000002-1A91-4CBA-9CBD-9DC60886BDA8}"/>
            </c:ext>
          </c:extLst>
        </c:ser>
        <c:ser>
          <c:idx val="3"/>
          <c:order val="3"/>
          <c:spPr>
            <a:ln cmpd="sng">
              <a:solidFill>
                <a:srgbClr val="34A853"/>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Tabellenblatt1!$AN$914:$AN$935</c:f>
              <c:numCache>
                <c:formatCode>General</c:formatCode>
                <c:ptCount val="22"/>
                <c:pt idx="0">
                  <c:v>123</c:v>
                </c:pt>
                <c:pt idx="1">
                  <c:v>123</c:v>
                </c:pt>
                <c:pt idx="2">
                  <c:v>123</c:v>
                </c:pt>
                <c:pt idx="3">
                  <c:v>113</c:v>
                </c:pt>
                <c:pt idx="4">
                  <c:v>102</c:v>
                </c:pt>
                <c:pt idx="5">
                  <c:v>92</c:v>
                </c:pt>
                <c:pt idx="6">
                  <c:v>81</c:v>
                </c:pt>
                <c:pt idx="7">
                  <c:v>61</c:v>
                </c:pt>
                <c:pt idx="8">
                  <c:v>57</c:v>
                </c:pt>
                <c:pt idx="9">
                  <c:v>53</c:v>
                </c:pt>
                <c:pt idx="10">
                  <c:v>53</c:v>
                </c:pt>
                <c:pt idx="11">
                  <c:v>53</c:v>
                </c:pt>
                <c:pt idx="12">
                  <c:v>53</c:v>
                </c:pt>
                <c:pt idx="13">
                  <c:v>53</c:v>
                </c:pt>
                <c:pt idx="14">
                  <c:v>53</c:v>
                </c:pt>
                <c:pt idx="15">
                  <c:v>53</c:v>
                </c:pt>
                <c:pt idx="16">
                  <c:v>53</c:v>
                </c:pt>
                <c:pt idx="17">
                  <c:v>53</c:v>
                </c:pt>
                <c:pt idx="18">
                  <c:v>53</c:v>
                </c:pt>
                <c:pt idx="19">
                  <c:v>53</c:v>
                </c:pt>
                <c:pt idx="20">
                  <c:v>53</c:v>
                </c:pt>
                <c:pt idx="21">
                  <c:v>53</c:v>
                </c:pt>
              </c:numCache>
            </c:numRef>
          </c:val>
          <c:smooth val="0"/>
          <c:extLst>
            <c:ext xmlns:c16="http://schemas.microsoft.com/office/drawing/2014/chart" uri="{C3380CC4-5D6E-409C-BE32-E72D297353CC}">
              <c16:uniqueId val="{00000003-1A91-4CBA-9CBD-9DC60886BDA8}"/>
            </c:ext>
          </c:extLst>
        </c:ser>
        <c:ser>
          <c:idx val="4"/>
          <c:order val="4"/>
          <c:spPr>
            <a:ln cmpd="sng">
              <a:solidFill>
                <a:srgbClr val="FF6D01"/>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Tabellenblatt1!$AQ$914:$AQ$935</c:f>
              <c:numCache>
                <c:formatCode>General</c:formatCode>
                <c:ptCount val="22"/>
                <c:pt idx="0">
                  <c:v>107</c:v>
                </c:pt>
                <c:pt idx="1">
                  <c:v>107</c:v>
                </c:pt>
                <c:pt idx="2">
                  <c:v>107</c:v>
                </c:pt>
                <c:pt idx="3">
                  <c:v>98</c:v>
                </c:pt>
                <c:pt idx="4">
                  <c:v>89</c:v>
                </c:pt>
                <c:pt idx="5">
                  <c:v>80</c:v>
                </c:pt>
                <c:pt idx="6">
                  <c:v>71</c:v>
                </c:pt>
                <c:pt idx="7">
                  <c:v>53</c:v>
                </c:pt>
                <c:pt idx="8">
                  <c:v>49</c:v>
                </c:pt>
                <c:pt idx="9">
                  <c:v>46</c:v>
                </c:pt>
                <c:pt idx="10">
                  <c:v>46</c:v>
                </c:pt>
                <c:pt idx="11">
                  <c:v>46</c:v>
                </c:pt>
                <c:pt idx="12">
                  <c:v>46</c:v>
                </c:pt>
                <c:pt idx="13">
                  <c:v>46</c:v>
                </c:pt>
                <c:pt idx="14">
                  <c:v>46</c:v>
                </c:pt>
                <c:pt idx="15">
                  <c:v>46</c:v>
                </c:pt>
                <c:pt idx="16">
                  <c:v>46</c:v>
                </c:pt>
                <c:pt idx="17">
                  <c:v>46</c:v>
                </c:pt>
                <c:pt idx="18">
                  <c:v>46</c:v>
                </c:pt>
                <c:pt idx="19">
                  <c:v>46</c:v>
                </c:pt>
                <c:pt idx="20">
                  <c:v>46</c:v>
                </c:pt>
                <c:pt idx="21">
                  <c:v>46</c:v>
                </c:pt>
              </c:numCache>
            </c:numRef>
          </c:val>
          <c:smooth val="0"/>
          <c:extLst>
            <c:ext xmlns:c16="http://schemas.microsoft.com/office/drawing/2014/chart" uri="{C3380CC4-5D6E-409C-BE32-E72D297353CC}">
              <c16:uniqueId val="{00000004-1A91-4CBA-9CBD-9DC60886BDA8}"/>
            </c:ext>
          </c:extLst>
        </c:ser>
        <c:ser>
          <c:idx val="5"/>
          <c:order val="5"/>
          <c:spPr>
            <a:ln cmpd="sng">
              <a:solidFill>
                <a:srgbClr val="46BDC6"/>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Tabellenblatt1!$AO$914:$AO$935</c:f>
              <c:numCache>
                <c:formatCode>General</c:formatCode>
                <c:ptCount val="22"/>
                <c:pt idx="0">
                  <c:v>116</c:v>
                </c:pt>
                <c:pt idx="1">
                  <c:v>116</c:v>
                </c:pt>
                <c:pt idx="2">
                  <c:v>116</c:v>
                </c:pt>
                <c:pt idx="3">
                  <c:v>107</c:v>
                </c:pt>
                <c:pt idx="4">
                  <c:v>97</c:v>
                </c:pt>
                <c:pt idx="5">
                  <c:v>87</c:v>
                </c:pt>
                <c:pt idx="6">
                  <c:v>78</c:v>
                </c:pt>
                <c:pt idx="7">
                  <c:v>57</c:v>
                </c:pt>
                <c:pt idx="8">
                  <c:v>53</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numCache>
            </c:numRef>
          </c:val>
          <c:smooth val="0"/>
          <c:extLst>
            <c:ext xmlns:c16="http://schemas.microsoft.com/office/drawing/2014/chart" uri="{C3380CC4-5D6E-409C-BE32-E72D297353CC}">
              <c16:uniqueId val="{00000005-1A91-4CBA-9CBD-9DC60886BDA8}"/>
            </c:ext>
          </c:extLst>
        </c:ser>
        <c:ser>
          <c:idx val="6"/>
          <c:order val="6"/>
          <c:spPr>
            <a:ln cmpd="sng">
              <a:solidFill>
                <a:srgbClr val="7BAAF7"/>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Tabellenblatt1!$AP$914:$AP$935</c:f>
              <c:numCache>
                <c:formatCode>General</c:formatCode>
                <c:ptCount val="22"/>
                <c:pt idx="0">
                  <c:v>114</c:v>
                </c:pt>
                <c:pt idx="1">
                  <c:v>114</c:v>
                </c:pt>
                <c:pt idx="2">
                  <c:v>114</c:v>
                </c:pt>
                <c:pt idx="3">
                  <c:v>104</c:v>
                </c:pt>
                <c:pt idx="4">
                  <c:v>94</c:v>
                </c:pt>
                <c:pt idx="5">
                  <c:v>85</c:v>
                </c:pt>
                <c:pt idx="6">
                  <c:v>75</c:v>
                </c:pt>
                <c:pt idx="7">
                  <c:v>55</c:v>
                </c:pt>
                <c:pt idx="8">
                  <c:v>53</c:v>
                </c:pt>
                <c:pt idx="9">
                  <c:v>49</c:v>
                </c:pt>
                <c:pt idx="10">
                  <c:v>49</c:v>
                </c:pt>
                <c:pt idx="11">
                  <c:v>49</c:v>
                </c:pt>
                <c:pt idx="12">
                  <c:v>49</c:v>
                </c:pt>
                <c:pt idx="13">
                  <c:v>49</c:v>
                </c:pt>
                <c:pt idx="14">
                  <c:v>49</c:v>
                </c:pt>
                <c:pt idx="15">
                  <c:v>49</c:v>
                </c:pt>
                <c:pt idx="16">
                  <c:v>49</c:v>
                </c:pt>
                <c:pt idx="17">
                  <c:v>49</c:v>
                </c:pt>
                <c:pt idx="18">
                  <c:v>49</c:v>
                </c:pt>
                <c:pt idx="19">
                  <c:v>49</c:v>
                </c:pt>
                <c:pt idx="20">
                  <c:v>49</c:v>
                </c:pt>
                <c:pt idx="21">
                  <c:v>49</c:v>
                </c:pt>
              </c:numCache>
            </c:numRef>
          </c:val>
          <c:smooth val="0"/>
          <c:extLst>
            <c:ext xmlns:c16="http://schemas.microsoft.com/office/drawing/2014/chart" uri="{C3380CC4-5D6E-409C-BE32-E72D297353CC}">
              <c16:uniqueId val="{00000006-1A91-4CBA-9CBD-9DC60886BDA8}"/>
            </c:ext>
          </c:extLst>
        </c:ser>
        <c:dLbls>
          <c:showLegendKey val="0"/>
          <c:showVal val="0"/>
          <c:showCatName val="0"/>
          <c:showSerName val="0"/>
          <c:showPercent val="0"/>
          <c:showBubbleSize val="0"/>
        </c:dLbls>
        <c:marker val="1"/>
        <c:smooth val="0"/>
        <c:axId val="974020709"/>
        <c:axId val="1985068350"/>
      </c:lineChart>
      <c:catAx>
        <c:axId val="97402070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1985068350"/>
        <c:crosses val="autoZero"/>
        <c:auto val="1"/>
        <c:lblAlgn val="ctr"/>
        <c:lblOffset val="100"/>
        <c:noMultiLvlLbl val="1"/>
      </c:catAx>
      <c:valAx>
        <c:axId val="19850683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974020709"/>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lineChart>
        <c:grouping val="standard"/>
        <c:varyColors val="1"/>
        <c:ser>
          <c:idx val="0"/>
          <c:order val="0"/>
          <c:spPr>
            <a:ln cmpd="sng">
              <a:solidFill>
                <a:srgbClr val="4285F4"/>
              </a:solidFill>
            </a:ln>
          </c:spPr>
          <c:marker>
            <c:symbol val="circle"/>
            <c:size val="2"/>
            <c:spPr>
              <a:solidFill>
                <a:srgbClr val="4285F4"/>
              </a:solidFill>
              <a:ln cmpd="sng">
                <a:solidFill>
                  <a:srgbClr val="4285F4"/>
                </a:solidFill>
              </a:ln>
            </c:spPr>
          </c:marker>
          <c:dLbls>
            <c:spPr>
              <a:noFill/>
              <a:ln>
                <a:noFill/>
              </a:ln>
              <a:effectLst/>
            </c:spPr>
            <c:txPr>
              <a:bodyPr/>
              <a:lstStyle/>
              <a:p>
                <a:pPr lvl="0">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Tabellenblatt1!$H$890:$H$912</c:f>
              <c:numCache>
                <c:formatCode>General</c:formatCode>
                <c:ptCount val="23"/>
              </c:numCache>
            </c:numRef>
          </c:val>
          <c:smooth val="0"/>
          <c:extLst>
            <c:ext xmlns:c16="http://schemas.microsoft.com/office/drawing/2014/chart" uri="{C3380CC4-5D6E-409C-BE32-E72D297353CC}">
              <c16:uniqueId val="{00000000-580C-4A29-BD72-A7E8BBB42221}"/>
            </c:ext>
          </c:extLst>
        </c:ser>
        <c:ser>
          <c:idx val="1"/>
          <c:order val="1"/>
          <c:spPr>
            <a:ln cmpd="sng">
              <a:solidFill>
                <a:srgbClr val="EA4335"/>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Tabellenblatt1!$I$890:$I$912</c:f>
              <c:numCache>
                <c:formatCode>General</c:formatCode>
                <c:ptCount val="23"/>
              </c:numCache>
            </c:numRef>
          </c:val>
          <c:smooth val="0"/>
          <c:extLst>
            <c:ext xmlns:c16="http://schemas.microsoft.com/office/drawing/2014/chart" uri="{C3380CC4-5D6E-409C-BE32-E72D297353CC}">
              <c16:uniqueId val="{00000001-580C-4A29-BD72-A7E8BBB42221}"/>
            </c:ext>
          </c:extLst>
        </c:ser>
        <c:ser>
          <c:idx val="2"/>
          <c:order val="2"/>
          <c:spPr>
            <a:ln cmpd="sng">
              <a:solidFill>
                <a:srgbClr val="FBBC04"/>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Tabellenblatt1!$K$890:$K$912</c:f>
              <c:numCache>
                <c:formatCode>General</c:formatCode>
                <c:ptCount val="23"/>
              </c:numCache>
            </c:numRef>
          </c:val>
          <c:smooth val="0"/>
          <c:extLst>
            <c:ext xmlns:c16="http://schemas.microsoft.com/office/drawing/2014/chart" uri="{C3380CC4-5D6E-409C-BE32-E72D297353CC}">
              <c16:uniqueId val="{00000002-580C-4A29-BD72-A7E8BBB42221}"/>
            </c:ext>
          </c:extLst>
        </c:ser>
        <c:ser>
          <c:idx val="3"/>
          <c:order val="3"/>
          <c:spPr>
            <a:ln cmpd="sng">
              <a:solidFill>
                <a:srgbClr val="34A853"/>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Tabellenblatt1!$L$890:$L$912</c:f>
              <c:numCache>
                <c:formatCode>General</c:formatCode>
                <c:ptCount val="23"/>
              </c:numCache>
            </c:numRef>
          </c:val>
          <c:smooth val="0"/>
          <c:extLst>
            <c:ext xmlns:c16="http://schemas.microsoft.com/office/drawing/2014/chart" uri="{C3380CC4-5D6E-409C-BE32-E72D297353CC}">
              <c16:uniqueId val="{00000003-580C-4A29-BD72-A7E8BBB42221}"/>
            </c:ext>
          </c:extLst>
        </c:ser>
        <c:ser>
          <c:idx val="4"/>
          <c:order val="4"/>
          <c:spPr>
            <a:ln cmpd="sng">
              <a:solidFill>
                <a:srgbClr val="FF6D01"/>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Tabellenblatt1!$M$890:$M$912</c:f>
              <c:numCache>
                <c:formatCode>General</c:formatCode>
                <c:ptCount val="23"/>
              </c:numCache>
            </c:numRef>
          </c:val>
          <c:smooth val="0"/>
          <c:extLst>
            <c:ext xmlns:c16="http://schemas.microsoft.com/office/drawing/2014/chart" uri="{C3380CC4-5D6E-409C-BE32-E72D297353CC}">
              <c16:uniqueId val="{00000004-580C-4A29-BD72-A7E8BBB42221}"/>
            </c:ext>
          </c:extLst>
        </c:ser>
        <c:ser>
          <c:idx val="5"/>
          <c:order val="5"/>
          <c:spPr>
            <a:ln cmpd="sng">
              <a:solidFill>
                <a:srgbClr val="46BDC6"/>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Tabellenblatt1!$N$890:$N$912</c:f>
              <c:numCache>
                <c:formatCode>General</c:formatCode>
                <c:ptCount val="23"/>
              </c:numCache>
            </c:numRef>
          </c:val>
          <c:smooth val="0"/>
          <c:extLst>
            <c:ext xmlns:c16="http://schemas.microsoft.com/office/drawing/2014/chart" uri="{C3380CC4-5D6E-409C-BE32-E72D297353CC}">
              <c16:uniqueId val="{00000005-580C-4A29-BD72-A7E8BBB42221}"/>
            </c:ext>
          </c:extLst>
        </c:ser>
        <c:ser>
          <c:idx val="6"/>
          <c:order val="6"/>
          <c:spPr>
            <a:ln cmpd="sng">
              <a:solidFill>
                <a:srgbClr val="7BAAF7"/>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Tabellenblatt1!$O$890:$O$911</c:f>
              <c:numCache>
                <c:formatCode>General</c:formatCode>
                <c:ptCount val="22"/>
                <c:pt idx="0">
                  <c:v>104</c:v>
                </c:pt>
                <c:pt idx="1">
                  <c:v>96</c:v>
                </c:pt>
                <c:pt idx="2">
                  <c:v>88</c:v>
                </c:pt>
                <c:pt idx="3">
                  <c:v>80</c:v>
                </c:pt>
                <c:pt idx="4">
                  <c:v>72</c:v>
                </c:pt>
                <c:pt idx="5">
                  <c:v>65</c:v>
                </c:pt>
                <c:pt idx="6">
                  <c:v>57</c:v>
                </c:pt>
                <c:pt idx="7">
                  <c:v>49</c:v>
                </c:pt>
                <c:pt idx="8">
                  <c:v>49</c:v>
                </c:pt>
                <c:pt idx="9">
                  <c:v>49</c:v>
                </c:pt>
                <c:pt idx="10">
                  <c:v>49</c:v>
                </c:pt>
                <c:pt idx="11">
                  <c:v>49</c:v>
                </c:pt>
                <c:pt idx="12">
                  <c:v>49</c:v>
                </c:pt>
                <c:pt idx="13">
                  <c:v>49</c:v>
                </c:pt>
                <c:pt idx="14">
                  <c:v>49</c:v>
                </c:pt>
                <c:pt idx="15">
                  <c:v>49</c:v>
                </c:pt>
                <c:pt idx="16">
                  <c:v>49</c:v>
                </c:pt>
                <c:pt idx="17">
                  <c:v>49</c:v>
                </c:pt>
                <c:pt idx="18">
                  <c:v>49</c:v>
                </c:pt>
                <c:pt idx="19">
                  <c:v>49</c:v>
                </c:pt>
                <c:pt idx="20">
                  <c:v>49</c:v>
                </c:pt>
                <c:pt idx="21">
                  <c:v>49</c:v>
                </c:pt>
              </c:numCache>
            </c:numRef>
          </c:val>
          <c:smooth val="0"/>
          <c:extLst>
            <c:ext xmlns:c16="http://schemas.microsoft.com/office/drawing/2014/chart" uri="{C3380CC4-5D6E-409C-BE32-E72D297353CC}">
              <c16:uniqueId val="{00000006-580C-4A29-BD72-A7E8BBB42221}"/>
            </c:ext>
          </c:extLst>
        </c:ser>
        <c:ser>
          <c:idx val="7"/>
          <c:order val="7"/>
          <c:spPr>
            <a:ln cmpd="sng">
              <a:solidFill>
                <a:srgbClr val="F07B72"/>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Tabellenblatt1!$P$890:$P$911</c:f>
              <c:numCache>
                <c:formatCode>General</c:formatCode>
                <c:ptCount val="22"/>
                <c:pt idx="0">
                  <c:v>97</c:v>
                </c:pt>
                <c:pt idx="1">
                  <c:v>89</c:v>
                </c:pt>
                <c:pt idx="2">
                  <c:v>83</c:v>
                </c:pt>
                <c:pt idx="3">
                  <c:v>75</c:v>
                </c:pt>
                <c:pt idx="4">
                  <c:v>68</c:v>
                </c:pt>
                <c:pt idx="5">
                  <c:v>61</c:v>
                </c:pt>
                <c:pt idx="6">
                  <c:v>53</c:v>
                </c:pt>
                <c:pt idx="7">
                  <c:v>46</c:v>
                </c:pt>
                <c:pt idx="8">
                  <c:v>46</c:v>
                </c:pt>
                <c:pt idx="9">
                  <c:v>46</c:v>
                </c:pt>
                <c:pt idx="10">
                  <c:v>46</c:v>
                </c:pt>
                <c:pt idx="11">
                  <c:v>46</c:v>
                </c:pt>
                <c:pt idx="12">
                  <c:v>46</c:v>
                </c:pt>
                <c:pt idx="13">
                  <c:v>46</c:v>
                </c:pt>
                <c:pt idx="14">
                  <c:v>46</c:v>
                </c:pt>
                <c:pt idx="15">
                  <c:v>46</c:v>
                </c:pt>
                <c:pt idx="16">
                  <c:v>46</c:v>
                </c:pt>
                <c:pt idx="17">
                  <c:v>46</c:v>
                </c:pt>
                <c:pt idx="18">
                  <c:v>46</c:v>
                </c:pt>
                <c:pt idx="19">
                  <c:v>46</c:v>
                </c:pt>
                <c:pt idx="20">
                  <c:v>46</c:v>
                </c:pt>
                <c:pt idx="21">
                  <c:v>46</c:v>
                </c:pt>
              </c:numCache>
            </c:numRef>
          </c:val>
          <c:smooth val="0"/>
          <c:extLst>
            <c:ext xmlns:c16="http://schemas.microsoft.com/office/drawing/2014/chart" uri="{C3380CC4-5D6E-409C-BE32-E72D297353CC}">
              <c16:uniqueId val="{00000007-580C-4A29-BD72-A7E8BBB42221}"/>
            </c:ext>
          </c:extLst>
        </c:ser>
        <c:dLbls>
          <c:showLegendKey val="0"/>
          <c:showVal val="0"/>
          <c:showCatName val="0"/>
          <c:showSerName val="0"/>
          <c:showPercent val="0"/>
          <c:showBubbleSize val="0"/>
        </c:dLbls>
        <c:marker val="1"/>
        <c:smooth val="0"/>
        <c:axId val="931100438"/>
        <c:axId val="2023492728"/>
      </c:lineChart>
      <c:catAx>
        <c:axId val="93110043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2023492728"/>
        <c:crosses val="autoZero"/>
        <c:auto val="1"/>
        <c:lblAlgn val="ctr"/>
        <c:lblOffset val="100"/>
        <c:noMultiLvlLbl val="1"/>
      </c:catAx>
      <c:valAx>
        <c:axId val="20234927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931100438"/>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lineChart>
        <c:grouping val="standard"/>
        <c:varyColors val="1"/>
        <c:ser>
          <c:idx val="0"/>
          <c:order val="0"/>
          <c:spPr>
            <a:ln cmpd="sng">
              <a:solidFill>
                <a:srgbClr val="4285F4"/>
              </a:solidFill>
            </a:ln>
          </c:spPr>
          <c:marker>
            <c:symbol val="circle"/>
            <c:size val="2"/>
            <c:spPr>
              <a:solidFill>
                <a:srgbClr val="4285F4"/>
              </a:solidFill>
              <a:ln cmpd="sng">
                <a:solidFill>
                  <a:srgbClr val="4285F4"/>
                </a:solidFill>
              </a:ln>
            </c:spPr>
          </c:marker>
          <c:dLbls>
            <c:spPr>
              <a:noFill/>
              <a:ln>
                <a:noFill/>
              </a:ln>
              <a:effectLst/>
            </c:spPr>
            <c:txPr>
              <a:bodyPr/>
              <a:lstStyle/>
              <a:p>
                <a:pPr lvl="0">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Tabellenblatt1!$H$890:$H$912</c:f>
              <c:numCache>
                <c:formatCode>General</c:formatCode>
                <c:ptCount val="23"/>
              </c:numCache>
            </c:numRef>
          </c:val>
          <c:smooth val="0"/>
          <c:extLst>
            <c:ext xmlns:c16="http://schemas.microsoft.com/office/drawing/2014/chart" uri="{C3380CC4-5D6E-409C-BE32-E72D297353CC}">
              <c16:uniqueId val="{00000000-551B-412F-9D50-CC32FC8C6F21}"/>
            </c:ext>
          </c:extLst>
        </c:ser>
        <c:ser>
          <c:idx val="1"/>
          <c:order val="1"/>
          <c:spPr>
            <a:ln cmpd="sng">
              <a:solidFill>
                <a:srgbClr val="EA4335"/>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Tabellenblatt1!$I$890:$I$912</c:f>
              <c:numCache>
                <c:formatCode>General</c:formatCode>
                <c:ptCount val="23"/>
              </c:numCache>
            </c:numRef>
          </c:val>
          <c:smooth val="0"/>
          <c:extLst>
            <c:ext xmlns:c16="http://schemas.microsoft.com/office/drawing/2014/chart" uri="{C3380CC4-5D6E-409C-BE32-E72D297353CC}">
              <c16:uniqueId val="{00000001-551B-412F-9D50-CC32FC8C6F21}"/>
            </c:ext>
          </c:extLst>
        </c:ser>
        <c:ser>
          <c:idx val="2"/>
          <c:order val="2"/>
          <c:spPr>
            <a:ln cmpd="sng">
              <a:solidFill>
                <a:srgbClr val="FBBC04"/>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Tabellenblatt1!$K$890:$K$912</c:f>
              <c:numCache>
                <c:formatCode>General</c:formatCode>
                <c:ptCount val="23"/>
              </c:numCache>
            </c:numRef>
          </c:val>
          <c:smooth val="0"/>
          <c:extLst>
            <c:ext xmlns:c16="http://schemas.microsoft.com/office/drawing/2014/chart" uri="{C3380CC4-5D6E-409C-BE32-E72D297353CC}">
              <c16:uniqueId val="{00000002-551B-412F-9D50-CC32FC8C6F21}"/>
            </c:ext>
          </c:extLst>
        </c:ser>
        <c:ser>
          <c:idx val="3"/>
          <c:order val="3"/>
          <c:spPr>
            <a:ln cmpd="sng">
              <a:solidFill>
                <a:srgbClr val="34A853"/>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Tabellenblatt1!$L$890:$L$912</c:f>
              <c:numCache>
                <c:formatCode>General</c:formatCode>
                <c:ptCount val="23"/>
              </c:numCache>
            </c:numRef>
          </c:val>
          <c:smooth val="0"/>
          <c:extLst>
            <c:ext xmlns:c16="http://schemas.microsoft.com/office/drawing/2014/chart" uri="{C3380CC4-5D6E-409C-BE32-E72D297353CC}">
              <c16:uniqueId val="{00000003-551B-412F-9D50-CC32FC8C6F21}"/>
            </c:ext>
          </c:extLst>
        </c:ser>
        <c:ser>
          <c:idx val="4"/>
          <c:order val="4"/>
          <c:spPr>
            <a:ln cmpd="sng">
              <a:solidFill>
                <a:srgbClr val="FF6D01"/>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Tabellenblatt1!$M$890:$M$912</c:f>
              <c:numCache>
                <c:formatCode>General</c:formatCode>
                <c:ptCount val="23"/>
              </c:numCache>
            </c:numRef>
          </c:val>
          <c:smooth val="0"/>
          <c:extLst>
            <c:ext xmlns:c16="http://schemas.microsoft.com/office/drawing/2014/chart" uri="{C3380CC4-5D6E-409C-BE32-E72D297353CC}">
              <c16:uniqueId val="{00000004-551B-412F-9D50-CC32FC8C6F21}"/>
            </c:ext>
          </c:extLst>
        </c:ser>
        <c:ser>
          <c:idx val="5"/>
          <c:order val="5"/>
          <c:spPr>
            <a:ln cmpd="sng">
              <a:solidFill>
                <a:srgbClr val="46BDC6"/>
              </a:solidFill>
            </a:ln>
          </c:spPr>
          <c:marker>
            <c:symbol val="none"/>
          </c:marker>
          <c:cat>
            <c:numRef>
              <c:f>Tabellenblatt1!$A$890:$A$912</c:f>
              <c:numCache>
                <c:formatCode>General</c:formatCode>
                <c:ptCount val="23"/>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Tabellenblatt1!$N$890:$N$912</c:f>
              <c:numCache>
                <c:formatCode>General</c:formatCode>
                <c:ptCount val="23"/>
              </c:numCache>
            </c:numRef>
          </c:val>
          <c:smooth val="0"/>
          <c:extLst>
            <c:ext xmlns:c16="http://schemas.microsoft.com/office/drawing/2014/chart" uri="{C3380CC4-5D6E-409C-BE32-E72D297353CC}">
              <c16:uniqueId val="{00000005-551B-412F-9D50-CC32FC8C6F21}"/>
            </c:ext>
          </c:extLst>
        </c:ser>
        <c:dLbls>
          <c:showLegendKey val="0"/>
          <c:showVal val="0"/>
          <c:showCatName val="0"/>
          <c:showSerName val="0"/>
          <c:showPercent val="0"/>
          <c:showBubbleSize val="0"/>
        </c:dLbls>
        <c:marker val="1"/>
        <c:smooth val="0"/>
        <c:axId val="967811161"/>
        <c:axId val="840371474"/>
      </c:lineChart>
      <c:catAx>
        <c:axId val="96781116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840371474"/>
        <c:crosses val="autoZero"/>
        <c:auto val="1"/>
        <c:lblAlgn val="ctr"/>
        <c:lblOffset val="100"/>
        <c:noMultiLvlLbl val="1"/>
      </c:catAx>
      <c:valAx>
        <c:axId val="8403714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967811161"/>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lineChart>
        <c:grouping val="standard"/>
        <c:varyColors val="1"/>
        <c:ser>
          <c:idx val="0"/>
          <c:order val="0"/>
          <c:spPr>
            <a:ln cmpd="sng">
              <a:solidFill>
                <a:srgbClr val="4285F4"/>
              </a:solidFill>
            </a:ln>
          </c:spPr>
          <c:marker>
            <c:symbol val="circle"/>
            <c:size val="2"/>
            <c:spPr>
              <a:solidFill>
                <a:srgbClr val="4285F4"/>
              </a:solidFill>
              <a:ln cmpd="sng">
                <a:solidFill>
                  <a:srgbClr val="4285F4"/>
                </a:solidFill>
              </a:ln>
            </c:spPr>
          </c:marker>
          <c:dLbls>
            <c:spPr>
              <a:noFill/>
              <a:ln>
                <a:noFill/>
              </a:ln>
              <a:effectLst/>
            </c:spPr>
            <c:txPr>
              <a:bodyPr/>
              <a:lstStyle/>
              <a:p>
                <a:pPr lvl="0">
                  <a:defRPr/>
                </a:pPr>
                <a:endParaRPr lang="ko-K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Tabellenblatt1!$AM$938:$AM$959</c:f>
              <c:numCache>
                <c:formatCode>General</c:formatCode>
                <c:ptCount val="22"/>
                <c:pt idx="0">
                  <c:v>116</c:v>
                </c:pt>
                <c:pt idx="1">
                  <c:v>116</c:v>
                </c:pt>
                <c:pt idx="2">
                  <c:v>116</c:v>
                </c:pt>
                <c:pt idx="3">
                  <c:v>116</c:v>
                </c:pt>
                <c:pt idx="4">
                  <c:v>116</c:v>
                </c:pt>
                <c:pt idx="5">
                  <c:v>111</c:v>
                </c:pt>
                <c:pt idx="6">
                  <c:v>107</c:v>
                </c:pt>
                <c:pt idx="7">
                  <c:v>98</c:v>
                </c:pt>
                <c:pt idx="8">
                  <c:v>89</c:v>
                </c:pt>
                <c:pt idx="9">
                  <c:v>81</c:v>
                </c:pt>
                <c:pt idx="10">
                  <c:v>72</c:v>
                </c:pt>
                <c:pt idx="11">
                  <c:v>71</c:v>
                </c:pt>
                <c:pt idx="12">
                  <c:v>71</c:v>
                </c:pt>
                <c:pt idx="13">
                  <c:v>70</c:v>
                </c:pt>
                <c:pt idx="14">
                  <c:v>70</c:v>
                </c:pt>
                <c:pt idx="15">
                  <c:v>70</c:v>
                </c:pt>
                <c:pt idx="16">
                  <c:v>68</c:v>
                </c:pt>
                <c:pt idx="17">
                  <c:v>68</c:v>
                </c:pt>
                <c:pt idx="18">
                  <c:v>68</c:v>
                </c:pt>
                <c:pt idx="19">
                  <c:v>67</c:v>
                </c:pt>
                <c:pt idx="20">
                  <c:v>67</c:v>
                </c:pt>
                <c:pt idx="21">
                  <c:v>67</c:v>
                </c:pt>
              </c:numCache>
            </c:numRef>
          </c:val>
          <c:smooth val="0"/>
          <c:extLst>
            <c:ext xmlns:c16="http://schemas.microsoft.com/office/drawing/2014/chart" uri="{C3380CC4-5D6E-409C-BE32-E72D297353CC}">
              <c16:uniqueId val="{00000000-032A-4D85-BC58-04D26645B01E}"/>
            </c:ext>
          </c:extLst>
        </c:ser>
        <c:ser>
          <c:idx val="1"/>
          <c:order val="1"/>
          <c:spPr>
            <a:ln cmpd="sng">
              <a:solidFill>
                <a:srgbClr val="EA4335"/>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Tabellenblatt1!$AN$938:$AN$959</c:f>
              <c:numCache>
                <c:formatCode>General</c:formatCode>
                <c:ptCount val="22"/>
                <c:pt idx="0">
                  <c:v>113</c:v>
                </c:pt>
                <c:pt idx="1">
                  <c:v>113</c:v>
                </c:pt>
                <c:pt idx="2">
                  <c:v>113</c:v>
                </c:pt>
                <c:pt idx="3">
                  <c:v>113</c:v>
                </c:pt>
                <c:pt idx="4">
                  <c:v>113</c:v>
                </c:pt>
                <c:pt idx="5">
                  <c:v>109</c:v>
                </c:pt>
                <c:pt idx="6">
                  <c:v>104</c:v>
                </c:pt>
                <c:pt idx="7">
                  <c:v>96</c:v>
                </c:pt>
                <c:pt idx="8">
                  <c:v>87</c:v>
                </c:pt>
                <c:pt idx="9">
                  <c:v>79</c:v>
                </c:pt>
                <c:pt idx="10">
                  <c:v>70</c:v>
                </c:pt>
                <c:pt idx="11">
                  <c:v>68</c:v>
                </c:pt>
                <c:pt idx="12">
                  <c:v>68</c:v>
                </c:pt>
                <c:pt idx="13">
                  <c:v>68</c:v>
                </c:pt>
                <c:pt idx="14">
                  <c:v>67</c:v>
                </c:pt>
                <c:pt idx="15">
                  <c:v>67</c:v>
                </c:pt>
                <c:pt idx="16">
                  <c:v>67</c:v>
                </c:pt>
                <c:pt idx="17">
                  <c:v>66</c:v>
                </c:pt>
                <c:pt idx="18">
                  <c:v>66</c:v>
                </c:pt>
                <c:pt idx="19">
                  <c:v>66</c:v>
                </c:pt>
                <c:pt idx="20">
                  <c:v>65</c:v>
                </c:pt>
                <c:pt idx="21">
                  <c:v>65</c:v>
                </c:pt>
              </c:numCache>
            </c:numRef>
          </c:val>
          <c:smooth val="0"/>
          <c:extLst>
            <c:ext xmlns:c16="http://schemas.microsoft.com/office/drawing/2014/chart" uri="{C3380CC4-5D6E-409C-BE32-E72D297353CC}">
              <c16:uniqueId val="{00000001-032A-4D85-BC58-04D26645B01E}"/>
            </c:ext>
          </c:extLst>
        </c:ser>
        <c:ser>
          <c:idx val="2"/>
          <c:order val="2"/>
          <c:spPr>
            <a:ln cmpd="sng">
              <a:solidFill>
                <a:srgbClr val="FBBC04"/>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Tabellenblatt1!$AO$938:$AO$959</c:f>
              <c:numCache>
                <c:formatCode>General</c:formatCode>
                <c:ptCount val="22"/>
                <c:pt idx="0">
                  <c:v>110</c:v>
                </c:pt>
                <c:pt idx="1">
                  <c:v>110</c:v>
                </c:pt>
                <c:pt idx="2">
                  <c:v>110</c:v>
                </c:pt>
                <c:pt idx="3">
                  <c:v>110</c:v>
                </c:pt>
                <c:pt idx="4">
                  <c:v>110</c:v>
                </c:pt>
                <c:pt idx="5">
                  <c:v>106</c:v>
                </c:pt>
                <c:pt idx="6">
                  <c:v>101</c:v>
                </c:pt>
                <c:pt idx="7">
                  <c:v>93</c:v>
                </c:pt>
                <c:pt idx="8">
                  <c:v>84</c:v>
                </c:pt>
                <c:pt idx="9">
                  <c:v>76</c:v>
                </c:pt>
                <c:pt idx="10">
                  <c:v>68</c:v>
                </c:pt>
                <c:pt idx="11">
                  <c:v>67</c:v>
                </c:pt>
                <c:pt idx="12">
                  <c:v>67</c:v>
                </c:pt>
                <c:pt idx="13">
                  <c:v>66</c:v>
                </c:pt>
                <c:pt idx="14">
                  <c:v>66</c:v>
                </c:pt>
                <c:pt idx="15">
                  <c:v>66</c:v>
                </c:pt>
                <c:pt idx="16">
                  <c:v>65</c:v>
                </c:pt>
                <c:pt idx="17">
                  <c:v>65</c:v>
                </c:pt>
                <c:pt idx="18">
                  <c:v>65</c:v>
                </c:pt>
                <c:pt idx="19">
                  <c:v>63</c:v>
                </c:pt>
                <c:pt idx="20">
                  <c:v>63</c:v>
                </c:pt>
                <c:pt idx="21">
                  <c:v>63</c:v>
                </c:pt>
              </c:numCache>
            </c:numRef>
          </c:val>
          <c:smooth val="0"/>
          <c:extLst>
            <c:ext xmlns:c16="http://schemas.microsoft.com/office/drawing/2014/chart" uri="{C3380CC4-5D6E-409C-BE32-E72D297353CC}">
              <c16:uniqueId val="{00000002-032A-4D85-BC58-04D26645B01E}"/>
            </c:ext>
          </c:extLst>
        </c:ser>
        <c:ser>
          <c:idx val="3"/>
          <c:order val="3"/>
          <c:spPr>
            <a:ln cmpd="sng">
              <a:solidFill>
                <a:srgbClr val="34A853"/>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Tabellenblatt1!$AP$938:$AP$959</c:f>
              <c:numCache>
                <c:formatCode>General</c:formatCode>
                <c:ptCount val="22"/>
                <c:pt idx="0">
                  <c:v>109</c:v>
                </c:pt>
                <c:pt idx="1">
                  <c:v>109</c:v>
                </c:pt>
                <c:pt idx="2">
                  <c:v>109</c:v>
                </c:pt>
                <c:pt idx="3">
                  <c:v>109</c:v>
                </c:pt>
                <c:pt idx="4">
                  <c:v>109</c:v>
                </c:pt>
                <c:pt idx="5">
                  <c:v>105</c:v>
                </c:pt>
                <c:pt idx="6">
                  <c:v>100</c:v>
                </c:pt>
                <c:pt idx="7">
                  <c:v>92</c:v>
                </c:pt>
                <c:pt idx="8">
                  <c:v>84</c:v>
                </c:pt>
                <c:pt idx="9">
                  <c:v>75</c:v>
                </c:pt>
                <c:pt idx="10">
                  <c:v>67</c:v>
                </c:pt>
                <c:pt idx="11">
                  <c:v>66</c:v>
                </c:pt>
                <c:pt idx="12">
                  <c:v>66</c:v>
                </c:pt>
                <c:pt idx="13">
                  <c:v>66</c:v>
                </c:pt>
                <c:pt idx="14">
                  <c:v>65</c:v>
                </c:pt>
                <c:pt idx="15">
                  <c:v>65</c:v>
                </c:pt>
                <c:pt idx="16">
                  <c:v>65</c:v>
                </c:pt>
                <c:pt idx="17">
                  <c:v>63</c:v>
                </c:pt>
                <c:pt idx="18">
                  <c:v>63</c:v>
                </c:pt>
                <c:pt idx="19">
                  <c:v>63</c:v>
                </c:pt>
                <c:pt idx="20">
                  <c:v>63</c:v>
                </c:pt>
                <c:pt idx="21">
                  <c:v>62</c:v>
                </c:pt>
              </c:numCache>
            </c:numRef>
          </c:val>
          <c:smooth val="0"/>
          <c:extLst>
            <c:ext xmlns:c16="http://schemas.microsoft.com/office/drawing/2014/chart" uri="{C3380CC4-5D6E-409C-BE32-E72D297353CC}">
              <c16:uniqueId val="{00000003-032A-4D85-BC58-04D26645B01E}"/>
            </c:ext>
          </c:extLst>
        </c:ser>
        <c:ser>
          <c:idx val="4"/>
          <c:order val="4"/>
          <c:spPr>
            <a:ln cmpd="sng">
              <a:solidFill>
                <a:srgbClr val="FF6D01"/>
              </a:solidFill>
            </a:ln>
          </c:spPr>
          <c:marker>
            <c:symbol val="none"/>
          </c:marker>
          <c:cat>
            <c:numRef>
              <c:f>Tabellenblatt1!$A$914:$A$935</c:f>
              <c:numCache>
                <c:formatCode>General</c:formatCode>
                <c:ptCount val="22"/>
                <c:pt idx="0">
                  <c:v>20</c:v>
                </c:pt>
                <c:pt idx="1">
                  <c:v>25</c:v>
                </c:pt>
                <c:pt idx="2">
                  <c:v>30</c:v>
                </c:pt>
                <c:pt idx="3">
                  <c:v>35</c:v>
                </c:pt>
                <c:pt idx="4">
                  <c:v>40</c:v>
                </c:pt>
                <c:pt idx="5">
                  <c:v>45</c:v>
                </c:pt>
                <c:pt idx="6">
                  <c:v>50</c:v>
                </c:pt>
                <c:pt idx="7">
                  <c:v>60</c:v>
                </c:pt>
                <c:pt idx="8">
                  <c:v>70</c:v>
                </c:pt>
                <c:pt idx="9">
                  <c:v>80</c:v>
                </c:pt>
                <c:pt idx="10">
                  <c:v>90</c:v>
                </c:pt>
                <c:pt idx="11">
                  <c:v>100</c:v>
                </c:pt>
                <c:pt idx="12">
                  <c:v>110</c:v>
                </c:pt>
                <c:pt idx="13">
                  <c:v>120</c:v>
                </c:pt>
                <c:pt idx="14">
                  <c:v>130</c:v>
                </c:pt>
                <c:pt idx="15">
                  <c:v>140</c:v>
                </c:pt>
                <c:pt idx="16">
                  <c:v>150</c:v>
                </c:pt>
                <c:pt idx="17">
                  <c:v>160</c:v>
                </c:pt>
                <c:pt idx="18">
                  <c:v>170</c:v>
                </c:pt>
                <c:pt idx="19">
                  <c:v>180</c:v>
                </c:pt>
                <c:pt idx="20">
                  <c:v>190</c:v>
                </c:pt>
                <c:pt idx="21">
                  <c:v>200</c:v>
                </c:pt>
              </c:numCache>
            </c:numRef>
          </c:cat>
          <c:val>
            <c:numRef>
              <c:f>Tabellenblatt1!$AQ$938:$AQ$959</c:f>
              <c:numCache>
                <c:formatCode>General</c:formatCode>
                <c:ptCount val="22"/>
                <c:pt idx="0">
                  <c:v>106</c:v>
                </c:pt>
                <c:pt idx="1">
                  <c:v>106</c:v>
                </c:pt>
                <c:pt idx="2">
                  <c:v>106</c:v>
                </c:pt>
                <c:pt idx="3">
                  <c:v>106</c:v>
                </c:pt>
                <c:pt idx="4">
                  <c:v>106</c:v>
                </c:pt>
                <c:pt idx="5">
                  <c:v>102</c:v>
                </c:pt>
                <c:pt idx="6">
                  <c:v>98</c:v>
                </c:pt>
                <c:pt idx="7">
                  <c:v>89</c:v>
                </c:pt>
                <c:pt idx="8">
                  <c:v>81</c:v>
                </c:pt>
                <c:pt idx="9">
                  <c:v>74</c:v>
                </c:pt>
                <c:pt idx="10">
                  <c:v>66</c:v>
                </c:pt>
                <c:pt idx="11">
                  <c:v>65</c:v>
                </c:pt>
                <c:pt idx="12">
                  <c:v>65</c:v>
                </c:pt>
                <c:pt idx="13">
                  <c:v>63</c:v>
                </c:pt>
                <c:pt idx="14">
                  <c:v>63</c:v>
                </c:pt>
                <c:pt idx="15">
                  <c:v>63</c:v>
                </c:pt>
                <c:pt idx="16">
                  <c:v>63</c:v>
                </c:pt>
                <c:pt idx="17">
                  <c:v>62</c:v>
                </c:pt>
                <c:pt idx="18">
                  <c:v>62</c:v>
                </c:pt>
                <c:pt idx="19">
                  <c:v>62</c:v>
                </c:pt>
                <c:pt idx="20">
                  <c:v>61</c:v>
                </c:pt>
                <c:pt idx="21">
                  <c:v>61</c:v>
                </c:pt>
              </c:numCache>
            </c:numRef>
          </c:val>
          <c:smooth val="0"/>
          <c:extLst>
            <c:ext xmlns:c16="http://schemas.microsoft.com/office/drawing/2014/chart" uri="{C3380CC4-5D6E-409C-BE32-E72D297353CC}">
              <c16:uniqueId val="{00000004-032A-4D85-BC58-04D26645B01E}"/>
            </c:ext>
          </c:extLst>
        </c:ser>
        <c:dLbls>
          <c:showLegendKey val="0"/>
          <c:showVal val="0"/>
          <c:showCatName val="0"/>
          <c:showSerName val="0"/>
          <c:showPercent val="0"/>
          <c:showBubbleSize val="0"/>
        </c:dLbls>
        <c:marker val="1"/>
        <c:smooth val="0"/>
        <c:axId val="1312857781"/>
        <c:axId val="1044679898"/>
      </c:lineChart>
      <c:catAx>
        <c:axId val="131285778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1044679898"/>
        <c:crosses val="autoZero"/>
        <c:auto val="1"/>
        <c:lblAlgn val="ctr"/>
        <c:lblOffset val="100"/>
        <c:noMultiLvlLbl val="1"/>
      </c:catAx>
      <c:valAx>
        <c:axId val="10446798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ko-KR"/>
          </a:p>
        </c:txPr>
        <c:crossAx val="1312857781"/>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16</xdr:col>
      <xdr:colOff>962025</xdr:colOff>
      <xdr:row>914</xdr:row>
      <xdr:rowOff>38100</xdr:rowOff>
    </xdr:from>
    <xdr:ext cx="5715000" cy="3533775"/>
    <xdr:graphicFrame macro="">
      <xdr:nvGraphicFramePr>
        <xdr:cNvPr id="2" name="Chart 1" title="Diagramm">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0</xdr:colOff>
      <xdr:row>938</xdr:row>
      <xdr:rowOff>133350</xdr:rowOff>
    </xdr:from>
    <xdr:ext cx="5715000" cy="3533775"/>
    <xdr:graphicFrame macro="">
      <xdr:nvGraphicFramePr>
        <xdr:cNvPr id="3" name="Chart 2" title="Diagramm">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161925</xdr:colOff>
      <xdr:row>890</xdr:row>
      <xdr:rowOff>152400</xdr:rowOff>
    </xdr:from>
    <xdr:ext cx="5715000" cy="3533775"/>
    <xdr:graphicFrame macro="">
      <xdr:nvGraphicFramePr>
        <xdr:cNvPr id="4" name="Chart 3" title="Diagramm">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21</xdr:col>
      <xdr:colOff>295275</xdr:colOff>
      <xdr:row>938</xdr:row>
      <xdr:rowOff>123825</xdr:rowOff>
    </xdr:from>
    <xdr:ext cx="5715000" cy="3533775"/>
    <xdr:graphicFrame macro="">
      <xdr:nvGraphicFramePr>
        <xdr:cNvPr id="5" name="Chart 4" title="Diagramm">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30</xdr:col>
      <xdr:colOff>190500</xdr:colOff>
      <xdr:row>938</xdr:row>
      <xdr:rowOff>133350</xdr:rowOff>
    </xdr:from>
    <xdr:ext cx="5715000" cy="3533775"/>
    <xdr:graphicFrame macro="">
      <xdr:nvGraphicFramePr>
        <xdr:cNvPr id="6" name="Chart 5" title="Diagramm">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29</xdr:col>
      <xdr:colOff>476250</xdr:colOff>
      <xdr:row>914</xdr:row>
      <xdr:rowOff>38100</xdr:rowOff>
    </xdr:from>
    <xdr:ext cx="5715000" cy="3533775"/>
    <xdr:graphicFrame macro="">
      <xdr:nvGraphicFramePr>
        <xdr:cNvPr id="7" name="Chart 6" title="Diagramm">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43</xdr:col>
      <xdr:colOff>409575</xdr:colOff>
      <xdr:row>914</xdr:row>
      <xdr:rowOff>38100</xdr:rowOff>
    </xdr:from>
    <xdr:ext cx="5715000" cy="3533775"/>
    <xdr:graphicFrame macro="">
      <xdr:nvGraphicFramePr>
        <xdr:cNvPr id="8" name="Chart 7" title="Diagramm">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23</xdr:col>
      <xdr:colOff>295275</xdr:colOff>
      <xdr:row>890</xdr:row>
      <xdr:rowOff>142875</xdr:rowOff>
    </xdr:from>
    <xdr:ext cx="5715000" cy="3533775"/>
    <xdr:graphicFrame macro="">
      <xdr:nvGraphicFramePr>
        <xdr:cNvPr id="9" name="Chart 8" title="Diagramm">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31</xdr:col>
      <xdr:colOff>219075</xdr:colOff>
      <xdr:row>890</xdr:row>
      <xdr:rowOff>152400</xdr:rowOff>
    </xdr:from>
    <xdr:ext cx="5715000" cy="3533775"/>
    <xdr:graphicFrame macro="">
      <xdr:nvGraphicFramePr>
        <xdr:cNvPr id="10" name="Chart 9" title="Diagramm">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43</xdr:col>
      <xdr:colOff>409575</xdr:colOff>
      <xdr:row>938</xdr:row>
      <xdr:rowOff>123825</xdr:rowOff>
    </xdr:from>
    <xdr:ext cx="5715000" cy="3533775"/>
    <xdr:graphicFrame macro="">
      <xdr:nvGraphicFramePr>
        <xdr:cNvPr id="11" name="Chart 10" title="Diagramm">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wsDr>
</file>

<file path=xl/persons/person.xml><?xml version="1.0" encoding="utf-8"?>
<x18tc:personList xmlns:x18tc="http://schemas.microsoft.com/office/spreadsheetml/2018/threadedcomments">
  <x18tc:person displayName="Reza M" id="{34846d74-6921-4b7d-9dbc-f1d6106592d5}"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1" headerRowCount="0">
  <tableColumns count="2">
    <tableColumn id="1" xr3:uid="{00000000-0010-0000-0000-000001000000}" name="Column1"/>
    <tableColumn id="2" xr3:uid="{00000000-0010-0000-0000-000002000000}" name="Column2"/>
  </tableColumns>
  <tableStyleInfo name="Formularantworten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1-11T16:31:49.00" personId="{34846d74-6921-4b7d-9dbc-f1d6106592d5}" id="{563a508f-a92a-4b8d-9ae5-fb0fa87c5ae7}" done="1">
    <x18tc:text xml:space="preserve">perhaps add FMJ</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
  <sheetViews>
    <sheetView workbookViewId="0">
      <pane ySplit="1" topLeftCell="A2" activePane="bottomLeft" state="frozen"/>
      <selection pane="bottomLeft" activeCell="B3" sqref="B3"/>
    </sheetView>
  </sheetViews>
  <sheetFormatPr defaultColWidth="12.5703125" defaultRowHeight="15.75" customHeight="1"/>
  <cols>
    <col min="1" max="8" width="18.85546875" customWidth="1"/>
  </cols>
  <sheetData>
    <row r="1" spans="1:2" ht="22.5" customHeight="1">
      <c r="A1" s="3" t="s">
        <v>0</v>
      </c>
      <c r="B1" s="4" t="s">
        <v>1</v>
      </c>
    </row>
  </sheetData>
  <phoneticPr fontId="8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U1440"/>
  <sheetViews>
    <sheetView tabSelected="1" workbookViewId="0">
      <selection activeCell="L6" sqref="L6"/>
    </sheetView>
  </sheetViews>
  <sheetFormatPr defaultColWidth="12.5703125" defaultRowHeight="15.75" customHeight="1"/>
  <cols>
    <col min="1" max="1" width="37.5703125" customWidth="1"/>
  </cols>
  <sheetData>
    <row r="1" spans="1:46">
      <c r="A1" s="5"/>
    </row>
    <row r="2" spans="1:46" ht="15.75" customHeight="1">
      <c r="A2" s="350" t="s">
        <v>2</v>
      </c>
      <c r="B2" s="351"/>
      <c r="C2" s="351"/>
      <c r="D2" s="351"/>
      <c r="E2" s="351"/>
      <c r="F2" s="351"/>
      <c r="G2" s="351"/>
      <c r="H2" s="351"/>
      <c r="I2" s="351"/>
      <c r="J2" s="351"/>
      <c r="K2" s="351"/>
      <c r="L2" s="351"/>
      <c r="M2" s="351"/>
      <c r="N2" s="351"/>
      <c r="O2" s="351"/>
      <c r="P2" s="351"/>
      <c r="Q2" s="351"/>
      <c r="R2" s="351"/>
      <c r="S2" s="351"/>
      <c r="T2" s="351"/>
      <c r="U2" s="351"/>
      <c r="V2" s="351"/>
      <c r="W2" s="352"/>
    </row>
    <row r="3" spans="1:46">
      <c r="A3" s="353"/>
      <c r="B3" s="354"/>
      <c r="C3" s="354"/>
      <c r="D3" s="354"/>
      <c r="E3" s="354"/>
      <c r="F3" s="354"/>
      <c r="G3" s="354"/>
      <c r="H3" s="354"/>
      <c r="I3" s="354"/>
      <c r="J3" s="354"/>
      <c r="K3" s="354"/>
      <c r="L3" s="354"/>
      <c r="M3" s="354"/>
      <c r="N3" s="354"/>
      <c r="O3" s="354"/>
      <c r="P3" s="354"/>
      <c r="Q3" s="354"/>
      <c r="R3" s="354"/>
      <c r="S3" s="354"/>
      <c r="T3" s="354"/>
      <c r="U3" s="354"/>
      <c r="V3" s="354"/>
      <c r="W3" s="355"/>
    </row>
    <row r="4" spans="1:46" ht="15.75" customHeight="1">
      <c r="A4" s="356" t="s">
        <v>3</v>
      </c>
      <c r="B4" s="354"/>
      <c r="C4" s="354"/>
      <c r="D4" s="354"/>
      <c r="E4" s="354"/>
      <c r="F4" s="354"/>
      <c r="G4" s="354"/>
      <c r="H4" s="354"/>
      <c r="I4" s="354"/>
      <c r="J4" s="354"/>
      <c r="K4" s="354"/>
      <c r="L4" s="354"/>
      <c r="M4" s="354"/>
      <c r="N4" s="354"/>
      <c r="O4" s="354"/>
      <c r="P4" s="354"/>
      <c r="Q4" s="354"/>
      <c r="R4" s="354"/>
      <c r="S4" s="354"/>
      <c r="T4" s="354"/>
      <c r="U4" s="354"/>
      <c r="V4" s="354"/>
      <c r="W4" s="355"/>
    </row>
    <row r="5" spans="1:46">
      <c r="A5" s="5"/>
    </row>
    <row r="6" spans="1:46" ht="24.75" customHeight="1">
      <c r="A6" s="5"/>
      <c r="C6" s="6" t="s">
        <v>4</v>
      </c>
      <c r="F6" s="7"/>
    </row>
    <row r="7" spans="1:46" ht="15.75" customHeight="1">
      <c r="A7" s="8" t="s">
        <v>5</v>
      </c>
      <c r="B7" s="9">
        <v>1</v>
      </c>
      <c r="C7" s="9">
        <v>1</v>
      </c>
      <c r="D7" s="9">
        <v>1</v>
      </c>
      <c r="E7" s="9">
        <v>1</v>
      </c>
      <c r="F7" s="10">
        <v>1</v>
      </c>
      <c r="G7" s="11" t="s">
        <v>6</v>
      </c>
      <c r="H7" s="11" t="s">
        <v>7</v>
      </c>
      <c r="I7" s="11" t="s">
        <v>8</v>
      </c>
      <c r="J7" s="11" t="s">
        <v>9</v>
      </c>
      <c r="K7" s="11" t="s">
        <v>10</v>
      </c>
      <c r="L7" s="12">
        <v>0.62</v>
      </c>
      <c r="M7" s="11" t="s">
        <v>11</v>
      </c>
      <c r="N7" s="11" t="s">
        <v>12</v>
      </c>
      <c r="O7" s="11" t="s">
        <v>13</v>
      </c>
      <c r="P7" s="11" t="s">
        <v>14</v>
      </c>
      <c r="Q7" s="11" t="s">
        <v>15</v>
      </c>
      <c r="R7" s="11" t="s">
        <v>16</v>
      </c>
      <c r="S7" s="11" t="s">
        <v>17</v>
      </c>
      <c r="T7" s="11" t="s">
        <v>18</v>
      </c>
      <c r="U7" s="11" t="s">
        <v>19</v>
      </c>
      <c r="V7" s="11" t="s">
        <v>20</v>
      </c>
      <c r="W7" s="11" t="s">
        <v>21</v>
      </c>
      <c r="Y7" s="13" t="s">
        <v>22</v>
      </c>
    </row>
    <row r="8" spans="1:46" ht="15.75" customHeight="1">
      <c r="A8" s="14" t="s">
        <v>23</v>
      </c>
      <c r="B8" s="15" t="s">
        <v>24</v>
      </c>
      <c r="C8" s="16" t="s">
        <v>25</v>
      </c>
      <c r="D8" s="16" t="s">
        <v>26</v>
      </c>
      <c r="E8" s="16" t="s">
        <v>27</v>
      </c>
      <c r="F8" s="16" t="s">
        <v>28</v>
      </c>
      <c r="G8" s="16">
        <v>45</v>
      </c>
      <c r="H8" s="16">
        <v>50</v>
      </c>
      <c r="I8" s="16">
        <v>60</v>
      </c>
      <c r="J8" s="16">
        <v>70</v>
      </c>
      <c r="K8" s="16">
        <v>80</v>
      </c>
      <c r="L8" s="16">
        <v>90</v>
      </c>
      <c r="M8" s="16">
        <v>100</v>
      </c>
      <c r="N8" s="16">
        <v>110</v>
      </c>
      <c r="O8" s="16">
        <v>120</v>
      </c>
      <c r="P8" s="16">
        <v>130</v>
      </c>
      <c r="Q8" s="16">
        <v>140</v>
      </c>
      <c r="R8" s="16">
        <v>150</v>
      </c>
      <c r="S8" s="16">
        <v>160</v>
      </c>
      <c r="T8" s="16">
        <v>170</v>
      </c>
      <c r="U8" s="16">
        <v>180</v>
      </c>
      <c r="V8" s="16">
        <v>190</v>
      </c>
      <c r="W8" s="16">
        <v>200</v>
      </c>
      <c r="Y8" s="13" t="s">
        <v>29</v>
      </c>
      <c r="AE8" s="17"/>
      <c r="AJ8" s="13" t="s">
        <v>30</v>
      </c>
    </row>
    <row r="9" spans="1:46" ht="15.75" customHeight="1">
      <c r="A9" s="8" t="s">
        <v>5</v>
      </c>
      <c r="B9" s="18">
        <v>1</v>
      </c>
      <c r="C9" s="18">
        <v>1</v>
      </c>
      <c r="D9" s="18">
        <v>1</v>
      </c>
      <c r="E9" s="18">
        <v>1</v>
      </c>
      <c r="F9" s="19">
        <v>1</v>
      </c>
      <c r="G9" s="20">
        <f t="shared" ref="G9:W9" si="0">AVERAGE(G774:G782)</f>
        <v>0.95958295232663915</v>
      </c>
      <c r="H9" s="20">
        <f t="shared" si="0"/>
        <v>0.9218692109166895</v>
      </c>
      <c r="I9" s="20">
        <f t="shared" si="0"/>
        <v>0.8454252066822312</v>
      </c>
      <c r="J9" s="20">
        <f t="shared" si="0"/>
        <v>0.76889257848744907</v>
      </c>
      <c r="K9" s="20">
        <f t="shared" si="0"/>
        <v>0.69485218104256263</v>
      </c>
      <c r="L9" s="20">
        <f t="shared" si="0"/>
        <v>0.61681204204990214</v>
      </c>
      <c r="M9" s="20">
        <f t="shared" si="0"/>
        <v>0.60767395568370086</v>
      </c>
      <c r="N9" s="20">
        <f t="shared" si="0"/>
        <v>0.59704536346900394</v>
      </c>
      <c r="O9" s="20">
        <f t="shared" si="0"/>
        <v>0.58883852739528786</v>
      </c>
      <c r="P9" s="20">
        <f t="shared" si="0"/>
        <v>0.58145778050572428</v>
      </c>
      <c r="Q9" s="20">
        <f t="shared" si="0"/>
        <v>0.57243809256075573</v>
      </c>
      <c r="R9" s="20">
        <f t="shared" si="0"/>
        <v>0.56418691413286859</v>
      </c>
      <c r="S9" s="20">
        <f t="shared" si="0"/>
        <v>0.55756379836729331</v>
      </c>
      <c r="T9" s="20">
        <f t="shared" si="0"/>
        <v>0.54765131115769661</v>
      </c>
      <c r="U9" s="20">
        <f t="shared" si="0"/>
        <v>0.54114494877738606</v>
      </c>
      <c r="V9" s="20">
        <f t="shared" si="0"/>
        <v>0.53040736786309639</v>
      </c>
      <c r="W9" s="20">
        <f t="shared" si="0"/>
        <v>0.52388362878497707</v>
      </c>
      <c r="Y9" s="21" t="s">
        <v>31</v>
      </c>
      <c r="Z9" s="21" t="s">
        <v>32</v>
      </c>
      <c r="AA9" s="21" t="s">
        <v>33</v>
      </c>
      <c r="AB9" s="22" t="s">
        <v>34</v>
      </c>
      <c r="AC9" s="22" t="s">
        <v>35</v>
      </c>
      <c r="AD9" s="22" t="s">
        <v>36</v>
      </c>
      <c r="AE9" s="22" t="s">
        <v>37</v>
      </c>
      <c r="AF9" s="13" t="s">
        <v>38</v>
      </c>
      <c r="AH9" s="13" t="s">
        <v>39</v>
      </c>
      <c r="AJ9" s="21" t="s">
        <v>40</v>
      </c>
      <c r="AK9" s="21" t="s">
        <v>32</v>
      </c>
      <c r="AL9" s="21" t="s">
        <v>33</v>
      </c>
      <c r="AM9" s="22" t="s">
        <v>41</v>
      </c>
      <c r="AN9" s="22" t="s">
        <v>42</v>
      </c>
      <c r="AO9" s="22" t="s">
        <v>34</v>
      </c>
      <c r="AP9" s="22" t="s">
        <v>35</v>
      </c>
      <c r="AQ9" s="13" t="s">
        <v>43</v>
      </c>
      <c r="AS9" s="13" t="s">
        <v>44</v>
      </c>
    </row>
    <row r="10" spans="1:46" ht="15.75" customHeight="1">
      <c r="A10" s="8" t="s">
        <v>45</v>
      </c>
      <c r="B10" s="18">
        <v>1</v>
      </c>
      <c r="C10" s="18">
        <v>1</v>
      </c>
      <c r="D10" s="18">
        <v>1</v>
      </c>
      <c r="E10" s="18">
        <v>1</v>
      </c>
      <c r="F10" s="23">
        <v>1</v>
      </c>
      <c r="G10" s="24">
        <f t="shared" ref="G10:W10" si="1">AVERAGE(G790:G793)</f>
        <v>0.93469485541247443</v>
      </c>
      <c r="H10" s="24">
        <f t="shared" si="1"/>
        <v>0.86500173553674298</v>
      </c>
      <c r="I10" s="24">
        <f t="shared" si="1"/>
        <v>0.72329206167751281</v>
      </c>
      <c r="J10" s="24">
        <f t="shared" si="1"/>
        <v>0.58630967023012892</v>
      </c>
      <c r="K10" s="24">
        <f t="shared" si="1"/>
        <v>0.53282990628186777</v>
      </c>
      <c r="L10" s="24">
        <f t="shared" si="1"/>
        <v>0.47292964672019755</v>
      </c>
      <c r="M10" s="24">
        <f t="shared" si="1"/>
        <v>0.47292964672019755</v>
      </c>
      <c r="N10" s="24">
        <f t="shared" si="1"/>
        <v>0.47292964672019755</v>
      </c>
      <c r="O10" s="24">
        <f t="shared" si="1"/>
        <v>0.47292964672019755</v>
      </c>
      <c r="P10" s="24">
        <f t="shared" si="1"/>
        <v>0.47292964672019755</v>
      </c>
      <c r="Q10" s="24">
        <f t="shared" si="1"/>
        <v>0.47292964672019755</v>
      </c>
      <c r="R10" s="24">
        <f t="shared" si="1"/>
        <v>0.47292964672019755</v>
      </c>
      <c r="S10" s="24">
        <f t="shared" si="1"/>
        <v>0.47292964672019755</v>
      </c>
      <c r="T10" s="24">
        <f t="shared" si="1"/>
        <v>0.47292964672019755</v>
      </c>
      <c r="U10" s="24">
        <f t="shared" si="1"/>
        <v>0.47292964672019755</v>
      </c>
      <c r="V10" s="24">
        <f t="shared" si="1"/>
        <v>0.47292964672019755</v>
      </c>
      <c r="W10" s="24">
        <f t="shared" si="1"/>
        <v>0.47292964672019755</v>
      </c>
      <c r="Y10" s="22" t="s">
        <v>46</v>
      </c>
      <c r="Z10" s="22">
        <v>115</v>
      </c>
      <c r="AA10" s="22">
        <f t="array" ref="AA10:AA18">INT(Z10:Z18*1.3)</f>
        <v>149</v>
      </c>
      <c r="AB10" s="22">
        <v>71</v>
      </c>
      <c r="AC10" s="22">
        <f t="array" ref="AC10:AC18">INT(AB10:AB18*1.3)</f>
        <v>92</v>
      </c>
      <c r="AD10" s="22">
        <v>60</v>
      </c>
      <c r="AE10" s="22">
        <f t="array" ref="AE10:AE18">INT(AD10:AD18*1.3)</f>
        <v>78</v>
      </c>
      <c r="AF10" s="2">
        <f t="array" ref="AF10:AF18">AB10:AB18/Z10:Z18</f>
        <v>0.61739130434782608</v>
      </c>
      <c r="AG10" s="25">
        <f>ROUND(1-AVERAGE(AF10:AF17),7)</f>
        <v>0.3816736</v>
      </c>
      <c r="AH10" s="2">
        <f t="array" ref="AH10:AH18">AD10:AD18/AB10:AB18</f>
        <v>0.84507042253521125</v>
      </c>
      <c r="AI10" s="25">
        <f>ROUND(1-AVERAGE(AH10:AH17),7)</f>
        <v>0.1498949</v>
      </c>
      <c r="AJ10" s="22" t="s">
        <v>47</v>
      </c>
      <c r="AK10" s="22">
        <v>115</v>
      </c>
      <c r="AL10" s="22">
        <f t="array" ref="AL10:AL12">INT(AK10:AK12*1.3)</f>
        <v>149</v>
      </c>
      <c r="AM10" s="22">
        <v>68</v>
      </c>
      <c r="AN10" s="22">
        <v>88</v>
      </c>
      <c r="AO10" s="22">
        <v>55</v>
      </c>
      <c r="AP10" s="22">
        <v>71</v>
      </c>
      <c r="AQ10" s="2">
        <f t="array" ref="AQ10:AQ12">AM10:AM12/AK10:AK12</f>
        <v>0.59130434782608698</v>
      </c>
      <c r="AR10" s="25">
        <f>ROUND(1-AVERAGE(AQ10:AQ12),7)</f>
        <v>0.40844069999999999</v>
      </c>
      <c r="AS10" s="2">
        <f t="array" ref="AS10:AS12">AO10:AO12/AM10:AM12</f>
        <v>0.80882352941176472</v>
      </c>
      <c r="AT10" s="25">
        <f>ROUND(1-AVERAGE(AS10:AS12),7)</f>
        <v>0.19352920000000001</v>
      </c>
    </row>
    <row r="11" spans="1:46" ht="15.75" customHeight="1">
      <c r="A11" s="8" t="s">
        <v>48</v>
      </c>
      <c r="B11" s="18">
        <v>1</v>
      </c>
      <c r="C11" s="19">
        <v>1</v>
      </c>
      <c r="D11" s="23">
        <v>1</v>
      </c>
      <c r="E11" s="26">
        <v>1</v>
      </c>
      <c r="F11" s="27">
        <v>1</v>
      </c>
      <c r="G11" s="28">
        <f t="shared" ref="G11:W11" si="2">AVERAGE(G800:G801)</f>
        <v>0.92258300618803646</v>
      </c>
      <c r="H11" s="28">
        <f t="shared" si="2"/>
        <v>0.82879765786146775</v>
      </c>
      <c r="I11" s="28">
        <f t="shared" si="2"/>
        <v>0.66268547474881889</v>
      </c>
      <c r="J11" s="28">
        <f t="shared" si="2"/>
        <v>0.49148313261028675</v>
      </c>
      <c r="K11" s="28">
        <f t="shared" si="2"/>
        <v>0.46317120234213849</v>
      </c>
      <c r="L11" s="28">
        <f t="shared" si="2"/>
        <v>0.43485927207399028</v>
      </c>
      <c r="M11" s="28">
        <f t="shared" si="2"/>
        <v>0.43485927207399028</v>
      </c>
      <c r="N11" s="28">
        <f t="shared" si="2"/>
        <v>0.43485927207399028</v>
      </c>
      <c r="O11" s="28">
        <f t="shared" si="2"/>
        <v>0.43485927207399028</v>
      </c>
      <c r="P11" s="28">
        <f t="shared" si="2"/>
        <v>0.43485927207399028</v>
      </c>
      <c r="Q11" s="28">
        <f t="shared" si="2"/>
        <v>0.43485927207399028</v>
      </c>
      <c r="R11" s="28">
        <f t="shared" si="2"/>
        <v>0.43485927207399028</v>
      </c>
      <c r="S11" s="28">
        <f t="shared" si="2"/>
        <v>0.43485927207399028</v>
      </c>
      <c r="T11" s="28">
        <f t="shared" si="2"/>
        <v>0.43485927207399028</v>
      </c>
      <c r="U11" s="28">
        <f t="shared" si="2"/>
        <v>0.43485927207399028</v>
      </c>
      <c r="V11" s="28">
        <f t="shared" si="2"/>
        <v>0.43485927207399028</v>
      </c>
      <c r="W11" s="28">
        <f t="shared" si="2"/>
        <v>0.43485927207399028</v>
      </c>
      <c r="Y11" s="22" t="s">
        <v>49</v>
      </c>
      <c r="Z11" s="22">
        <v>110</v>
      </c>
      <c r="AA11" s="22">
        <v>143</v>
      </c>
      <c r="AB11" s="22">
        <v>68</v>
      </c>
      <c r="AC11" s="22">
        <v>88</v>
      </c>
      <c r="AD11" s="22">
        <v>58</v>
      </c>
      <c r="AE11" s="22">
        <v>75</v>
      </c>
      <c r="AF11" s="2">
        <v>0.61818181818181817</v>
      </c>
      <c r="AH11" s="2">
        <v>0.8529411764705882</v>
      </c>
      <c r="AJ11" s="22" t="s">
        <v>50</v>
      </c>
      <c r="AK11" s="22">
        <v>97</v>
      </c>
      <c r="AL11" s="22">
        <v>126</v>
      </c>
      <c r="AM11" s="22">
        <v>57</v>
      </c>
      <c r="AN11" s="22">
        <v>74</v>
      </c>
      <c r="AO11" s="22">
        <v>46</v>
      </c>
      <c r="AP11" s="22">
        <v>59</v>
      </c>
      <c r="AQ11" s="2">
        <v>0.58762886597938147</v>
      </c>
      <c r="AS11" s="2">
        <v>0.80701754385964908</v>
      </c>
    </row>
    <row r="12" spans="1:46" ht="15.75" customHeight="1">
      <c r="A12" s="8" t="s">
        <v>51</v>
      </c>
      <c r="B12" s="18">
        <v>1</v>
      </c>
      <c r="C12" s="29">
        <v>1</v>
      </c>
      <c r="D12" s="30">
        <v>1</v>
      </c>
      <c r="E12" s="31">
        <v>1</v>
      </c>
      <c r="F12" s="32">
        <v>1</v>
      </c>
      <c r="G12" s="33">
        <f t="shared" ref="G12:W12" si="3">AVERAGE(G807)</f>
        <v>0.91729323308270672</v>
      </c>
      <c r="H12" s="33">
        <f t="shared" si="3"/>
        <v>0.82706766917293228</v>
      </c>
      <c r="I12" s="33">
        <f t="shared" si="3"/>
        <v>0.65413533834586468</v>
      </c>
      <c r="J12" s="33">
        <f t="shared" si="3"/>
        <v>0.47368421052631576</v>
      </c>
      <c r="K12" s="33">
        <f t="shared" si="3"/>
        <v>0.44360902255639095</v>
      </c>
      <c r="L12" s="33">
        <f t="shared" si="3"/>
        <v>0.41353383458646614</v>
      </c>
      <c r="M12" s="33">
        <f t="shared" si="3"/>
        <v>0.41353383458646614</v>
      </c>
      <c r="N12" s="33">
        <f t="shared" si="3"/>
        <v>0.41353383458646614</v>
      </c>
      <c r="O12" s="33">
        <f t="shared" si="3"/>
        <v>0.41353383458646614</v>
      </c>
      <c r="P12" s="33">
        <f t="shared" si="3"/>
        <v>0.41353383458646614</v>
      </c>
      <c r="Q12" s="33">
        <f t="shared" si="3"/>
        <v>0.41353383458646614</v>
      </c>
      <c r="R12" s="33">
        <f t="shared" si="3"/>
        <v>0.41353383458646614</v>
      </c>
      <c r="S12" s="33">
        <f t="shared" si="3"/>
        <v>0.41353383458646614</v>
      </c>
      <c r="T12" s="33">
        <f t="shared" si="3"/>
        <v>0.41353383458646614</v>
      </c>
      <c r="U12" s="33">
        <f t="shared" si="3"/>
        <v>0.41353383458646614</v>
      </c>
      <c r="V12" s="33">
        <f t="shared" si="3"/>
        <v>0.41353383458646614</v>
      </c>
      <c r="W12" s="33">
        <f t="shared" si="3"/>
        <v>0.41353383458646614</v>
      </c>
      <c r="Y12" s="22" t="s">
        <v>52</v>
      </c>
      <c r="Z12" s="22">
        <v>107</v>
      </c>
      <c r="AA12" s="22">
        <v>139</v>
      </c>
      <c r="AB12" s="22">
        <v>66</v>
      </c>
      <c r="AC12" s="22">
        <v>85</v>
      </c>
      <c r="AD12" s="22">
        <v>56</v>
      </c>
      <c r="AE12" s="22">
        <v>72</v>
      </c>
      <c r="AF12" s="2">
        <v>0.61682242990654201</v>
      </c>
      <c r="AH12" s="2">
        <v>0.84848484848484851</v>
      </c>
      <c r="AJ12" s="22" t="s">
        <v>53</v>
      </c>
      <c r="AK12" s="22">
        <v>94</v>
      </c>
      <c r="AL12" s="22">
        <v>122</v>
      </c>
      <c r="AM12" s="22">
        <v>56</v>
      </c>
      <c r="AN12" s="22">
        <v>72</v>
      </c>
      <c r="AO12" s="22">
        <v>45</v>
      </c>
      <c r="AP12" s="22">
        <v>58</v>
      </c>
      <c r="AQ12" s="2">
        <v>0.5957446808510638</v>
      </c>
      <c r="AS12" s="2">
        <v>0.8035714285714286</v>
      </c>
    </row>
    <row r="13" spans="1:46" ht="15.75" customHeight="1">
      <c r="A13" s="8" t="s">
        <v>54</v>
      </c>
      <c r="B13" s="18">
        <v>1</v>
      </c>
      <c r="C13" s="18">
        <v>1</v>
      </c>
      <c r="D13" s="18">
        <v>1</v>
      </c>
      <c r="E13" s="18">
        <f t="shared" ref="E13:W13" si="4">AVERAGE(E716:E730)</f>
        <v>0.96179949037263834</v>
      </c>
      <c r="F13" s="18">
        <f t="shared" si="4"/>
        <v>0.92507256804771432</v>
      </c>
      <c r="G13" s="18">
        <f t="shared" si="4"/>
        <v>0.88931526858726995</v>
      </c>
      <c r="H13" s="18">
        <f t="shared" si="4"/>
        <v>0.85318938182119874</v>
      </c>
      <c r="I13" s="18">
        <f t="shared" si="4"/>
        <v>0.78175966637547278</v>
      </c>
      <c r="J13" s="18">
        <f t="shared" si="4"/>
        <v>0.70834667660308626</v>
      </c>
      <c r="K13" s="18">
        <f t="shared" si="4"/>
        <v>0.63436555886074897</v>
      </c>
      <c r="L13" s="18">
        <f t="shared" si="4"/>
        <v>0.608822427424631</v>
      </c>
      <c r="M13" s="18">
        <f t="shared" si="4"/>
        <v>0.58255629641896745</v>
      </c>
      <c r="N13" s="18">
        <f t="shared" si="4"/>
        <v>0.55740624700382047</v>
      </c>
      <c r="O13" s="18">
        <f t="shared" si="4"/>
        <v>0.53008975699596417</v>
      </c>
      <c r="P13" s="18">
        <f t="shared" si="4"/>
        <v>0.50383662477366242</v>
      </c>
      <c r="Q13" s="18">
        <f t="shared" si="4"/>
        <v>0.50383662477366242</v>
      </c>
      <c r="R13" s="18">
        <f t="shared" si="4"/>
        <v>0.50383662477366242</v>
      </c>
      <c r="S13" s="18">
        <f t="shared" si="4"/>
        <v>0.50383662477366242</v>
      </c>
      <c r="T13" s="18">
        <f t="shared" si="4"/>
        <v>0.50383662477366242</v>
      </c>
      <c r="U13" s="18">
        <f t="shared" si="4"/>
        <v>0.50383662477366242</v>
      </c>
      <c r="V13" s="18">
        <f t="shared" si="4"/>
        <v>0.50383662477366242</v>
      </c>
      <c r="W13" s="18">
        <f t="shared" si="4"/>
        <v>0.50383662477366242</v>
      </c>
      <c r="Y13" s="22" t="s">
        <v>55</v>
      </c>
      <c r="Z13" s="22">
        <v>105</v>
      </c>
      <c r="AA13" s="22">
        <v>136</v>
      </c>
      <c r="AB13" s="22">
        <v>65</v>
      </c>
      <c r="AC13" s="22">
        <v>84</v>
      </c>
      <c r="AD13" s="22">
        <v>55</v>
      </c>
      <c r="AE13" s="22">
        <v>71</v>
      </c>
      <c r="AF13" s="2">
        <v>0.61904761904761907</v>
      </c>
      <c r="AH13" s="2">
        <v>0.84615384615384615</v>
      </c>
      <c r="AJ13" s="13" t="s">
        <v>56</v>
      </c>
    </row>
    <row r="14" spans="1:46" ht="15.75" customHeight="1">
      <c r="A14" s="8" t="s">
        <v>57</v>
      </c>
      <c r="B14" s="18">
        <v>1</v>
      </c>
      <c r="C14" s="18">
        <v>1</v>
      </c>
      <c r="D14" s="18">
        <v>1</v>
      </c>
      <c r="E14" s="18">
        <f t="shared" ref="E14:W14" si="5">AVERAGE(E740:E744)</f>
        <v>0.92529096422450152</v>
      </c>
      <c r="F14" s="18">
        <f t="shared" si="5"/>
        <v>0.84877656542376789</v>
      </c>
      <c r="G14" s="18">
        <f t="shared" si="5"/>
        <v>0.77435340378413342</v>
      </c>
      <c r="H14" s="18">
        <f t="shared" si="5"/>
        <v>0.69777520913013014</v>
      </c>
      <c r="I14" s="18">
        <f t="shared" si="5"/>
        <v>0.54837289735632921</v>
      </c>
      <c r="J14" s="18">
        <f t="shared" si="5"/>
        <v>0.50758233935694452</v>
      </c>
      <c r="K14" s="18">
        <f t="shared" si="5"/>
        <v>0.47202051475721563</v>
      </c>
      <c r="L14" s="18">
        <f t="shared" si="5"/>
        <v>0.47202051475721563</v>
      </c>
      <c r="M14" s="18">
        <f t="shared" si="5"/>
        <v>0.47202051475721563</v>
      </c>
      <c r="N14" s="18">
        <f t="shared" si="5"/>
        <v>0.47202051475721563</v>
      </c>
      <c r="O14" s="18">
        <f t="shared" si="5"/>
        <v>0.47202051475721563</v>
      </c>
      <c r="P14" s="18">
        <f t="shared" si="5"/>
        <v>0.47202051475721563</v>
      </c>
      <c r="Q14" s="18">
        <f t="shared" si="5"/>
        <v>0.47202051475721563</v>
      </c>
      <c r="R14" s="18">
        <f t="shared" si="5"/>
        <v>0.47202051475721563</v>
      </c>
      <c r="S14" s="18">
        <f t="shared" si="5"/>
        <v>0.47202051475721563</v>
      </c>
      <c r="T14" s="18">
        <f t="shared" si="5"/>
        <v>0.47202051475721563</v>
      </c>
      <c r="U14" s="18">
        <f t="shared" si="5"/>
        <v>0.47202051475721563</v>
      </c>
      <c r="V14" s="18">
        <f t="shared" si="5"/>
        <v>0.47202051475721563</v>
      </c>
      <c r="W14" s="18">
        <f t="shared" si="5"/>
        <v>0.47202051475721563</v>
      </c>
      <c r="Y14" s="22" t="s">
        <v>58</v>
      </c>
      <c r="Z14" s="21">
        <v>103</v>
      </c>
      <c r="AA14" s="22">
        <v>133</v>
      </c>
      <c r="AB14" s="21">
        <v>64</v>
      </c>
      <c r="AC14" s="22">
        <v>83</v>
      </c>
      <c r="AD14" s="21">
        <v>54</v>
      </c>
      <c r="AE14" s="22">
        <v>70</v>
      </c>
      <c r="AF14" s="2">
        <v>0.62135922330097082</v>
      </c>
      <c r="AH14" s="2">
        <v>0.84375</v>
      </c>
      <c r="AJ14" s="34" t="s">
        <v>59</v>
      </c>
      <c r="AK14" s="21" t="s">
        <v>32</v>
      </c>
      <c r="AL14" s="21" t="s">
        <v>33</v>
      </c>
      <c r="AM14" s="21" t="s">
        <v>41</v>
      </c>
      <c r="AN14" s="21" t="s">
        <v>42</v>
      </c>
      <c r="AO14" s="21" t="s">
        <v>34</v>
      </c>
      <c r="AP14" s="21" t="s">
        <v>35</v>
      </c>
      <c r="AQ14" s="13" t="s">
        <v>43</v>
      </c>
      <c r="AS14" s="13" t="s">
        <v>44</v>
      </c>
    </row>
    <row r="15" spans="1:46">
      <c r="A15" s="35" t="s">
        <v>60</v>
      </c>
      <c r="B15" s="18">
        <v>1</v>
      </c>
      <c r="C15" s="18">
        <v>1</v>
      </c>
      <c r="D15" s="36">
        <v>1</v>
      </c>
      <c r="E15" s="37">
        <f t="shared" ref="E15:W15" si="6">AVERAGE(E755:E761)</f>
        <v>0.9175184667709182</v>
      </c>
      <c r="F15" s="37">
        <f t="shared" si="6"/>
        <v>0.83258598230240255</v>
      </c>
      <c r="G15" s="37">
        <f t="shared" si="6"/>
        <v>0.74796723051566294</v>
      </c>
      <c r="H15" s="37">
        <f t="shared" si="6"/>
        <v>0.66425860584024654</v>
      </c>
      <c r="I15" s="37">
        <f t="shared" si="6"/>
        <v>0.491283309509011</v>
      </c>
      <c r="J15" s="37">
        <f t="shared" si="6"/>
        <v>0.45997732276365649</v>
      </c>
      <c r="K15" s="37">
        <f t="shared" si="6"/>
        <v>0.43083255126851822</v>
      </c>
      <c r="L15" s="37">
        <f t="shared" si="6"/>
        <v>0.43083255126851822</v>
      </c>
      <c r="M15" s="37">
        <f t="shared" si="6"/>
        <v>0.43083255126851822</v>
      </c>
      <c r="N15" s="37">
        <f t="shared" si="6"/>
        <v>0.43083255126851822</v>
      </c>
      <c r="O15" s="37">
        <f t="shared" si="6"/>
        <v>0.43083255126851822</v>
      </c>
      <c r="P15" s="37">
        <f t="shared" si="6"/>
        <v>0.43083255126851822</v>
      </c>
      <c r="Q15" s="37">
        <f t="shared" si="6"/>
        <v>0.43083255126851822</v>
      </c>
      <c r="R15" s="37">
        <f t="shared" si="6"/>
        <v>0.43083255126851822</v>
      </c>
      <c r="S15" s="37">
        <f t="shared" si="6"/>
        <v>0.43083255126851822</v>
      </c>
      <c r="T15" s="37">
        <f t="shared" si="6"/>
        <v>0.43083255126851822</v>
      </c>
      <c r="U15" s="37">
        <f t="shared" si="6"/>
        <v>0.43083255126851822</v>
      </c>
      <c r="V15" s="37">
        <f t="shared" si="6"/>
        <v>0.43083255126851822</v>
      </c>
      <c r="W15" s="37">
        <f t="shared" si="6"/>
        <v>0.43083255126851822</v>
      </c>
      <c r="Y15" s="22" t="s">
        <v>61</v>
      </c>
      <c r="Z15" s="22">
        <v>102</v>
      </c>
      <c r="AA15" s="22">
        <v>132</v>
      </c>
      <c r="AB15" s="22">
        <v>63</v>
      </c>
      <c r="AC15" s="22">
        <v>81</v>
      </c>
      <c r="AD15" s="22">
        <v>54</v>
      </c>
      <c r="AE15" s="22">
        <v>70</v>
      </c>
      <c r="AF15" s="2">
        <v>0.61764705882352944</v>
      </c>
      <c r="AH15" s="2">
        <v>0.8571428571428571</v>
      </c>
      <c r="AJ15" s="22" t="s">
        <v>46</v>
      </c>
      <c r="AK15" s="21">
        <v>103</v>
      </c>
      <c r="AL15" s="22">
        <f t="array" ref="AL15:AL16">INT(AK15:AK16*1.3)</f>
        <v>133</v>
      </c>
      <c r="AM15" s="21">
        <v>51</v>
      </c>
      <c r="AN15" s="22">
        <f t="array" ref="AN15:AN16">INT(AM15:AM16*1.3)</f>
        <v>66</v>
      </c>
      <c r="AO15" s="21">
        <v>45</v>
      </c>
      <c r="AP15" s="22">
        <f t="array" ref="AP15:AP16">INT(AO15:AO16*1.3)</f>
        <v>58</v>
      </c>
      <c r="AQ15" s="2">
        <f t="array" ref="AQ15:AQ16">AM15:AM16/AK15:AK16</f>
        <v>0.49514563106796117</v>
      </c>
      <c r="AR15" s="25">
        <f>ROUND(1-AVERAGE(AQ15:AQ16),7)</f>
        <v>0.50530070000000005</v>
      </c>
      <c r="AS15" s="2">
        <f t="array" ref="AS15:AS16">AO15:AO16/AM15:AM16</f>
        <v>0.88235294117647056</v>
      </c>
      <c r="AT15" s="25">
        <f>ROUND(1-AVERAGE(AS15:AS16),7)</f>
        <v>0.1169631</v>
      </c>
    </row>
    <row r="16" spans="1:46" ht="15.75" customHeight="1">
      <c r="A16" s="38" t="s">
        <v>62</v>
      </c>
      <c r="B16" s="18">
        <v>1</v>
      </c>
      <c r="C16" s="18">
        <f t="shared" ref="C16:W16" si="7">AVERAGE(C651:C657)</f>
        <v>0.93322319827770206</v>
      </c>
      <c r="D16" s="18">
        <f t="shared" si="7"/>
        <v>0.8703966936983526</v>
      </c>
      <c r="E16" s="18">
        <f t="shared" si="7"/>
        <v>0.80488411447921548</v>
      </c>
      <c r="F16" s="18">
        <f t="shared" si="7"/>
        <v>0.74500947398085449</v>
      </c>
      <c r="G16" s="18">
        <f t="shared" si="7"/>
        <v>0.68080092033700901</v>
      </c>
      <c r="H16" s="18">
        <f t="shared" si="7"/>
        <v>0.61939766290964049</v>
      </c>
      <c r="I16" s="18">
        <f t="shared" si="7"/>
        <v>0.58930687195632669</v>
      </c>
      <c r="J16" s="18">
        <f t="shared" si="7"/>
        <v>0.57011879677934796</v>
      </c>
      <c r="K16" s="18">
        <f t="shared" si="7"/>
        <v>0.54832452525167819</v>
      </c>
      <c r="L16" s="18">
        <f t="shared" si="7"/>
        <v>0.52667177011830313</v>
      </c>
      <c r="M16" s="18">
        <f t="shared" si="7"/>
        <v>0.50059245441540268</v>
      </c>
      <c r="N16" s="18">
        <f t="shared" si="7"/>
        <v>0.50059245441540268</v>
      </c>
      <c r="O16" s="18">
        <f t="shared" si="7"/>
        <v>0.50059245441540268</v>
      </c>
      <c r="P16" s="18">
        <f t="shared" si="7"/>
        <v>0.50059245441540268</v>
      </c>
      <c r="Q16" s="18">
        <f t="shared" si="7"/>
        <v>0.50059245441540268</v>
      </c>
      <c r="R16" s="18">
        <f t="shared" si="7"/>
        <v>0.50059245441540268</v>
      </c>
      <c r="S16" s="18">
        <f t="shared" si="7"/>
        <v>0.50059245441540268</v>
      </c>
      <c r="T16" s="18">
        <f t="shared" si="7"/>
        <v>0.50059245441540268</v>
      </c>
      <c r="U16" s="18">
        <f t="shared" si="7"/>
        <v>0.50059245441540268</v>
      </c>
      <c r="V16" s="18">
        <f t="shared" si="7"/>
        <v>0.50059245441540268</v>
      </c>
      <c r="W16" s="18">
        <f t="shared" si="7"/>
        <v>0.50059245441540268</v>
      </c>
      <c r="Y16" s="22" t="s">
        <v>63</v>
      </c>
      <c r="Z16" s="22">
        <v>100</v>
      </c>
      <c r="AA16" s="22">
        <v>130</v>
      </c>
      <c r="AB16" s="22">
        <v>62</v>
      </c>
      <c r="AC16" s="22">
        <v>80</v>
      </c>
      <c r="AD16" s="22">
        <v>53</v>
      </c>
      <c r="AE16" s="22">
        <v>68</v>
      </c>
      <c r="AF16" s="2">
        <v>0.62</v>
      </c>
      <c r="AH16" s="2">
        <v>0.85483870967741937</v>
      </c>
      <c r="AJ16" s="21" t="s">
        <v>64</v>
      </c>
      <c r="AK16" s="21">
        <v>87</v>
      </c>
      <c r="AL16" s="22">
        <v>113</v>
      </c>
      <c r="AM16" s="21">
        <v>43</v>
      </c>
      <c r="AN16" s="22">
        <v>55</v>
      </c>
      <c r="AO16" s="21">
        <v>38</v>
      </c>
      <c r="AP16" s="22">
        <v>49</v>
      </c>
      <c r="AQ16" s="2">
        <v>0.4942528735632184</v>
      </c>
      <c r="AS16" s="2">
        <v>0.88372093023255816</v>
      </c>
    </row>
    <row r="17" spans="1:46" ht="15.75" customHeight="1">
      <c r="A17" s="8" t="s">
        <v>65</v>
      </c>
      <c r="B17" s="18">
        <v>1</v>
      </c>
      <c r="C17" s="18">
        <f t="shared" ref="C17:W17" si="8">AVERAGE(C670:C678)</f>
        <v>0.92375930739101975</v>
      </c>
      <c r="D17" s="18">
        <f t="shared" si="8"/>
        <v>0.8468164136223757</v>
      </c>
      <c r="E17" s="18">
        <f t="shared" si="8"/>
        <v>0.77183623543180468</v>
      </c>
      <c r="F17" s="18">
        <f t="shared" si="8"/>
        <v>0.69673103580811635</v>
      </c>
      <c r="G17" s="18">
        <f t="shared" si="8"/>
        <v>0.62375032915186046</v>
      </c>
      <c r="H17" s="18">
        <f t="shared" si="8"/>
        <v>0.54614329942336726</v>
      </c>
      <c r="I17" s="18">
        <f t="shared" si="8"/>
        <v>0.47078112268057648</v>
      </c>
      <c r="J17" s="18">
        <f t="shared" si="8"/>
        <v>0.4691938210932749</v>
      </c>
      <c r="K17" s="18">
        <f t="shared" si="8"/>
        <v>0.4691938210932749</v>
      </c>
      <c r="L17" s="18">
        <f t="shared" si="8"/>
        <v>0.4691938210932749</v>
      </c>
      <c r="M17" s="18">
        <f t="shared" si="8"/>
        <v>0.4691938210932749</v>
      </c>
      <c r="N17" s="18">
        <f t="shared" si="8"/>
        <v>0.4691938210932749</v>
      </c>
      <c r="O17" s="18">
        <f t="shared" si="8"/>
        <v>0.4691938210932749</v>
      </c>
      <c r="P17" s="18">
        <f t="shared" si="8"/>
        <v>0.4691938210932749</v>
      </c>
      <c r="Q17" s="18">
        <f t="shared" si="8"/>
        <v>0.4691938210932749</v>
      </c>
      <c r="R17" s="18">
        <f t="shared" si="8"/>
        <v>0.4691938210932749</v>
      </c>
      <c r="S17" s="18">
        <f t="shared" si="8"/>
        <v>0.4691938210932749</v>
      </c>
      <c r="T17" s="18">
        <f t="shared" si="8"/>
        <v>0.4691938210932749</v>
      </c>
      <c r="U17" s="18">
        <f t="shared" si="8"/>
        <v>0.4691938210932749</v>
      </c>
      <c r="V17" s="18">
        <f t="shared" si="8"/>
        <v>0.4691938210932749</v>
      </c>
      <c r="W17" s="18">
        <f t="shared" si="8"/>
        <v>0.4691938210932749</v>
      </c>
      <c r="Y17" s="22" t="s">
        <v>66</v>
      </c>
      <c r="Z17" s="22">
        <v>99</v>
      </c>
      <c r="AA17" s="22">
        <v>128</v>
      </c>
      <c r="AB17" s="22">
        <v>61</v>
      </c>
      <c r="AC17" s="22">
        <v>79</v>
      </c>
      <c r="AD17" s="22">
        <v>52</v>
      </c>
      <c r="AE17" s="22">
        <v>67</v>
      </c>
      <c r="AF17" s="39">
        <v>0.61616161616161613</v>
      </c>
      <c r="AH17" s="2">
        <v>0.85245901639344257</v>
      </c>
      <c r="AJ17" s="40" t="s">
        <v>67</v>
      </c>
      <c r="AK17" s="21" t="s">
        <v>32</v>
      </c>
      <c r="AL17" s="21" t="s">
        <v>33</v>
      </c>
      <c r="AM17" s="21" t="s">
        <v>41</v>
      </c>
      <c r="AN17" s="21" t="s">
        <v>42</v>
      </c>
      <c r="AO17" s="21" t="s">
        <v>34</v>
      </c>
      <c r="AP17" s="21" t="s">
        <v>35</v>
      </c>
      <c r="AQ17" s="13" t="s">
        <v>43</v>
      </c>
      <c r="AS17" s="13" t="s">
        <v>44</v>
      </c>
    </row>
    <row r="18" spans="1:46">
      <c r="A18" s="41" t="s">
        <v>68</v>
      </c>
      <c r="B18" s="18">
        <v>1</v>
      </c>
      <c r="C18" s="18">
        <f t="shared" ref="C18:W18" si="9">AVERAGE(C684:C685)</f>
        <v>0.91620879120879128</v>
      </c>
      <c r="D18" s="18">
        <f t="shared" si="9"/>
        <v>0.8219191522762952</v>
      </c>
      <c r="E18" s="18">
        <f t="shared" si="9"/>
        <v>0.74293563579277855</v>
      </c>
      <c r="F18" s="18">
        <f t="shared" si="9"/>
        <v>0.65855572998430145</v>
      </c>
      <c r="G18" s="18">
        <f t="shared" si="9"/>
        <v>0.57447017268445832</v>
      </c>
      <c r="H18" s="18">
        <f t="shared" si="9"/>
        <v>0.48528257456828883</v>
      </c>
      <c r="I18" s="18">
        <f t="shared" si="9"/>
        <v>0.43063186813186816</v>
      </c>
      <c r="J18" s="18">
        <f t="shared" si="9"/>
        <v>0.43063186813186816</v>
      </c>
      <c r="K18" s="18">
        <f t="shared" si="9"/>
        <v>0.43063186813186816</v>
      </c>
      <c r="L18" s="18">
        <f t="shared" si="9"/>
        <v>0.43063186813186816</v>
      </c>
      <c r="M18" s="18">
        <f t="shared" si="9"/>
        <v>0.43063186813186816</v>
      </c>
      <c r="N18" s="18">
        <f t="shared" si="9"/>
        <v>0.43063186813186816</v>
      </c>
      <c r="O18" s="18">
        <f t="shared" si="9"/>
        <v>0.43063186813186816</v>
      </c>
      <c r="P18" s="18">
        <f t="shared" si="9"/>
        <v>0.43063186813186816</v>
      </c>
      <c r="Q18" s="18">
        <f t="shared" si="9"/>
        <v>0.43063186813186816</v>
      </c>
      <c r="R18" s="18">
        <f t="shared" si="9"/>
        <v>0.43063186813186816</v>
      </c>
      <c r="S18" s="18">
        <f t="shared" si="9"/>
        <v>0.43063186813186816</v>
      </c>
      <c r="T18" s="18">
        <f t="shared" si="9"/>
        <v>0.43063186813186816</v>
      </c>
      <c r="U18" s="18">
        <f t="shared" si="9"/>
        <v>0.43063186813186816</v>
      </c>
      <c r="V18" s="18">
        <f t="shared" si="9"/>
        <v>0.43063186813186816</v>
      </c>
      <c r="W18" s="18">
        <f t="shared" si="9"/>
        <v>0.43063186813186816</v>
      </c>
      <c r="Y18" s="22" t="s">
        <v>69</v>
      </c>
      <c r="Z18" s="22">
        <v>97</v>
      </c>
      <c r="AA18" s="22">
        <v>126</v>
      </c>
      <c r="AB18" s="22">
        <v>60</v>
      </c>
      <c r="AC18" s="22">
        <v>78</v>
      </c>
      <c r="AD18" s="22">
        <v>51</v>
      </c>
      <c r="AE18" s="22">
        <v>66</v>
      </c>
      <c r="AF18" s="2">
        <v>0.61855670103092786</v>
      </c>
      <c r="AH18" s="2">
        <v>0.85</v>
      </c>
      <c r="AJ18" s="22" t="s">
        <v>46</v>
      </c>
      <c r="AK18" s="21">
        <v>103</v>
      </c>
      <c r="AL18" s="22">
        <f t="array" ref="AL18">INT(AK18*1.3)</f>
        <v>133</v>
      </c>
      <c r="AM18" s="21">
        <v>49</v>
      </c>
      <c r="AN18" s="22">
        <f t="array" ref="AN18">INT(AM18*1.3)</f>
        <v>63</v>
      </c>
      <c r="AO18" s="21">
        <v>43</v>
      </c>
      <c r="AP18" s="22">
        <f t="array" ref="AP18">INT(AO18*1.3)</f>
        <v>55</v>
      </c>
      <c r="AR18" s="25">
        <f>ROUND(1-(AM18/AK18),7)</f>
        <v>0.52427179999999995</v>
      </c>
      <c r="AT18" s="25">
        <f>ROUND(1-(AO18/AM18),7)</f>
        <v>0.122449</v>
      </c>
    </row>
    <row r="19" spans="1:46">
      <c r="A19" s="35" t="s">
        <v>70</v>
      </c>
      <c r="B19" s="18">
        <v>1</v>
      </c>
      <c r="C19" s="18">
        <f t="shared" ref="C19:W19" si="10">AVERAGE(C693:C696)</f>
        <v>0.90629167491912588</v>
      </c>
      <c r="D19" s="18">
        <f t="shared" si="10"/>
        <v>0.82078935951484966</v>
      </c>
      <c r="E19" s="18">
        <f t="shared" si="10"/>
        <v>0.72484131699817977</v>
      </c>
      <c r="F19" s="18">
        <f t="shared" si="10"/>
        <v>0.63294971187128046</v>
      </c>
      <c r="G19" s="18">
        <f t="shared" si="10"/>
        <v>0.54983235718529833</v>
      </c>
      <c r="H19" s="18">
        <f t="shared" si="10"/>
        <v>0.46972738590385649</v>
      </c>
      <c r="I19" s="18">
        <f t="shared" si="10"/>
        <v>0.40706575559516733</v>
      </c>
      <c r="J19" s="18">
        <f t="shared" si="10"/>
        <v>0.40706575559516733</v>
      </c>
      <c r="K19" s="18">
        <f t="shared" si="10"/>
        <v>0.40706575559516733</v>
      </c>
      <c r="L19" s="18">
        <f t="shared" si="10"/>
        <v>0.40706575559516733</v>
      </c>
      <c r="M19" s="18">
        <f t="shared" si="10"/>
        <v>0.40706575559516733</v>
      </c>
      <c r="N19" s="18">
        <f t="shared" si="10"/>
        <v>0.40706575559516733</v>
      </c>
      <c r="O19" s="18">
        <f t="shared" si="10"/>
        <v>0.40706575559516733</v>
      </c>
      <c r="P19" s="18">
        <f t="shared" si="10"/>
        <v>0.40706575559516733</v>
      </c>
      <c r="Q19" s="18">
        <f t="shared" si="10"/>
        <v>0.40706575559516733</v>
      </c>
      <c r="R19" s="18">
        <f t="shared" si="10"/>
        <v>0.40706575559516733</v>
      </c>
      <c r="S19" s="18">
        <f t="shared" si="10"/>
        <v>0.40706575559516733</v>
      </c>
      <c r="T19" s="18">
        <f t="shared" si="10"/>
        <v>0.40706575559516733</v>
      </c>
      <c r="U19" s="18">
        <f t="shared" si="10"/>
        <v>0.40706575559516733</v>
      </c>
      <c r="V19" s="18">
        <f t="shared" si="10"/>
        <v>0.40706575559516733</v>
      </c>
      <c r="W19" s="18">
        <f t="shared" si="10"/>
        <v>0.40706575559516733</v>
      </c>
      <c r="Y19" s="13" t="s">
        <v>71</v>
      </c>
      <c r="AJ19" s="13" t="s">
        <v>72</v>
      </c>
    </row>
    <row r="20" spans="1:46" ht="15.75" customHeight="1">
      <c r="A20" s="42" t="s">
        <v>73</v>
      </c>
      <c r="B20" s="15" t="s">
        <v>24</v>
      </c>
      <c r="C20" s="15" t="s">
        <v>25</v>
      </c>
      <c r="D20" s="15" t="s">
        <v>26</v>
      </c>
      <c r="E20" s="15" t="s">
        <v>27</v>
      </c>
      <c r="F20" s="43" t="s">
        <v>28</v>
      </c>
      <c r="G20" s="43" t="s">
        <v>74</v>
      </c>
      <c r="H20" s="43" t="s">
        <v>75</v>
      </c>
      <c r="I20" s="43" t="s">
        <v>76</v>
      </c>
      <c r="J20" s="43" t="s">
        <v>77</v>
      </c>
      <c r="K20" s="43" t="s">
        <v>78</v>
      </c>
      <c r="L20" s="43" t="s">
        <v>79</v>
      </c>
      <c r="M20" s="43" t="s">
        <v>80</v>
      </c>
      <c r="N20" s="15" t="s">
        <v>81</v>
      </c>
      <c r="O20" s="15" t="s">
        <v>82</v>
      </c>
      <c r="P20" s="15" t="s">
        <v>83</v>
      </c>
      <c r="Q20" s="15" t="s">
        <v>84</v>
      </c>
      <c r="R20" s="15" t="s">
        <v>85</v>
      </c>
      <c r="S20" s="15" t="s">
        <v>86</v>
      </c>
      <c r="T20" s="15" t="s">
        <v>87</v>
      </c>
      <c r="U20" s="15" t="s">
        <v>88</v>
      </c>
      <c r="V20" s="15" t="s">
        <v>89</v>
      </c>
      <c r="W20" s="15" t="s">
        <v>90</v>
      </c>
      <c r="Y20" s="21" t="s">
        <v>91</v>
      </c>
      <c r="Z20" s="21" t="s">
        <v>92</v>
      </c>
      <c r="AA20" s="21" t="s">
        <v>93</v>
      </c>
      <c r="AB20" s="21" t="s">
        <v>94</v>
      </c>
      <c r="AC20" s="21" t="s">
        <v>95</v>
      </c>
      <c r="AD20" s="21" t="s">
        <v>96</v>
      </c>
      <c r="AE20" s="21" t="s">
        <v>97</v>
      </c>
      <c r="AF20" s="13" t="s">
        <v>98</v>
      </c>
      <c r="AH20" s="13" t="s">
        <v>99</v>
      </c>
      <c r="AJ20" s="21" t="s">
        <v>100</v>
      </c>
      <c r="AK20" s="21" t="s">
        <v>92</v>
      </c>
      <c r="AL20" s="21" t="s">
        <v>93</v>
      </c>
      <c r="AM20" s="21" t="s">
        <v>101</v>
      </c>
      <c r="AN20" s="21" t="s">
        <v>102</v>
      </c>
      <c r="AO20" s="21" t="s">
        <v>94</v>
      </c>
      <c r="AP20" s="21" t="s">
        <v>95</v>
      </c>
      <c r="AQ20" s="13" t="s">
        <v>103</v>
      </c>
      <c r="AS20" s="13" t="s">
        <v>104</v>
      </c>
    </row>
    <row r="21" spans="1:46">
      <c r="A21" s="42" t="s">
        <v>5</v>
      </c>
      <c r="B21" s="18">
        <v>1</v>
      </c>
      <c r="C21" s="18">
        <f t="shared" ref="C21:G21" si="11">AVERAGE(C1011:C1012)</f>
        <v>1</v>
      </c>
      <c r="D21" s="18">
        <f t="shared" si="11"/>
        <v>1</v>
      </c>
      <c r="E21" s="18">
        <f t="shared" si="11"/>
        <v>1</v>
      </c>
      <c r="F21" s="18">
        <f t="shared" si="11"/>
        <v>1</v>
      </c>
      <c r="G21" s="18">
        <f t="shared" si="11"/>
        <v>1</v>
      </c>
      <c r="H21" s="18">
        <f t="shared" ref="H21:W21" si="12">AVERAGE(H1011:H1015)</f>
        <v>1</v>
      </c>
      <c r="I21" s="18">
        <f t="shared" si="12"/>
        <v>0.91959534647523511</v>
      </c>
      <c r="J21" s="18">
        <f t="shared" si="12"/>
        <v>0.84531032552653007</v>
      </c>
      <c r="K21" s="18">
        <f t="shared" si="12"/>
        <v>0.7678198095333012</v>
      </c>
      <c r="L21" s="18">
        <f t="shared" si="12"/>
        <v>0.69338633591815779</v>
      </c>
      <c r="M21" s="18">
        <f t="shared" si="12"/>
        <v>0.61611603804573423</v>
      </c>
      <c r="N21" s="18">
        <f t="shared" si="12"/>
        <v>0.60719920267247174</v>
      </c>
      <c r="O21" s="18">
        <f t="shared" si="12"/>
        <v>0.59869128560871476</v>
      </c>
      <c r="P21" s="18">
        <f t="shared" si="12"/>
        <v>0.59282540233091874</v>
      </c>
      <c r="Q21" s="18">
        <f t="shared" si="12"/>
        <v>0.5867979029018906</v>
      </c>
      <c r="R21" s="18">
        <f t="shared" si="12"/>
        <v>0.577881067528628</v>
      </c>
      <c r="S21" s="18">
        <f t="shared" si="12"/>
        <v>0.57096045205217261</v>
      </c>
      <c r="T21" s="18">
        <f t="shared" si="12"/>
        <v>0.563507267187075</v>
      </c>
      <c r="U21" s="18">
        <f t="shared" si="12"/>
        <v>0.55757633479971547</v>
      </c>
      <c r="V21" s="18">
        <f t="shared" si="12"/>
        <v>0.55330003555938756</v>
      </c>
      <c r="W21" s="18">
        <f t="shared" si="12"/>
        <v>0.54304091830693024</v>
      </c>
      <c r="Y21" s="22" t="s">
        <v>105</v>
      </c>
      <c r="Z21" s="21">
        <v>112</v>
      </c>
      <c r="AA21" s="22">
        <f t="array" ref="AA21:AA36">INT(Z21:Z36*1.3)</f>
        <v>145</v>
      </c>
      <c r="AB21" s="21">
        <v>72</v>
      </c>
      <c r="AC21" s="22">
        <f t="array" ref="AC21:AC36">INT(AB21:AB36*1.3)</f>
        <v>93</v>
      </c>
      <c r="AD21" s="21">
        <v>57</v>
      </c>
      <c r="AE21" s="22">
        <f t="array" ref="AE21:AE36">INT(AD21:AD36*1.3)</f>
        <v>74</v>
      </c>
      <c r="AF21" s="2">
        <f t="array" ref="AF21:AF36">AB21:AB36/Z21:Z36</f>
        <v>0.6428571428571429</v>
      </c>
      <c r="AG21" s="25">
        <f>ROUND(1-AVERAGE(AF21:AF36),7)</f>
        <v>0.36392750000000001</v>
      </c>
      <c r="AH21" s="2">
        <f t="array" ref="AH21:AH36">AD21:AD36/AB21:AB36</f>
        <v>0.79166666666666663</v>
      </c>
      <c r="AI21" s="25">
        <f>ROUND(1-AVERAGE(AH21:AH36),7)</f>
        <v>0.2051616</v>
      </c>
      <c r="AJ21" s="44" t="s">
        <v>106</v>
      </c>
      <c r="AK21" s="21">
        <v>88</v>
      </c>
      <c r="AL21" s="22">
        <f t="array" ref="AL21:AL25">INT(AK21:AK25*1.3)</f>
        <v>114</v>
      </c>
      <c r="AM21" s="21">
        <v>49</v>
      </c>
      <c r="AN21" s="22">
        <f t="array" ref="AN21:AN25">INT(AM21:AM25*1.3)</f>
        <v>63</v>
      </c>
      <c r="AO21" s="21">
        <v>42</v>
      </c>
      <c r="AP21" s="22">
        <f t="array" ref="AP21:AP25">INT(AO21:AO25*1.3)</f>
        <v>54</v>
      </c>
      <c r="AQ21" s="2">
        <f t="array" ref="AQ21:AQ25">AM21:AM25/AK21:AK25</f>
        <v>0.55681818181818177</v>
      </c>
      <c r="AR21" s="25">
        <f>1-ROUND(AVERAGE(AQ21:AQ25),7)</f>
        <v>0.44935800000000004</v>
      </c>
      <c r="AS21" s="2">
        <f t="array" ref="AS21:AS25">AO21:AO25/AM21:AM25</f>
        <v>0.8571428571428571</v>
      </c>
      <c r="AT21" s="25">
        <f>1-ROUND(AVERAGE(AS21:AS25),7)</f>
        <v>0.14020500000000002</v>
      </c>
    </row>
    <row r="22" spans="1:46">
      <c r="A22" s="42" t="s">
        <v>45</v>
      </c>
      <c r="B22" s="18">
        <v>1</v>
      </c>
      <c r="C22" s="18">
        <f t="shared" ref="C22:H22" si="13">AVERAGE(C1023:C1024)</f>
        <v>1</v>
      </c>
      <c r="D22" s="18">
        <f t="shared" si="13"/>
        <v>1</v>
      </c>
      <c r="E22" s="18">
        <f t="shared" si="13"/>
        <v>1</v>
      </c>
      <c r="F22" s="18">
        <f t="shared" si="13"/>
        <v>1</v>
      </c>
      <c r="G22" s="18">
        <f t="shared" si="13"/>
        <v>1</v>
      </c>
      <c r="H22" s="18">
        <f t="shared" si="13"/>
        <v>1</v>
      </c>
      <c r="I22" s="18">
        <f t="shared" ref="I22:W22" si="14">AVERAGE(I1023:I1025)</f>
        <v>0.86122217779554844</v>
      </c>
      <c r="J22" s="18">
        <f t="shared" si="14"/>
        <v>0.72244435559109688</v>
      </c>
      <c r="K22" s="18">
        <f t="shared" si="14"/>
        <v>0.58776489404238297</v>
      </c>
      <c r="L22" s="18">
        <f t="shared" si="14"/>
        <v>0.50203252032520318</v>
      </c>
      <c r="M22" s="18">
        <f t="shared" si="14"/>
        <v>0.49796747967479671</v>
      </c>
      <c r="N22" s="18">
        <f t="shared" si="14"/>
        <v>0.49796747967479671</v>
      </c>
      <c r="O22" s="18">
        <f t="shared" si="14"/>
        <v>0.49796747967479671</v>
      </c>
      <c r="P22" s="18">
        <f t="shared" si="14"/>
        <v>0.49796747967479671</v>
      </c>
      <c r="Q22" s="18">
        <f t="shared" si="14"/>
        <v>0.49796747967479671</v>
      </c>
      <c r="R22" s="18">
        <f t="shared" si="14"/>
        <v>0.49796747967479671</v>
      </c>
      <c r="S22" s="18">
        <f t="shared" si="14"/>
        <v>0.49796747967479671</v>
      </c>
      <c r="T22" s="18">
        <f t="shared" si="14"/>
        <v>0.49796747967479671</v>
      </c>
      <c r="U22" s="18">
        <f t="shared" si="14"/>
        <v>0.49796747967479671</v>
      </c>
      <c r="V22" s="18">
        <f t="shared" si="14"/>
        <v>0.49796747967479671</v>
      </c>
      <c r="W22" s="18">
        <f t="shared" si="14"/>
        <v>0.49796747967479671</v>
      </c>
      <c r="Y22" s="21" t="s">
        <v>107</v>
      </c>
      <c r="Z22" s="21">
        <v>111</v>
      </c>
      <c r="AA22" s="22">
        <v>144</v>
      </c>
      <c r="AB22" s="45">
        <v>71</v>
      </c>
      <c r="AC22" s="22">
        <v>92</v>
      </c>
      <c r="AD22" s="21">
        <v>56</v>
      </c>
      <c r="AE22" s="22">
        <v>72</v>
      </c>
      <c r="AF22" s="2">
        <v>0.63963963963963966</v>
      </c>
      <c r="AH22" s="2">
        <v>0.78873239436619713</v>
      </c>
      <c r="AJ22" s="46" t="s">
        <v>108</v>
      </c>
      <c r="AK22" s="21">
        <v>85</v>
      </c>
      <c r="AL22" s="22">
        <v>110</v>
      </c>
      <c r="AM22" s="21">
        <v>47</v>
      </c>
      <c r="AN22" s="22">
        <v>61</v>
      </c>
      <c r="AO22" s="21">
        <v>40</v>
      </c>
      <c r="AP22" s="22">
        <v>52</v>
      </c>
      <c r="AQ22" s="2">
        <v>0.55294117647058827</v>
      </c>
      <c r="AS22" s="2">
        <v>0.85106382978723405</v>
      </c>
    </row>
    <row r="23" spans="1:46">
      <c r="A23" s="42" t="s">
        <v>54</v>
      </c>
      <c r="B23" s="18">
        <v>1</v>
      </c>
      <c r="C23" s="18">
        <f t="shared" ref="C23:W23" si="15">AVERAGE(C987:C990)</f>
        <v>1</v>
      </c>
      <c r="D23" s="18">
        <f t="shared" si="15"/>
        <v>1</v>
      </c>
      <c r="E23" s="18">
        <f t="shared" si="15"/>
        <v>1</v>
      </c>
      <c r="F23" s="18">
        <f t="shared" si="15"/>
        <v>1</v>
      </c>
      <c r="G23" s="18">
        <f t="shared" si="15"/>
        <v>0.95777348527558792</v>
      </c>
      <c r="H23" s="18">
        <f t="shared" si="15"/>
        <v>0.92539389869078681</v>
      </c>
      <c r="I23" s="18">
        <f t="shared" si="15"/>
        <v>0.85104778643466616</v>
      </c>
      <c r="J23" s="18">
        <f t="shared" si="15"/>
        <v>0.78034888903265687</v>
      </c>
      <c r="K23" s="18">
        <f t="shared" si="15"/>
        <v>0.71168251195585086</v>
      </c>
      <c r="L23" s="18">
        <f t="shared" si="15"/>
        <v>0.63925947662280713</v>
      </c>
      <c r="M23" s="18">
        <f t="shared" si="15"/>
        <v>0.60687989003800613</v>
      </c>
      <c r="N23" s="18">
        <f t="shared" si="15"/>
        <v>0.57622444138423956</v>
      </c>
      <c r="O23" s="18">
        <f t="shared" si="15"/>
        <v>0.55156976702393024</v>
      </c>
      <c r="P23" s="18">
        <f t="shared" si="15"/>
        <v>0.52486991561844376</v>
      </c>
      <c r="Q23" s="18">
        <f t="shared" si="15"/>
        <v>0.52294683869536684</v>
      </c>
      <c r="R23" s="18">
        <f t="shared" si="15"/>
        <v>0.52294683869536684</v>
      </c>
      <c r="S23" s="18">
        <f t="shared" si="15"/>
        <v>0.52294683869536684</v>
      </c>
      <c r="T23" s="18">
        <f t="shared" si="15"/>
        <v>0.52294683869536684</v>
      </c>
      <c r="U23" s="18">
        <f t="shared" si="15"/>
        <v>0.52294683869536684</v>
      </c>
      <c r="V23" s="18">
        <f t="shared" si="15"/>
        <v>0.52294683869536684</v>
      </c>
      <c r="W23" s="18">
        <f t="shared" si="15"/>
        <v>0.52294683869536684</v>
      </c>
      <c r="Y23" s="22" t="s">
        <v>109</v>
      </c>
      <c r="Z23" s="21">
        <v>107</v>
      </c>
      <c r="AA23" s="22">
        <v>139</v>
      </c>
      <c r="AB23" s="21">
        <v>68</v>
      </c>
      <c r="AC23" s="22">
        <v>88</v>
      </c>
      <c r="AD23" s="21">
        <v>54</v>
      </c>
      <c r="AE23" s="22">
        <v>70</v>
      </c>
      <c r="AF23" s="2">
        <v>0.63551401869158874</v>
      </c>
      <c r="AH23" s="2">
        <v>0.79411764705882348</v>
      </c>
      <c r="AJ23" s="47" t="s">
        <v>110</v>
      </c>
      <c r="AK23" s="21">
        <v>83</v>
      </c>
      <c r="AL23" s="22">
        <v>107</v>
      </c>
      <c r="AM23" s="21">
        <v>45</v>
      </c>
      <c r="AN23" s="22">
        <v>58</v>
      </c>
      <c r="AO23" s="21">
        <v>39</v>
      </c>
      <c r="AP23" s="22">
        <v>50</v>
      </c>
      <c r="AQ23" s="2">
        <v>0.54216867469879515</v>
      </c>
      <c r="AS23" s="2">
        <v>0.8666666666666667</v>
      </c>
    </row>
    <row r="24" spans="1:46">
      <c r="A24" s="42" t="s">
        <v>57</v>
      </c>
      <c r="B24" s="18">
        <v>1</v>
      </c>
      <c r="C24" s="18">
        <f t="shared" ref="C24:F24" si="16">AVERAGE(C999:C1000)</f>
        <v>1</v>
      </c>
      <c r="D24" s="18">
        <f t="shared" si="16"/>
        <v>1</v>
      </c>
      <c r="E24" s="18">
        <f t="shared" si="16"/>
        <v>1</v>
      </c>
      <c r="F24" s="18">
        <f t="shared" si="16"/>
        <v>1</v>
      </c>
      <c r="G24" s="18">
        <f t="shared" ref="G24:W24" si="17">AVERAGE(G999:G1001)</f>
        <v>0.93055890930952412</v>
      </c>
      <c r="H24" s="18">
        <f t="shared" si="17"/>
        <v>0.8520482741830504</v>
      </c>
      <c r="I24" s="18">
        <f t="shared" si="17"/>
        <v>0.70392662483169122</v>
      </c>
      <c r="J24" s="18">
        <f t="shared" si="17"/>
        <v>0.54993565760904672</v>
      </c>
      <c r="K24" s="18">
        <f t="shared" si="17"/>
        <v>0.49541206457094306</v>
      </c>
      <c r="L24" s="18">
        <f t="shared" si="17"/>
        <v>0.49541206457094306</v>
      </c>
      <c r="M24" s="18">
        <f t="shared" si="17"/>
        <v>0.49541206457094306</v>
      </c>
      <c r="N24" s="18">
        <f t="shared" si="17"/>
        <v>0.49541206457094306</v>
      </c>
      <c r="O24" s="18">
        <f t="shared" si="17"/>
        <v>0.49541206457094306</v>
      </c>
      <c r="P24" s="18">
        <f t="shared" si="17"/>
        <v>0.49541206457094306</v>
      </c>
      <c r="Q24" s="18">
        <f t="shared" si="17"/>
        <v>0.49541206457094306</v>
      </c>
      <c r="R24" s="18">
        <f t="shared" si="17"/>
        <v>0.49541206457094306</v>
      </c>
      <c r="S24" s="18">
        <f t="shared" si="17"/>
        <v>0.49541206457094306</v>
      </c>
      <c r="T24" s="18">
        <f t="shared" si="17"/>
        <v>0.49541206457094306</v>
      </c>
      <c r="U24" s="18">
        <f t="shared" si="17"/>
        <v>0.49541206457094306</v>
      </c>
      <c r="V24" s="18">
        <f t="shared" si="17"/>
        <v>0.49541206457094306</v>
      </c>
      <c r="W24" s="18">
        <f t="shared" si="17"/>
        <v>0.49541206457094306</v>
      </c>
      <c r="Y24" s="22" t="s">
        <v>111</v>
      </c>
      <c r="Z24" s="21">
        <v>106</v>
      </c>
      <c r="AA24" s="22">
        <v>137</v>
      </c>
      <c r="AB24" s="21">
        <v>68</v>
      </c>
      <c r="AC24" s="22">
        <v>88</v>
      </c>
      <c r="AD24" s="21">
        <v>54</v>
      </c>
      <c r="AE24" s="22">
        <v>70</v>
      </c>
      <c r="AF24" s="2">
        <v>0.64150943396226412</v>
      </c>
      <c r="AH24" s="2">
        <v>0.79411764705882348</v>
      </c>
      <c r="AJ24" s="48" t="s">
        <v>112</v>
      </c>
      <c r="AK24" s="21">
        <v>80</v>
      </c>
      <c r="AL24" s="22">
        <v>104</v>
      </c>
      <c r="AM24" s="21">
        <v>44</v>
      </c>
      <c r="AN24" s="22">
        <v>57</v>
      </c>
      <c r="AO24" s="21">
        <v>38</v>
      </c>
      <c r="AP24" s="22">
        <v>49</v>
      </c>
      <c r="AQ24" s="2">
        <v>0.55000000000000004</v>
      </c>
      <c r="AS24" s="2">
        <v>0.86363636363636365</v>
      </c>
    </row>
    <row r="25" spans="1:46">
      <c r="A25" s="42" t="s">
        <v>62</v>
      </c>
      <c r="B25" s="18">
        <v>1</v>
      </c>
      <c r="C25" s="18">
        <f t="shared" ref="C25:W25" si="18">AVERAGE(C966:C968)</f>
        <v>1</v>
      </c>
      <c r="D25" s="18">
        <f t="shared" si="18"/>
        <v>1</v>
      </c>
      <c r="E25" s="18">
        <f t="shared" si="18"/>
        <v>0.93952777297413803</v>
      </c>
      <c r="F25" s="18">
        <f t="shared" si="18"/>
        <v>0.86971426280002895</v>
      </c>
      <c r="G25" s="18">
        <f t="shared" si="18"/>
        <v>0.81211143775861327</v>
      </c>
      <c r="H25" s="18">
        <f t="shared" si="18"/>
        <v>0.74246333987463753</v>
      </c>
      <c r="I25" s="18">
        <f t="shared" si="18"/>
        <v>0.6181577582123442</v>
      </c>
      <c r="J25" s="18">
        <f t="shared" si="18"/>
        <v>0.590871497206788</v>
      </c>
      <c r="K25" s="18">
        <f t="shared" si="18"/>
        <v>0.57268065653641698</v>
      </c>
      <c r="L25" s="18">
        <f t="shared" si="18"/>
        <v>0.54842469856116371</v>
      </c>
      <c r="M25" s="18">
        <f t="shared" si="18"/>
        <v>0.52736896715062287</v>
      </c>
      <c r="N25" s="18">
        <f t="shared" si="18"/>
        <v>0.52113843755560729</v>
      </c>
      <c r="O25" s="18">
        <f t="shared" si="18"/>
        <v>0.52113843755560729</v>
      </c>
      <c r="P25" s="18">
        <f t="shared" si="18"/>
        <v>0.52113843755560729</v>
      </c>
      <c r="Q25" s="18">
        <f t="shared" si="18"/>
        <v>0.52113843755560729</v>
      </c>
      <c r="R25" s="18">
        <f t="shared" si="18"/>
        <v>0.52113843755560729</v>
      </c>
      <c r="S25" s="18">
        <f t="shared" si="18"/>
        <v>0.52113843755560729</v>
      </c>
      <c r="T25" s="18">
        <f t="shared" si="18"/>
        <v>0.52113843755560729</v>
      </c>
      <c r="U25" s="18">
        <f t="shared" si="18"/>
        <v>0.52113843755560729</v>
      </c>
      <c r="V25" s="18">
        <f t="shared" si="18"/>
        <v>0.52113843755560729</v>
      </c>
      <c r="W25" s="18">
        <f t="shared" si="18"/>
        <v>0.52113843755560729</v>
      </c>
      <c r="Y25" s="22" t="s">
        <v>113</v>
      </c>
      <c r="Z25" s="21">
        <v>104</v>
      </c>
      <c r="AA25" s="22">
        <v>135</v>
      </c>
      <c r="AB25" s="21">
        <v>66</v>
      </c>
      <c r="AC25" s="22">
        <v>85</v>
      </c>
      <c r="AD25" s="21">
        <v>53</v>
      </c>
      <c r="AE25" s="22">
        <v>68</v>
      </c>
      <c r="AF25" s="2">
        <v>0.63461538461538458</v>
      </c>
      <c r="AH25" s="2">
        <v>0.80303030303030298</v>
      </c>
      <c r="AJ25" s="48" t="s">
        <v>114</v>
      </c>
      <c r="AK25" s="21">
        <v>78</v>
      </c>
      <c r="AL25" s="22">
        <v>101</v>
      </c>
      <c r="AM25" s="21">
        <v>43</v>
      </c>
      <c r="AN25" s="22">
        <v>55</v>
      </c>
      <c r="AO25" s="21">
        <v>37</v>
      </c>
      <c r="AP25" s="22">
        <v>48</v>
      </c>
      <c r="AQ25" s="2">
        <v>0.55128205128205132</v>
      </c>
      <c r="AS25" s="2">
        <v>0.86046511627906974</v>
      </c>
    </row>
    <row r="26" spans="1:46">
      <c r="A26" s="42" t="s">
        <v>65</v>
      </c>
      <c r="B26" s="18">
        <v>1</v>
      </c>
      <c r="C26" s="18">
        <f t="shared" ref="C26:W26" si="19">AVERAGE(C975:C976)</f>
        <v>1</v>
      </c>
      <c r="D26" s="18">
        <f t="shared" si="19"/>
        <v>1</v>
      </c>
      <c r="E26" s="18">
        <f t="shared" si="19"/>
        <v>0.92030134813639974</v>
      </c>
      <c r="F26" s="18">
        <f t="shared" si="19"/>
        <v>0.8509119746233148</v>
      </c>
      <c r="G26" s="18">
        <f t="shared" si="19"/>
        <v>0.77121332275971455</v>
      </c>
      <c r="H26" s="18">
        <f t="shared" si="19"/>
        <v>0.69666931007137189</v>
      </c>
      <c r="I26" s="18">
        <f t="shared" si="19"/>
        <v>0.54723433782712139</v>
      </c>
      <c r="J26" s="18">
        <f t="shared" si="19"/>
        <v>0.49742268041237114</v>
      </c>
      <c r="K26" s="18">
        <f t="shared" si="19"/>
        <v>0.49742268041237114</v>
      </c>
      <c r="L26" s="18">
        <f t="shared" si="19"/>
        <v>0.49742268041237114</v>
      </c>
      <c r="M26" s="18">
        <f t="shared" si="19"/>
        <v>0.49742268041237114</v>
      </c>
      <c r="N26" s="18">
        <f t="shared" si="19"/>
        <v>0.49742268041237114</v>
      </c>
      <c r="O26" s="18">
        <f t="shared" si="19"/>
        <v>0.49742268041237114</v>
      </c>
      <c r="P26" s="18">
        <f t="shared" si="19"/>
        <v>0.49742268041237114</v>
      </c>
      <c r="Q26" s="18">
        <f t="shared" si="19"/>
        <v>0.49742268041237114</v>
      </c>
      <c r="R26" s="18">
        <f t="shared" si="19"/>
        <v>0.49742268041237114</v>
      </c>
      <c r="S26" s="18">
        <f t="shared" si="19"/>
        <v>0.49742268041237114</v>
      </c>
      <c r="T26" s="18">
        <f t="shared" si="19"/>
        <v>0.49742268041237114</v>
      </c>
      <c r="U26" s="18">
        <f t="shared" si="19"/>
        <v>0.49742268041237114</v>
      </c>
      <c r="V26" s="18">
        <f t="shared" si="19"/>
        <v>0.49742268041237114</v>
      </c>
      <c r="W26" s="18">
        <f t="shared" si="19"/>
        <v>0.49742268041237114</v>
      </c>
      <c r="Y26" s="22" t="s">
        <v>115</v>
      </c>
      <c r="Z26" s="21">
        <v>102</v>
      </c>
      <c r="AA26" s="22">
        <v>132</v>
      </c>
      <c r="AB26" s="21">
        <v>65</v>
      </c>
      <c r="AC26" s="22">
        <v>84</v>
      </c>
      <c r="AD26" s="21">
        <v>52</v>
      </c>
      <c r="AE26" s="22">
        <v>67</v>
      </c>
      <c r="AF26" s="2">
        <v>0.63725490196078427</v>
      </c>
      <c r="AH26" s="2">
        <v>0.8</v>
      </c>
      <c r="AJ26" s="34" t="s">
        <v>116</v>
      </c>
      <c r="AK26" s="49" t="s">
        <v>92</v>
      </c>
      <c r="AL26" s="21" t="s">
        <v>93</v>
      </c>
      <c r="AM26" s="21" t="s">
        <v>101</v>
      </c>
      <c r="AN26" s="21" t="s">
        <v>102</v>
      </c>
      <c r="AO26" s="21" t="s">
        <v>94</v>
      </c>
      <c r="AP26" s="21" t="s">
        <v>95</v>
      </c>
    </row>
    <row r="27" spans="1:46" ht="15.75" customHeight="1">
      <c r="A27" s="50" t="s">
        <v>117</v>
      </c>
      <c r="B27" s="18">
        <v>1</v>
      </c>
      <c r="C27" s="18">
        <f t="shared" ref="C27:F27" si="20">AVERAGE(C1034:C1035)</f>
        <v>1</v>
      </c>
      <c r="D27" s="18">
        <f t="shared" si="20"/>
        <v>1</v>
      </c>
      <c r="E27" s="18">
        <f t="shared" si="20"/>
        <v>1</v>
      </c>
      <c r="F27" s="18">
        <f t="shared" si="20"/>
        <v>1</v>
      </c>
      <c r="G27" s="18">
        <f t="shared" ref="G27:W27" si="21">AVERAGE(G1034:G1037)</f>
        <v>0.964119066773934</v>
      </c>
      <c r="H27" s="18">
        <f t="shared" si="21"/>
        <v>0.91926790024135152</v>
      </c>
      <c r="I27" s="18">
        <f t="shared" si="21"/>
        <v>0.84750603378921963</v>
      </c>
      <c r="J27" s="18">
        <f t="shared" si="21"/>
        <v>0.76677393403057126</v>
      </c>
      <c r="K27" s="18">
        <f t="shared" si="21"/>
        <v>0.69501206757843925</v>
      </c>
      <c r="L27" s="18">
        <f t="shared" si="21"/>
        <v>0.6188254223652454</v>
      </c>
      <c r="M27" s="18">
        <f t="shared" si="21"/>
        <v>0.60543041029766698</v>
      </c>
      <c r="N27" s="18">
        <f t="shared" si="21"/>
        <v>0.60543041029766698</v>
      </c>
      <c r="O27" s="18">
        <f t="shared" si="21"/>
        <v>0.60088495575221246</v>
      </c>
      <c r="P27" s="18">
        <f t="shared" si="21"/>
        <v>0.59646017699115039</v>
      </c>
      <c r="Q27" s="18">
        <f t="shared" si="21"/>
        <v>0.59646017699115039</v>
      </c>
      <c r="R27" s="18">
        <f t="shared" si="21"/>
        <v>0.59191472244569598</v>
      </c>
      <c r="S27" s="18">
        <f t="shared" si="21"/>
        <v>0.58748994368463392</v>
      </c>
      <c r="T27" s="18">
        <f t="shared" si="21"/>
        <v>0.58748994368463392</v>
      </c>
      <c r="U27" s="18">
        <f t="shared" si="21"/>
        <v>0.57839903459372488</v>
      </c>
      <c r="V27" s="18">
        <f t="shared" si="21"/>
        <v>0.57397425583266293</v>
      </c>
      <c r="W27" s="18">
        <f t="shared" si="21"/>
        <v>0.57397425583266293</v>
      </c>
      <c r="Y27" s="22" t="s">
        <v>118</v>
      </c>
      <c r="Z27" s="21">
        <v>100</v>
      </c>
      <c r="AA27" s="22">
        <v>130</v>
      </c>
      <c r="AB27" s="21">
        <v>64</v>
      </c>
      <c r="AC27" s="22">
        <v>83</v>
      </c>
      <c r="AD27" s="21">
        <v>51</v>
      </c>
      <c r="AE27" s="22">
        <v>66</v>
      </c>
      <c r="AF27" s="2">
        <v>0.64</v>
      </c>
      <c r="AH27" s="2">
        <v>0.796875</v>
      </c>
      <c r="AJ27" s="51" t="s">
        <v>119</v>
      </c>
      <c r="AK27" s="49">
        <v>106</v>
      </c>
      <c r="AL27" s="45">
        <f t="array" ref="AL27:AL33">INT(AK27:AK33*1.3)</f>
        <v>137</v>
      </c>
      <c r="AM27" s="21">
        <v>52</v>
      </c>
      <c r="AN27" s="45">
        <f t="array" ref="AN27:AN33">INT(AM27:AM33*1.3)</f>
        <v>67</v>
      </c>
      <c r="AO27" s="21">
        <v>46</v>
      </c>
      <c r="AP27" s="45">
        <f t="array" ref="AP27:AP33">INT(AO27:AO33*1.3)</f>
        <v>59</v>
      </c>
      <c r="AQ27" s="2">
        <f t="array" ref="AQ27:AQ33">AM27:AM33/AK27:AK33</f>
        <v>0.49056603773584906</v>
      </c>
      <c r="AR27" s="25">
        <f>ROUND(1-AVERAGE(AQ27:AQ33),7)</f>
        <v>0.50757260000000004</v>
      </c>
      <c r="AS27" s="2">
        <f t="array" ref="AS27:AS33">AO27:AO33/AM27:AM33</f>
        <v>0.88461538461538458</v>
      </c>
      <c r="AT27" s="25">
        <f>1-ROUND(AVERAGE(AS27:AS33),7)</f>
        <v>0.1189635</v>
      </c>
    </row>
    <row r="28" spans="1:46" ht="15.75" customHeight="1">
      <c r="A28" s="52" t="s">
        <v>120</v>
      </c>
      <c r="B28" s="15" t="s">
        <v>121</v>
      </c>
      <c r="C28" s="15" t="s">
        <v>122</v>
      </c>
      <c r="D28" s="15" t="s">
        <v>123</v>
      </c>
      <c r="E28" s="15" t="s">
        <v>124</v>
      </c>
      <c r="F28" s="15" t="s">
        <v>125</v>
      </c>
      <c r="G28" s="15" t="s">
        <v>126</v>
      </c>
      <c r="H28" s="15" t="s">
        <v>127</v>
      </c>
      <c r="I28" s="15" t="s">
        <v>128</v>
      </c>
      <c r="J28" s="15" t="s">
        <v>129</v>
      </c>
      <c r="K28" s="15" t="s">
        <v>130</v>
      </c>
      <c r="L28" s="15" t="s">
        <v>131</v>
      </c>
      <c r="M28" s="15" t="s">
        <v>132</v>
      </c>
      <c r="N28" s="15" t="s">
        <v>24</v>
      </c>
      <c r="O28" s="15" t="s">
        <v>25</v>
      </c>
      <c r="P28" s="15" t="s">
        <v>26</v>
      </c>
      <c r="Q28" s="15" t="s">
        <v>27</v>
      </c>
      <c r="R28" s="15" t="s">
        <v>28</v>
      </c>
      <c r="S28" s="15" t="s">
        <v>74</v>
      </c>
      <c r="T28" s="15" t="s">
        <v>75</v>
      </c>
      <c r="U28" s="15" t="s">
        <v>133</v>
      </c>
      <c r="V28" s="15" t="s">
        <v>76</v>
      </c>
      <c r="W28" s="15" t="s">
        <v>134</v>
      </c>
      <c r="Y28" s="22" t="s">
        <v>135</v>
      </c>
      <c r="Z28" s="21">
        <v>99</v>
      </c>
      <c r="AA28" s="22">
        <v>128</v>
      </c>
      <c r="AB28" s="21">
        <v>63</v>
      </c>
      <c r="AC28" s="22">
        <v>81</v>
      </c>
      <c r="AD28" s="21">
        <v>50</v>
      </c>
      <c r="AE28" s="22">
        <v>65</v>
      </c>
      <c r="AF28" s="2">
        <v>0.63636363636363635</v>
      </c>
      <c r="AH28" s="2">
        <v>0.79365079365079361</v>
      </c>
      <c r="AJ28" s="34" t="s">
        <v>136</v>
      </c>
      <c r="AK28" s="49">
        <v>105</v>
      </c>
      <c r="AL28" s="22">
        <v>136</v>
      </c>
      <c r="AM28" s="21">
        <v>52</v>
      </c>
      <c r="AN28" s="22">
        <v>67</v>
      </c>
      <c r="AO28" s="21">
        <v>46</v>
      </c>
      <c r="AP28" s="22">
        <v>59</v>
      </c>
      <c r="AQ28" s="2">
        <v>0.49523809523809526</v>
      </c>
      <c r="AS28" s="2">
        <v>0.88461538461538458</v>
      </c>
    </row>
    <row r="29" spans="1:46">
      <c r="A29" s="35" t="s">
        <v>137</v>
      </c>
      <c r="B29" s="18">
        <v>1.4134078212290502</v>
      </c>
      <c r="C29" s="18">
        <v>1.3653631284916201</v>
      </c>
      <c r="D29" s="18">
        <v>1.2877094972067038</v>
      </c>
      <c r="E29" s="18">
        <v>1.1910614525139664</v>
      </c>
      <c r="F29" s="18">
        <v>1.1039106145251396</v>
      </c>
      <c r="G29" s="18">
        <v>1.0240223463687153</v>
      </c>
      <c r="H29" s="18">
        <v>1</v>
      </c>
      <c r="I29" s="18">
        <v>0.97318435754189936</v>
      </c>
      <c r="J29" s="18">
        <v>0.9368715083798882</v>
      </c>
      <c r="K29" s="18">
        <v>0.90782122905027929</v>
      </c>
      <c r="L29" s="18">
        <v>0.87877094972067049</v>
      </c>
      <c r="M29" s="18">
        <v>0.84972067039106147</v>
      </c>
      <c r="N29" s="18">
        <v>0.78212290502793291</v>
      </c>
      <c r="O29" s="18">
        <v>0.72625698324022347</v>
      </c>
      <c r="P29" s="18">
        <v>0.64804469273743015</v>
      </c>
      <c r="Q29" s="18">
        <v>0.56983240223463683</v>
      </c>
      <c r="R29" s="18">
        <v>0.4972067039106145</v>
      </c>
      <c r="S29" s="18">
        <v>0.42458100558659218</v>
      </c>
      <c r="T29" s="18">
        <v>0.41340782122905029</v>
      </c>
      <c r="U29" s="18">
        <v>0.4022346368715084</v>
      </c>
      <c r="V29" s="18">
        <v>0.39664804469273746</v>
      </c>
      <c r="W29" s="18">
        <v>0.39664804469273746</v>
      </c>
      <c r="Y29" s="22" t="s">
        <v>138</v>
      </c>
      <c r="Z29" s="21">
        <v>97</v>
      </c>
      <c r="AA29" s="22">
        <v>126</v>
      </c>
      <c r="AB29" s="21">
        <v>62</v>
      </c>
      <c r="AC29" s="22">
        <v>80</v>
      </c>
      <c r="AD29" s="21">
        <v>49</v>
      </c>
      <c r="AE29" s="22">
        <v>63</v>
      </c>
      <c r="AF29" s="2">
        <v>0.63917525773195871</v>
      </c>
      <c r="AH29" s="2">
        <v>0.79032258064516125</v>
      </c>
      <c r="AJ29" s="53" t="s">
        <v>139</v>
      </c>
      <c r="AK29" s="49">
        <v>99</v>
      </c>
      <c r="AL29" s="22">
        <v>128</v>
      </c>
      <c r="AM29" s="21">
        <v>49</v>
      </c>
      <c r="AN29" s="22">
        <v>63</v>
      </c>
      <c r="AO29" s="21">
        <v>43</v>
      </c>
      <c r="AP29" s="22">
        <v>55</v>
      </c>
      <c r="AQ29" s="2">
        <v>0.49494949494949497</v>
      </c>
      <c r="AS29" s="2">
        <v>0.87755102040816324</v>
      </c>
    </row>
    <row r="30" spans="1:46">
      <c r="A30" s="35" t="s">
        <v>140</v>
      </c>
      <c r="B30" s="18">
        <v>1.5333333333333334</v>
      </c>
      <c r="C30" s="18">
        <v>1.4812121212121212</v>
      </c>
      <c r="D30" s="18">
        <v>1.3551515151515152</v>
      </c>
      <c r="E30" s="18">
        <v>1.2606060606060605</v>
      </c>
      <c r="F30" s="18">
        <v>1.1424242424242423</v>
      </c>
      <c r="G30" s="18">
        <v>1.0321212121212122</v>
      </c>
      <c r="H30" s="18">
        <v>1</v>
      </c>
      <c r="I30" s="18">
        <v>0.96909090909090911</v>
      </c>
      <c r="J30" s="18">
        <v>0.94545454545454544</v>
      </c>
      <c r="K30" s="18">
        <v>0.92181818181818176</v>
      </c>
      <c r="L30" s="18">
        <v>0.90303030303030307</v>
      </c>
      <c r="M30" s="18">
        <v>0.88484848484848488</v>
      </c>
      <c r="N30" s="18">
        <v>0.79393939393939394</v>
      </c>
      <c r="O30" s="18">
        <v>0.69090909090909092</v>
      </c>
      <c r="P30" s="18">
        <v>0.61818181818181817</v>
      </c>
      <c r="Q30" s="18">
        <v>0.55151515151515151</v>
      </c>
      <c r="R30" s="18">
        <v>0.47878787878787876</v>
      </c>
      <c r="S30" s="18">
        <v>0.40606060606060607</v>
      </c>
      <c r="T30" s="18">
        <v>0.4</v>
      </c>
      <c r="U30" s="18">
        <v>0.4</v>
      </c>
      <c r="V30" s="18">
        <v>0.39393939393939392</v>
      </c>
      <c r="W30" s="18">
        <v>0.39393939393939392</v>
      </c>
      <c r="Y30" s="22" t="s">
        <v>141</v>
      </c>
      <c r="Z30" s="21">
        <v>96</v>
      </c>
      <c r="AA30" s="22">
        <v>124</v>
      </c>
      <c r="AB30" s="21">
        <v>60</v>
      </c>
      <c r="AC30" s="21">
        <v>78</v>
      </c>
      <c r="AD30" s="21">
        <v>48</v>
      </c>
      <c r="AE30" s="22">
        <v>62</v>
      </c>
      <c r="AF30" s="2">
        <v>0.625</v>
      </c>
      <c r="AH30" s="2">
        <v>0.8</v>
      </c>
      <c r="AJ30" s="22" t="s">
        <v>142</v>
      </c>
      <c r="AK30" s="49">
        <v>95</v>
      </c>
      <c r="AL30" s="22">
        <v>123</v>
      </c>
      <c r="AM30" s="21">
        <v>47</v>
      </c>
      <c r="AN30" s="22">
        <v>61</v>
      </c>
      <c r="AO30" s="21">
        <v>41</v>
      </c>
      <c r="AP30" s="22">
        <v>53</v>
      </c>
      <c r="AQ30" s="2">
        <v>0.49473684210526314</v>
      </c>
      <c r="AS30" s="2">
        <v>0.87234042553191493</v>
      </c>
    </row>
    <row r="31" spans="1:46">
      <c r="A31" s="35" t="s">
        <v>143</v>
      </c>
      <c r="B31" s="18">
        <v>1.6114649681528663</v>
      </c>
      <c r="C31" s="18">
        <v>1.5566878980891721</v>
      </c>
      <c r="D31" s="18">
        <v>1.4242038216560509</v>
      </c>
      <c r="E31" s="18">
        <v>1.2917197452229301</v>
      </c>
      <c r="F31" s="18">
        <v>1.1675159235668791</v>
      </c>
      <c r="G31" s="18">
        <v>1.0350318471337581</v>
      </c>
      <c r="H31" s="9">
        <v>1</v>
      </c>
      <c r="I31" s="18">
        <v>0.96050955414012751</v>
      </c>
      <c r="J31" s="18">
        <v>0.92993630573248409</v>
      </c>
      <c r="K31" s="18">
        <v>0.91082802547770703</v>
      </c>
      <c r="L31" s="18">
        <v>0.87261146496815289</v>
      </c>
      <c r="M31" s="18">
        <v>0.84713375796178347</v>
      </c>
      <c r="N31" s="18">
        <v>0.70700636942675155</v>
      </c>
      <c r="O31" s="18">
        <v>0.56687898089171973</v>
      </c>
      <c r="P31" s="18">
        <v>0.51592356687898089</v>
      </c>
      <c r="Q31" s="18">
        <v>0.47770700636942676</v>
      </c>
      <c r="R31" s="18">
        <v>0.43312101910828027</v>
      </c>
      <c r="S31" s="18">
        <v>0.40127388535031849</v>
      </c>
      <c r="T31" s="18">
        <v>0.38853503184713378</v>
      </c>
      <c r="U31" s="18">
        <v>0.38853503184713378</v>
      </c>
      <c r="V31" s="18">
        <v>0.37579617834394907</v>
      </c>
      <c r="W31" s="18">
        <v>0.36942675159235666</v>
      </c>
      <c r="Y31" s="22" t="s">
        <v>144</v>
      </c>
      <c r="Z31" s="21">
        <v>95</v>
      </c>
      <c r="AA31" s="22">
        <v>123</v>
      </c>
      <c r="AB31" s="21">
        <v>60</v>
      </c>
      <c r="AC31" s="22">
        <v>78</v>
      </c>
      <c r="AD31" s="21">
        <v>48</v>
      </c>
      <c r="AE31" s="22">
        <v>62</v>
      </c>
      <c r="AF31" s="2">
        <v>0.63157894736842102</v>
      </c>
      <c r="AH31" s="2">
        <v>0.8</v>
      </c>
      <c r="AJ31" s="22" t="s">
        <v>145</v>
      </c>
      <c r="AK31" s="21">
        <v>90</v>
      </c>
      <c r="AL31" s="54">
        <v>117</v>
      </c>
      <c r="AM31" s="21">
        <v>44</v>
      </c>
      <c r="AN31" s="22">
        <v>57</v>
      </c>
      <c r="AO31" s="21">
        <v>39</v>
      </c>
      <c r="AP31" s="22">
        <v>50</v>
      </c>
      <c r="AQ31" s="2">
        <v>0.48888888888888887</v>
      </c>
      <c r="AS31" s="2">
        <v>0.88636363636363635</v>
      </c>
    </row>
    <row r="32" spans="1:46">
      <c r="A32" s="5"/>
      <c r="Y32" s="22" t="s">
        <v>146</v>
      </c>
      <c r="Z32" s="21">
        <v>93</v>
      </c>
      <c r="AA32" s="22">
        <v>120</v>
      </c>
      <c r="AB32" s="21">
        <v>59</v>
      </c>
      <c r="AC32" s="22">
        <v>76</v>
      </c>
      <c r="AD32" s="21">
        <v>47</v>
      </c>
      <c r="AE32" s="22">
        <v>61</v>
      </c>
      <c r="AF32" s="2">
        <v>0.63440860215053763</v>
      </c>
      <c r="AH32" s="2">
        <v>0.79661016949152541</v>
      </c>
      <c r="AJ32" s="53" t="s">
        <v>147</v>
      </c>
      <c r="AK32" s="21">
        <v>88</v>
      </c>
      <c r="AL32" s="22">
        <v>114</v>
      </c>
      <c r="AM32" s="21">
        <v>43</v>
      </c>
      <c r="AN32" s="22">
        <v>55</v>
      </c>
      <c r="AO32" s="21">
        <v>38</v>
      </c>
      <c r="AP32" s="22">
        <v>49</v>
      </c>
      <c r="AQ32" s="2">
        <v>0.48863636363636365</v>
      </c>
      <c r="AS32" s="2">
        <v>0.88372093023255816</v>
      </c>
    </row>
    <row r="33" spans="1:45">
      <c r="A33" s="5"/>
      <c r="Y33" s="21" t="s">
        <v>148</v>
      </c>
      <c r="Z33" s="21">
        <v>91</v>
      </c>
      <c r="AA33" s="22">
        <v>118</v>
      </c>
      <c r="AB33" s="21">
        <v>58</v>
      </c>
      <c r="AC33" s="22">
        <v>75</v>
      </c>
      <c r="AD33" s="21">
        <v>46</v>
      </c>
      <c r="AE33" s="22">
        <v>59</v>
      </c>
      <c r="AF33" s="2">
        <v>0.63736263736263732</v>
      </c>
      <c r="AH33" s="2">
        <v>0.7931034482758621</v>
      </c>
      <c r="AJ33" s="53" t="s">
        <v>149</v>
      </c>
      <c r="AK33" s="21">
        <v>83</v>
      </c>
      <c r="AL33" s="22">
        <v>107</v>
      </c>
      <c r="AM33" s="21">
        <v>41</v>
      </c>
      <c r="AN33" s="22">
        <v>53</v>
      </c>
      <c r="AO33" s="21">
        <v>36</v>
      </c>
      <c r="AP33" s="22">
        <v>46</v>
      </c>
      <c r="AQ33" s="2">
        <v>0.49397590361445781</v>
      </c>
      <c r="AS33" s="2">
        <v>0.87804878048780488</v>
      </c>
    </row>
    <row r="34" spans="1:45">
      <c r="A34" s="5"/>
      <c r="Y34" s="22" t="s">
        <v>150</v>
      </c>
      <c r="Z34" s="21">
        <v>90</v>
      </c>
      <c r="AA34" s="55">
        <v>117</v>
      </c>
      <c r="AB34" s="21">
        <v>57</v>
      </c>
      <c r="AC34" s="22">
        <v>74</v>
      </c>
      <c r="AD34" s="21">
        <v>45</v>
      </c>
      <c r="AE34" s="22">
        <v>58</v>
      </c>
      <c r="AF34" s="2">
        <v>0.6333333333333333</v>
      </c>
      <c r="AH34" s="2">
        <v>0.78947368421052633</v>
      </c>
    </row>
    <row r="35" spans="1:45">
      <c r="A35" s="5"/>
      <c r="Y35" s="22" t="s">
        <v>151</v>
      </c>
      <c r="Z35" s="21">
        <v>88</v>
      </c>
      <c r="AA35" s="22">
        <v>114</v>
      </c>
      <c r="AB35" s="21">
        <v>56</v>
      </c>
      <c r="AC35" s="22">
        <v>72</v>
      </c>
      <c r="AD35" s="21">
        <v>44</v>
      </c>
      <c r="AE35" s="22">
        <v>57</v>
      </c>
      <c r="AF35" s="2">
        <v>0.63636363636363635</v>
      </c>
      <c r="AH35" s="2">
        <v>0.7857142857142857</v>
      </c>
    </row>
    <row r="36" spans="1:45" ht="15.75" customHeight="1">
      <c r="A36" s="5"/>
      <c r="B36" s="56" t="s">
        <v>121</v>
      </c>
      <c r="C36" s="56" t="s">
        <v>126</v>
      </c>
      <c r="D36" s="56" t="s">
        <v>132</v>
      </c>
      <c r="E36" s="57" t="s">
        <v>24</v>
      </c>
      <c r="F36" s="43" t="s">
        <v>25</v>
      </c>
      <c r="G36" s="43" t="s">
        <v>26</v>
      </c>
      <c r="H36" s="43" t="s">
        <v>27</v>
      </c>
      <c r="I36" s="43" t="s">
        <v>28</v>
      </c>
      <c r="J36" s="43" t="s">
        <v>74</v>
      </c>
      <c r="K36" s="43" t="s">
        <v>75</v>
      </c>
      <c r="L36" s="43" t="s">
        <v>76</v>
      </c>
      <c r="M36" s="43" t="s">
        <v>77</v>
      </c>
      <c r="N36" s="43" t="s">
        <v>78</v>
      </c>
      <c r="O36" s="43" t="s">
        <v>79</v>
      </c>
      <c r="P36" s="43" t="s">
        <v>80</v>
      </c>
      <c r="Q36" s="43" t="s">
        <v>81</v>
      </c>
      <c r="R36" s="43" t="s">
        <v>82</v>
      </c>
      <c r="S36" s="43" t="s">
        <v>83</v>
      </c>
      <c r="T36" s="43" t="s">
        <v>84</v>
      </c>
      <c r="U36" s="43" t="s">
        <v>85</v>
      </c>
      <c r="V36" s="43" t="s">
        <v>86</v>
      </c>
      <c r="W36" s="43" t="s">
        <v>87</v>
      </c>
      <c r="Y36" s="22" t="s">
        <v>152</v>
      </c>
      <c r="Z36" s="21">
        <v>87</v>
      </c>
      <c r="AA36" s="22">
        <v>113</v>
      </c>
      <c r="AB36" s="21">
        <v>55</v>
      </c>
      <c r="AC36" s="22">
        <v>71</v>
      </c>
      <c r="AD36" s="21">
        <v>44</v>
      </c>
      <c r="AE36" s="22">
        <v>57</v>
      </c>
      <c r="AF36" s="2">
        <v>0.63218390804597702</v>
      </c>
      <c r="AH36" s="2">
        <v>0.8</v>
      </c>
      <c r="AN36" s="58"/>
      <c r="AP36" s="58"/>
    </row>
    <row r="37" spans="1:45" ht="15.75" customHeight="1">
      <c r="A37" s="38" t="s">
        <v>153</v>
      </c>
      <c r="B37" s="18">
        <v>1</v>
      </c>
      <c r="C37" s="59">
        <v>1</v>
      </c>
      <c r="D37" s="59">
        <v>0.89115646268681314</v>
      </c>
      <c r="E37" s="59">
        <v>0.76190476199175816</v>
      </c>
      <c r="F37" s="59">
        <v>0.65306122456456039</v>
      </c>
      <c r="G37" s="59">
        <v>0.57823129258296702</v>
      </c>
      <c r="H37" s="59">
        <v>0.50340136060164842</v>
      </c>
      <c r="I37" s="59">
        <v>0.42857142857142855</v>
      </c>
      <c r="J37" s="59">
        <v>0.40109890109890112</v>
      </c>
      <c r="K37" s="59">
        <v>0.37087912087912089</v>
      </c>
      <c r="L37" s="59">
        <v>0.31043956043956045</v>
      </c>
      <c r="M37" s="59">
        <v>0.25</v>
      </c>
      <c r="N37" s="59">
        <v>0.23351648351648352</v>
      </c>
      <c r="O37" s="59">
        <v>0.21703296703296704</v>
      </c>
      <c r="P37" s="59">
        <v>0.19780219780219779</v>
      </c>
      <c r="Q37" s="59">
        <v>0.19780219780219779</v>
      </c>
      <c r="R37" s="59">
        <v>0.19780219780219779</v>
      </c>
      <c r="S37" s="59">
        <v>0.19780219780219779</v>
      </c>
      <c r="T37" s="59">
        <v>0.19780219780219779</v>
      </c>
      <c r="U37" s="59">
        <v>0.19780219780219779</v>
      </c>
      <c r="V37" s="59">
        <v>0.19780219780219779</v>
      </c>
      <c r="W37" s="59">
        <v>0.19780219780219779</v>
      </c>
      <c r="AA37" s="60" t="s">
        <v>154</v>
      </c>
      <c r="AN37" s="58"/>
      <c r="AP37" s="58"/>
    </row>
    <row r="38" spans="1:45" ht="15">
      <c r="A38" s="50" t="s">
        <v>155</v>
      </c>
      <c r="B38" s="9">
        <v>1.1439999999999999</v>
      </c>
      <c r="C38" s="61">
        <v>1</v>
      </c>
      <c r="D38" s="62">
        <v>0.87398234651119955</v>
      </c>
      <c r="E38" s="63">
        <v>0.76586081910775228</v>
      </c>
      <c r="F38" s="64">
        <v>0.68476967355516671</v>
      </c>
      <c r="G38" s="65">
        <v>0.57599999999999996</v>
      </c>
      <c r="H38" s="66">
        <v>0.54</v>
      </c>
      <c r="I38" s="67">
        <v>0.51200000000000001</v>
      </c>
      <c r="J38" s="68">
        <v>0.48799999999999999</v>
      </c>
      <c r="K38" s="69">
        <v>0.45600000000000002</v>
      </c>
      <c r="L38" s="70">
        <v>0.40799999999999997</v>
      </c>
      <c r="M38" s="71">
        <v>0.36399999999999999</v>
      </c>
      <c r="N38" s="72">
        <v>0.32</v>
      </c>
      <c r="O38" s="73">
        <v>0.27200000000000002</v>
      </c>
      <c r="P38" s="74">
        <v>0.22800000000000001</v>
      </c>
      <c r="Q38" s="74">
        <v>0.22800000000000001</v>
      </c>
      <c r="R38" s="74">
        <v>0.22800000000000001</v>
      </c>
      <c r="S38" s="74">
        <v>0.22800000000000001</v>
      </c>
      <c r="T38" s="74">
        <v>0.22800000000000001</v>
      </c>
      <c r="U38" s="74">
        <v>0.22800000000000001</v>
      </c>
      <c r="V38" s="74">
        <v>0.22800000000000001</v>
      </c>
      <c r="W38" s="74">
        <v>0.22800000000000001</v>
      </c>
      <c r="AN38" s="58"/>
      <c r="AP38" s="58"/>
    </row>
    <row r="39" spans="1:45" ht="15">
      <c r="A39" s="50" t="s">
        <v>156</v>
      </c>
      <c r="B39" s="9">
        <v>1</v>
      </c>
      <c r="C39" s="75">
        <v>0.8828125</v>
      </c>
      <c r="D39" s="62">
        <v>0.7578125</v>
      </c>
      <c r="E39" s="63">
        <v>0.6640625</v>
      </c>
      <c r="F39" s="64">
        <v>0.59375</v>
      </c>
      <c r="G39" s="65">
        <v>0.5078125</v>
      </c>
      <c r="H39" s="66">
        <v>0.4765625</v>
      </c>
      <c r="I39" s="67">
        <v>0.4453125</v>
      </c>
      <c r="J39" s="68">
        <v>0.421875</v>
      </c>
      <c r="K39" s="69">
        <v>0.39538842103554067</v>
      </c>
      <c r="L39" s="70">
        <v>0.3537685872423259</v>
      </c>
      <c r="M39" s="71">
        <v>0.31561707293187896</v>
      </c>
      <c r="N39" s="72">
        <v>0.27746555862143207</v>
      </c>
      <c r="O39" s="73">
        <v>0.23584572482821725</v>
      </c>
      <c r="P39" s="74">
        <v>0.19769421051777034</v>
      </c>
      <c r="Q39" s="74">
        <v>0.19769421051777034</v>
      </c>
      <c r="R39" s="74">
        <v>0.19769421051777034</v>
      </c>
      <c r="S39" s="74">
        <v>0.19769421051777034</v>
      </c>
      <c r="T39" s="74">
        <v>0.19769421051777034</v>
      </c>
      <c r="U39" s="74">
        <v>0.19769421051777034</v>
      </c>
      <c r="V39" s="74">
        <v>0.19769421051777034</v>
      </c>
      <c r="W39" s="74">
        <v>0.19769421051777034</v>
      </c>
      <c r="AN39" s="58"/>
      <c r="AP39" s="58"/>
    </row>
    <row r="40" spans="1:45" ht="15">
      <c r="A40" s="8" t="s">
        <v>157</v>
      </c>
      <c r="B40" s="18">
        <v>1.056910569105691</v>
      </c>
      <c r="C40" s="19">
        <v>1</v>
      </c>
      <c r="D40" s="23">
        <v>0.93292682926829273</v>
      </c>
      <c r="E40" s="26">
        <v>0.86666666666666659</v>
      </c>
      <c r="F40" s="27">
        <v>0.79268292682926833</v>
      </c>
      <c r="G40" s="76">
        <v>0.70731707317073167</v>
      </c>
      <c r="H40" s="77">
        <v>0.6097560975609756</v>
      </c>
      <c r="I40" s="78">
        <v>0.52845528455284552</v>
      </c>
      <c r="J40" s="79">
        <v>0.50406504065040647</v>
      </c>
      <c r="K40" s="80">
        <v>0.48373983739837401</v>
      </c>
      <c r="L40" s="81">
        <v>0.44308943089430897</v>
      </c>
      <c r="M40" s="82">
        <v>0.3902439024390244</v>
      </c>
      <c r="N40" s="83">
        <v>0.32926829268292684</v>
      </c>
      <c r="O40" s="84">
        <v>0.27235772357723576</v>
      </c>
      <c r="P40" s="85">
        <v>0.21138211382113822</v>
      </c>
      <c r="Q40" s="85">
        <v>0.21138211382113822</v>
      </c>
      <c r="R40" s="85">
        <v>0.21138211382113822</v>
      </c>
      <c r="S40" s="85">
        <v>0.21138211382113822</v>
      </c>
      <c r="T40" s="85">
        <v>0.21138211382113822</v>
      </c>
      <c r="U40" s="85">
        <v>0.21138211382113822</v>
      </c>
      <c r="V40" s="85">
        <v>0.21138211382113822</v>
      </c>
      <c r="W40" s="85">
        <v>0.21138211382113822</v>
      </c>
      <c r="AN40" s="58"/>
      <c r="AP40" s="58"/>
    </row>
    <row r="41" spans="1:45" ht="15">
      <c r="A41" s="8" t="s">
        <v>158</v>
      </c>
      <c r="B41" s="18">
        <v>1</v>
      </c>
      <c r="C41" s="29">
        <v>1</v>
      </c>
      <c r="D41" s="30">
        <v>0.88717948717948714</v>
      </c>
      <c r="E41" s="31">
        <v>0.74871794871794872</v>
      </c>
      <c r="F41" s="32">
        <v>0.67179487179487174</v>
      </c>
      <c r="G41" s="33">
        <v>0.58461538461538465</v>
      </c>
      <c r="H41" s="86">
        <v>0.50256410256410255</v>
      </c>
      <c r="I41" s="87">
        <v>0.47179487179487178</v>
      </c>
      <c r="J41" s="88">
        <v>0.44615384615384618</v>
      </c>
      <c r="K41" s="89">
        <v>0.42564102564102563</v>
      </c>
      <c r="L41" s="90">
        <v>0.36923076923076925</v>
      </c>
      <c r="M41" s="91">
        <v>0.33333333333333331</v>
      </c>
      <c r="N41" s="92">
        <v>0.28205128205128205</v>
      </c>
      <c r="O41" s="93" t="s">
        <v>159</v>
      </c>
      <c r="P41" s="94"/>
      <c r="Q41" s="94"/>
      <c r="R41" s="94"/>
      <c r="S41" s="94"/>
      <c r="T41" s="94"/>
      <c r="U41" s="94"/>
      <c r="V41" s="94"/>
      <c r="W41" s="94"/>
    </row>
    <row r="42" spans="1:45" ht="15">
      <c r="A42" s="8" t="s">
        <v>160</v>
      </c>
      <c r="B42" s="18">
        <v>1</v>
      </c>
      <c r="C42" s="59">
        <v>1</v>
      </c>
      <c r="D42" s="27">
        <v>1</v>
      </c>
      <c r="E42" s="76">
        <v>1</v>
      </c>
      <c r="F42" s="95">
        <v>0.91752577319587625</v>
      </c>
      <c r="G42" s="79">
        <v>0.85567010309278346</v>
      </c>
      <c r="H42" s="87">
        <v>0.77319587628865982</v>
      </c>
      <c r="I42" s="96">
        <v>0.7010309278350515</v>
      </c>
      <c r="J42" s="89">
        <v>0.62886597938144329</v>
      </c>
      <c r="K42" s="97">
        <v>0.54639175257731953</v>
      </c>
      <c r="L42" s="83">
        <v>0.51546391752577314</v>
      </c>
      <c r="M42" s="98">
        <v>0.49484536082474229</v>
      </c>
      <c r="N42" s="99">
        <v>0.47422680412371132</v>
      </c>
      <c r="O42" s="100">
        <v>0.47422680412371132</v>
      </c>
      <c r="P42" s="94">
        <v>0.47422680412371132</v>
      </c>
      <c r="Q42" s="94">
        <v>0.47422680412371132</v>
      </c>
      <c r="R42" s="94">
        <v>0.47422680412371132</v>
      </c>
      <c r="S42" s="94">
        <v>0.47422680412371132</v>
      </c>
      <c r="T42" s="94">
        <v>0.47422680412371132</v>
      </c>
      <c r="U42" s="94">
        <v>0.47422680412371132</v>
      </c>
      <c r="V42" s="94">
        <v>0.47422680412371132</v>
      </c>
      <c r="W42" s="94">
        <v>0.47422680412371132</v>
      </c>
    </row>
    <row r="43" spans="1:45" ht="15">
      <c r="A43" s="8" t="s">
        <v>161</v>
      </c>
      <c r="B43" s="18">
        <v>1</v>
      </c>
      <c r="C43" s="75">
        <v>1</v>
      </c>
      <c r="D43" s="62">
        <v>1</v>
      </c>
      <c r="E43" s="63">
        <v>1</v>
      </c>
      <c r="F43" s="64">
        <v>0.8783783783783784</v>
      </c>
      <c r="G43" s="65">
        <v>0.7432432432432432</v>
      </c>
      <c r="H43" s="66">
        <v>0.70270270270270274</v>
      </c>
      <c r="I43" s="67">
        <v>0.64864864864864868</v>
      </c>
      <c r="J43" s="68">
        <v>0.59459459459459463</v>
      </c>
      <c r="K43" s="69">
        <v>0.54054054054054057</v>
      </c>
      <c r="L43" s="70">
        <v>0.41891891891891891</v>
      </c>
      <c r="M43" s="71">
        <v>0.3108108108108108</v>
      </c>
      <c r="N43" s="72">
        <v>0.1891891891891892</v>
      </c>
      <c r="O43" s="73">
        <v>0.1891891891891892</v>
      </c>
      <c r="P43" s="74">
        <v>0.1891891891891892</v>
      </c>
      <c r="Q43" s="74">
        <v>0.1891891891891892</v>
      </c>
      <c r="R43" s="74">
        <v>0.1891891891891892</v>
      </c>
      <c r="S43" s="74">
        <v>0.1891891891891892</v>
      </c>
      <c r="T43" s="74">
        <v>0.1891891891891892</v>
      </c>
      <c r="U43" s="74">
        <v>0.1891891891891892</v>
      </c>
      <c r="V43" s="74">
        <v>0.1891891891891892</v>
      </c>
      <c r="W43" s="74">
        <v>0.1891891891891892</v>
      </c>
    </row>
    <row r="44" spans="1:45" ht="12.75">
      <c r="A44" s="5"/>
    </row>
    <row r="45" spans="1:45" ht="12.75">
      <c r="A45" s="5"/>
    </row>
    <row r="46" spans="1:45" ht="16.5">
      <c r="A46" s="101" t="s">
        <v>162</v>
      </c>
      <c r="B46" s="102"/>
      <c r="E46" s="13" t="s">
        <v>163</v>
      </c>
      <c r="J46" s="13" t="s">
        <v>164</v>
      </c>
      <c r="M46" s="13" t="s">
        <v>165</v>
      </c>
      <c r="Q46" s="13" t="s">
        <v>166</v>
      </c>
    </row>
    <row r="47" spans="1:45" ht="16.5">
      <c r="A47" s="101" t="s">
        <v>167</v>
      </c>
      <c r="B47" s="103"/>
      <c r="E47" s="13" t="s">
        <v>168</v>
      </c>
      <c r="J47" s="13" t="s">
        <v>169</v>
      </c>
      <c r="M47" s="13" t="s">
        <v>169</v>
      </c>
    </row>
    <row r="48" spans="1:45" ht="16.5">
      <c r="A48" s="101" t="s">
        <v>170</v>
      </c>
      <c r="B48" s="104"/>
      <c r="E48" s="13" t="s">
        <v>171</v>
      </c>
      <c r="J48" s="13" t="s">
        <v>172</v>
      </c>
      <c r="M48" s="13" t="s">
        <v>173</v>
      </c>
      <c r="Q48" s="13" t="s">
        <v>174</v>
      </c>
    </row>
    <row r="49" spans="1:35" ht="16.5">
      <c r="A49" s="101" t="s">
        <v>175</v>
      </c>
      <c r="B49" s="105"/>
      <c r="E49" s="13" t="s">
        <v>176</v>
      </c>
      <c r="J49" s="13" t="s">
        <v>177</v>
      </c>
      <c r="M49" s="13" t="s">
        <v>178</v>
      </c>
    </row>
    <row r="50" spans="1:35" ht="12.75">
      <c r="A50" s="5"/>
      <c r="I50" s="13"/>
      <c r="J50" s="13"/>
      <c r="K50" s="13"/>
      <c r="L50" s="13"/>
      <c r="M50" s="13"/>
    </row>
    <row r="51" spans="1:35" ht="21.75">
      <c r="A51" s="106" t="s">
        <v>179</v>
      </c>
      <c r="B51" s="13" t="s">
        <v>180</v>
      </c>
      <c r="I51" s="107" t="s">
        <v>181</v>
      </c>
      <c r="J51" s="13"/>
      <c r="K51" s="108"/>
      <c r="L51" s="108"/>
      <c r="M51" s="13"/>
    </row>
    <row r="52" spans="1:35" ht="12.75">
      <c r="A52" s="106" t="s">
        <v>182</v>
      </c>
      <c r="B52" s="13" t="s">
        <v>183</v>
      </c>
      <c r="C52" s="13"/>
      <c r="D52" s="13"/>
      <c r="E52" s="13"/>
      <c r="F52" s="13"/>
      <c r="G52" s="13"/>
      <c r="I52" s="13"/>
      <c r="J52" s="13"/>
      <c r="K52" s="108"/>
      <c r="L52" s="108"/>
      <c r="M52" s="13"/>
      <c r="O52" s="109"/>
      <c r="P52" s="109"/>
      <c r="Q52" s="109"/>
      <c r="R52" s="109"/>
      <c r="S52" s="109"/>
      <c r="T52" s="109"/>
      <c r="U52" s="109"/>
      <c r="V52" s="109"/>
      <c r="W52" s="109"/>
    </row>
    <row r="53" spans="1:35" ht="12.75">
      <c r="A53" s="106" t="s">
        <v>184</v>
      </c>
      <c r="B53" s="13" t="s">
        <v>185</v>
      </c>
      <c r="C53" s="13"/>
      <c r="D53" s="13"/>
      <c r="E53" s="13"/>
      <c r="F53" s="13"/>
      <c r="G53" s="13"/>
      <c r="I53" s="109"/>
      <c r="J53" s="58"/>
      <c r="K53" s="58"/>
      <c r="L53" s="58"/>
      <c r="M53" s="58"/>
      <c r="O53" s="109"/>
      <c r="P53" s="109"/>
      <c r="Q53" s="109"/>
      <c r="R53" s="109"/>
      <c r="S53" s="109"/>
      <c r="T53" s="109"/>
      <c r="U53" s="109"/>
      <c r="V53" s="109"/>
      <c r="W53" s="109"/>
    </row>
    <row r="54" spans="1:35" ht="14.25">
      <c r="A54" s="110"/>
      <c r="B54" s="13"/>
      <c r="C54" s="13"/>
      <c r="D54" s="111"/>
      <c r="E54" s="111"/>
      <c r="F54" s="111"/>
      <c r="G54" s="111"/>
      <c r="H54" s="112"/>
      <c r="I54" s="112"/>
      <c r="J54" s="112"/>
      <c r="K54" s="112"/>
      <c r="L54" s="112"/>
      <c r="M54" s="113"/>
      <c r="N54" s="113"/>
      <c r="O54" s="112"/>
      <c r="P54" s="112"/>
      <c r="Q54" s="112"/>
      <c r="R54" s="114"/>
    </row>
    <row r="55" spans="1:35" ht="18">
      <c r="A55" s="115" t="s">
        <v>186</v>
      </c>
      <c r="B55" s="13"/>
      <c r="C55" s="13"/>
      <c r="D55" s="111"/>
      <c r="E55" s="111"/>
      <c r="F55" s="111"/>
      <c r="G55" s="111"/>
      <c r="H55" s="112"/>
      <c r="I55" s="112"/>
      <c r="J55" s="112"/>
      <c r="K55" s="112"/>
      <c r="L55" s="112"/>
      <c r="M55" s="113"/>
      <c r="N55" s="113"/>
      <c r="O55" s="112"/>
      <c r="P55" s="112"/>
      <c r="Q55" s="112"/>
      <c r="R55" s="116"/>
      <c r="S55" s="116"/>
      <c r="T55" s="116"/>
      <c r="U55" s="116"/>
      <c r="V55" s="116"/>
      <c r="W55" s="116"/>
    </row>
    <row r="56" spans="1:35" ht="15">
      <c r="A56" s="117" t="s">
        <v>187</v>
      </c>
      <c r="B56" s="118" t="s">
        <v>188</v>
      </c>
      <c r="C56" s="118" t="s">
        <v>189</v>
      </c>
      <c r="D56" s="118" t="s">
        <v>190</v>
      </c>
      <c r="E56" s="118" t="s">
        <v>191</v>
      </c>
      <c r="F56" s="112"/>
      <c r="G56" s="119" t="s">
        <v>192</v>
      </c>
      <c r="H56" s="120" t="s">
        <v>193</v>
      </c>
      <c r="I56" s="118" t="s">
        <v>188</v>
      </c>
      <c r="J56" s="121" t="s">
        <v>194</v>
      </c>
      <c r="K56" s="118" t="s">
        <v>191</v>
      </c>
      <c r="L56" s="114" t="s">
        <v>195</v>
      </c>
      <c r="M56" s="122" t="s">
        <v>196</v>
      </c>
      <c r="N56" s="120" t="s">
        <v>193</v>
      </c>
      <c r="O56" s="118" t="s">
        <v>188</v>
      </c>
      <c r="P56" s="121" t="s">
        <v>194</v>
      </c>
      <c r="Q56" s="118" t="s">
        <v>191</v>
      </c>
      <c r="R56" s="112"/>
      <c r="S56" s="121" t="s">
        <v>197</v>
      </c>
      <c r="T56" s="121" t="s">
        <v>193</v>
      </c>
      <c r="U56" s="121" t="s">
        <v>188</v>
      </c>
      <c r="V56" s="121" t="s">
        <v>198</v>
      </c>
      <c r="W56" s="121" t="s">
        <v>199</v>
      </c>
    </row>
    <row r="57" spans="1:35" ht="12.75">
      <c r="A57" s="123" t="s">
        <v>200</v>
      </c>
      <c r="B57" s="118">
        <v>200</v>
      </c>
      <c r="C57" s="118" t="s">
        <v>201</v>
      </c>
      <c r="D57" s="118" t="s">
        <v>201</v>
      </c>
      <c r="E57" s="118">
        <v>110</v>
      </c>
      <c r="F57" s="112"/>
      <c r="G57" s="118" t="s">
        <v>200</v>
      </c>
      <c r="H57" s="120" t="s">
        <v>202</v>
      </c>
      <c r="I57" s="121" t="s">
        <v>203</v>
      </c>
      <c r="J57" s="121" t="s">
        <v>204</v>
      </c>
      <c r="K57" s="121" t="s">
        <v>205</v>
      </c>
      <c r="L57" s="113"/>
      <c r="M57" s="118" t="s">
        <v>200</v>
      </c>
      <c r="N57" s="120" t="s">
        <v>202</v>
      </c>
      <c r="O57" s="121" t="s">
        <v>203</v>
      </c>
      <c r="P57" s="121" t="s">
        <v>204</v>
      </c>
      <c r="Q57" s="121" t="s">
        <v>205</v>
      </c>
      <c r="R57" s="112"/>
      <c r="S57" s="121" t="s">
        <v>206</v>
      </c>
      <c r="T57" s="121" t="s">
        <v>207</v>
      </c>
      <c r="U57" s="121" t="s">
        <v>208</v>
      </c>
      <c r="V57" s="121" t="s">
        <v>208</v>
      </c>
      <c r="W57" s="121" t="s">
        <v>209</v>
      </c>
    </row>
    <row r="58" spans="1:35" ht="14.25">
      <c r="A58" s="123" t="s">
        <v>210</v>
      </c>
      <c r="B58" s="118">
        <v>162</v>
      </c>
      <c r="C58" s="118" t="s">
        <v>201</v>
      </c>
      <c r="D58" s="118">
        <v>100</v>
      </c>
      <c r="E58" s="118">
        <v>87</v>
      </c>
      <c r="F58" s="112"/>
      <c r="G58" s="118" t="s">
        <v>210</v>
      </c>
      <c r="H58" s="120" t="s">
        <v>211</v>
      </c>
      <c r="I58" s="121" t="s">
        <v>212</v>
      </c>
      <c r="J58" s="121" t="s">
        <v>213</v>
      </c>
      <c r="K58" s="121" t="s">
        <v>214</v>
      </c>
      <c r="L58" s="113"/>
      <c r="M58" s="118" t="s">
        <v>210</v>
      </c>
      <c r="N58" s="124" t="s">
        <v>211</v>
      </c>
      <c r="O58" s="121" t="s">
        <v>215</v>
      </c>
      <c r="P58" s="121" t="s">
        <v>216</v>
      </c>
      <c r="Q58" s="121" t="s">
        <v>217</v>
      </c>
      <c r="R58" s="112"/>
      <c r="S58" s="121" t="s">
        <v>218</v>
      </c>
      <c r="T58" s="121" t="s">
        <v>219</v>
      </c>
      <c r="U58" s="121" t="s">
        <v>220</v>
      </c>
      <c r="V58" s="121" t="s">
        <v>221</v>
      </c>
      <c r="W58" s="121" t="s">
        <v>222</v>
      </c>
    </row>
    <row r="59" spans="1:35" ht="12.75">
      <c r="A59" s="123" t="s">
        <v>223</v>
      </c>
      <c r="B59" s="118">
        <v>150</v>
      </c>
      <c r="C59" s="118">
        <v>139</v>
      </c>
      <c r="D59" s="118">
        <v>92</v>
      </c>
      <c r="E59" s="118">
        <v>81</v>
      </c>
      <c r="F59" s="112"/>
      <c r="G59" s="118" t="s">
        <v>223</v>
      </c>
      <c r="H59" s="120" t="s">
        <v>224</v>
      </c>
      <c r="I59" s="121" t="s">
        <v>225</v>
      </c>
      <c r="J59" s="121" t="s">
        <v>226</v>
      </c>
      <c r="K59" s="121" t="s">
        <v>227</v>
      </c>
      <c r="L59" s="113"/>
      <c r="M59" s="118" t="s">
        <v>223</v>
      </c>
      <c r="N59" s="120" t="s">
        <v>228</v>
      </c>
      <c r="O59" s="121" t="s">
        <v>229</v>
      </c>
      <c r="P59" s="121" t="s">
        <v>230</v>
      </c>
      <c r="Q59" s="121" t="s">
        <v>231</v>
      </c>
      <c r="R59" s="112"/>
      <c r="S59" s="121" t="s">
        <v>232</v>
      </c>
      <c r="T59" s="121" t="s">
        <v>233</v>
      </c>
      <c r="U59" s="121" t="s">
        <v>234</v>
      </c>
      <c r="V59" s="121" t="s">
        <v>235</v>
      </c>
      <c r="W59" s="121" t="s">
        <v>236</v>
      </c>
    </row>
    <row r="60" spans="1:35" ht="36">
      <c r="A60" s="125" t="s">
        <v>196</v>
      </c>
      <c r="B60" s="126"/>
      <c r="C60" s="126"/>
      <c r="D60" s="126"/>
      <c r="E60" s="126"/>
      <c r="F60" s="126"/>
      <c r="G60" s="127" t="s">
        <v>237</v>
      </c>
      <c r="H60" s="126"/>
      <c r="I60" s="126"/>
      <c r="J60" s="126"/>
      <c r="K60" s="126"/>
      <c r="L60" s="126"/>
      <c r="M60" s="126"/>
      <c r="N60" s="126"/>
      <c r="O60" s="126"/>
      <c r="P60" s="126"/>
      <c r="Q60" s="126"/>
      <c r="R60" s="126"/>
      <c r="S60" s="121" t="s">
        <v>238</v>
      </c>
      <c r="T60" s="121" t="s">
        <v>239</v>
      </c>
      <c r="U60" s="121" t="s">
        <v>240</v>
      </c>
      <c r="V60" s="121" t="s">
        <v>241</v>
      </c>
      <c r="W60" s="121" t="s">
        <v>242</v>
      </c>
    </row>
    <row r="61" spans="1:35" ht="36">
      <c r="A61" s="128" t="s">
        <v>196</v>
      </c>
      <c r="B61" s="120" t="s">
        <v>193</v>
      </c>
      <c r="C61" s="118" t="s">
        <v>188</v>
      </c>
      <c r="D61" s="121" t="s">
        <v>194</v>
      </c>
      <c r="E61" s="118" t="s">
        <v>191</v>
      </c>
      <c r="F61" s="126"/>
      <c r="G61" s="122" t="s">
        <v>197</v>
      </c>
      <c r="H61" s="120" t="s">
        <v>193</v>
      </c>
      <c r="I61" s="118" t="s">
        <v>188</v>
      </c>
      <c r="J61" s="129" t="s">
        <v>194</v>
      </c>
      <c r="K61" s="129" t="s">
        <v>191</v>
      </c>
      <c r="L61" s="126"/>
      <c r="N61" s="126"/>
      <c r="O61" s="126"/>
      <c r="P61" s="126"/>
      <c r="Q61" s="126"/>
      <c r="R61" s="126"/>
      <c r="S61" s="126"/>
      <c r="T61" s="126"/>
      <c r="U61" s="126"/>
      <c r="V61" s="126"/>
      <c r="W61" s="126"/>
    </row>
    <row r="62" spans="1:35" ht="36">
      <c r="A62" s="130" t="s">
        <v>243</v>
      </c>
      <c r="B62" s="124" t="s">
        <v>244</v>
      </c>
      <c r="C62" s="129" t="s">
        <v>245</v>
      </c>
      <c r="D62" s="129" t="s">
        <v>245</v>
      </c>
      <c r="E62" s="129" t="s">
        <v>246</v>
      </c>
      <c r="F62" s="126"/>
      <c r="G62" s="122" t="s">
        <v>247</v>
      </c>
      <c r="H62" s="129" t="s">
        <v>248</v>
      </c>
      <c r="I62" s="129" t="s">
        <v>249</v>
      </c>
      <c r="J62" s="129" t="s">
        <v>250</v>
      </c>
      <c r="K62" s="129" t="s">
        <v>251</v>
      </c>
      <c r="L62" s="126"/>
      <c r="M62" s="357" t="s">
        <v>252</v>
      </c>
      <c r="N62" s="346"/>
      <c r="O62" s="346"/>
      <c r="P62" s="346"/>
      <c r="Q62" s="346"/>
      <c r="R62" s="346"/>
      <c r="S62" s="346"/>
      <c r="T62" s="346"/>
      <c r="U62" s="346"/>
      <c r="V62" s="346"/>
      <c r="W62" s="126"/>
    </row>
    <row r="63" spans="1:35" ht="36">
      <c r="A63" s="130" t="s">
        <v>253</v>
      </c>
      <c r="B63" s="124" t="s">
        <v>254</v>
      </c>
      <c r="C63" s="129" t="s">
        <v>255</v>
      </c>
      <c r="D63" s="129" t="s">
        <v>256</v>
      </c>
      <c r="E63" s="129" t="s">
        <v>257</v>
      </c>
      <c r="F63" s="126"/>
      <c r="G63" s="122" t="s">
        <v>258</v>
      </c>
      <c r="H63" s="124" t="s">
        <v>259</v>
      </c>
      <c r="I63" s="129" t="s">
        <v>260</v>
      </c>
      <c r="J63" s="129" t="s">
        <v>261</v>
      </c>
      <c r="K63" s="129" t="s">
        <v>262</v>
      </c>
      <c r="L63" s="126"/>
      <c r="M63" s="346"/>
      <c r="N63" s="346"/>
      <c r="O63" s="346"/>
      <c r="P63" s="346"/>
      <c r="Q63" s="346"/>
      <c r="R63" s="346"/>
      <c r="S63" s="346"/>
      <c r="T63" s="346"/>
      <c r="U63" s="346"/>
      <c r="V63" s="346"/>
      <c r="W63" s="126"/>
      <c r="AB63" s="132" t="s">
        <v>263</v>
      </c>
      <c r="AC63" s="109"/>
      <c r="AD63" s="109"/>
      <c r="AE63" s="109"/>
      <c r="AF63" s="109"/>
      <c r="AG63" s="109"/>
      <c r="AH63" s="109"/>
      <c r="AI63" s="109"/>
    </row>
    <row r="64" spans="1:35" ht="36">
      <c r="A64" s="130" t="s">
        <v>264</v>
      </c>
      <c r="B64" s="124" t="s">
        <v>265</v>
      </c>
      <c r="C64" s="129" t="s">
        <v>266</v>
      </c>
      <c r="D64" s="129" t="s">
        <v>267</v>
      </c>
      <c r="E64" s="129" t="s">
        <v>268</v>
      </c>
      <c r="F64" s="126"/>
      <c r="G64" s="122" t="s">
        <v>269</v>
      </c>
      <c r="H64" s="124" t="s">
        <v>270</v>
      </c>
      <c r="I64" s="129" t="s">
        <v>271</v>
      </c>
      <c r="J64" s="129" t="s">
        <v>272</v>
      </c>
      <c r="K64" s="129" t="s">
        <v>273</v>
      </c>
      <c r="L64" s="126"/>
      <c r="M64" s="346"/>
      <c r="N64" s="346"/>
      <c r="O64" s="346"/>
      <c r="P64" s="346"/>
      <c r="Q64" s="346"/>
      <c r="R64" s="346"/>
      <c r="S64" s="346"/>
      <c r="T64" s="346"/>
      <c r="U64" s="346"/>
      <c r="V64" s="346"/>
      <c r="W64" s="126"/>
      <c r="AB64" s="133" t="s">
        <v>274</v>
      </c>
    </row>
    <row r="65" spans="1:73" ht="36">
      <c r="A65" s="130" t="s">
        <v>275</v>
      </c>
      <c r="B65" s="124" t="s">
        <v>276</v>
      </c>
      <c r="C65" s="129" t="s">
        <v>277</v>
      </c>
      <c r="D65" s="129" t="s">
        <v>278</v>
      </c>
      <c r="E65" s="129" t="s">
        <v>279</v>
      </c>
      <c r="F65" s="126"/>
      <c r="G65" s="122" t="s">
        <v>280</v>
      </c>
      <c r="H65" s="124" t="s">
        <v>281</v>
      </c>
      <c r="I65" s="129" t="s">
        <v>282</v>
      </c>
      <c r="J65" s="129" t="s">
        <v>283</v>
      </c>
      <c r="K65" s="129" t="s">
        <v>284</v>
      </c>
      <c r="L65" s="126"/>
      <c r="M65" s="131"/>
      <c r="N65" s="131"/>
      <c r="O65" s="131"/>
      <c r="P65" s="131"/>
      <c r="Q65" s="131"/>
      <c r="R65" s="131"/>
      <c r="S65" s="131"/>
      <c r="T65" s="131"/>
      <c r="U65" s="131"/>
      <c r="V65" s="131"/>
      <c r="W65" s="126"/>
      <c r="AB65" s="133"/>
      <c r="AY65" s="134"/>
    </row>
    <row r="66" spans="1:73" ht="36">
      <c r="A66" s="135" t="s">
        <v>285</v>
      </c>
      <c r="B66" s="124">
        <v>365</v>
      </c>
      <c r="C66" s="129">
        <v>330</v>
      </c>
      <c r="D66" s="129">
        <v>220</v>
      </c>
      <c r="E66" s="129">
        <v>154</v>
      </c>
      <c r="F66" s="126"/>
      <c r="G66" s="122" t="s">
        <v>286</v>
      </c>
      <c r="H66" s="124" t="s">
        <v>287</v>
      </c>
      <c r="I66" s="129" t="s">
        <v>288</v>
      </c>
      <c r="J66" s="129" t="s">
        <v>289</v>
      </c>
      <c r="K66" s="129" t="s">
        <v>290</v>
      </c>
      <c r="L66" s="126"/>
      <c r="M66" s="131"/>
      <c r="N66" s="131"/>
      <c r="O66" s="131"/>
      <c r="P66" s="131"/>
      <c r="Q66" s="131"/>
      <c r="R66" s="131"/>
      <c r="S66" s="131"/>
      <c r="T66" s="131"/>
      <c r="U66" s="131"/>
      <c r="V66" s="131"/>
      <c r="W66" s="126"/>
      <c r="Y66" s="136" t="s">
        <v>291</v>
      </c>
      <c r="Z66" s="137"/>
      <c r="AY66" s="134"/>
    </row>
    <row r="67" spans="1:73" ht="30.75">
      <c r="A67" s="130" t="s">
        <v>292</v>
      </c>
      <c r="B67" s="124" t="s">
        <v>293</v>
      </c>
      <c r="C67" s="129" t="s">
        <v>294</v>
      </c>
      <c r="D67" s="129" t="s">
        <v>295</v>
      </c>
      <c r="E67" s="129" t="s">
        <v>296</v>
      </c>
      <c r="F67" s="109"/>
      <c r="G67" s="122" t="s">
        <v>297</v>
      </c>
      <c r="H67" s="124" t="s">
        <v>298</v>
      </c>
      <c r="I67" s="129" t="s">
        <v>220</v>
      </c>
      <c r="J67" s="129" t="s">
        <v>221</v>
      </c>
      <c r="K67" s="129" t="s">
        <v>222</v>
      </c>
      <c r="L67" s="109"/>
      <c r="M67" s="131"/>
      <c r="N67" s="131"/>
      <c r="O67" s="131"/>
      <c r="P67" s="131"/>
      <c r="Q67" s="131"/>
      <c r="R67" s="131"/>
      <c r="S67" s="131"/>
      <c r="T67" s="131"/>
      <c r="U67" s="131"/>
      <c r="V67" s="131"/>
      <c r="W67" s="109"/>
      <c r="Y67" s="138" t="s">
        <v>299</v>
      </c>
      <c r="Z67" s="139"/>
      <c r="AY67" s="134"/>
    </row>
    <row r="68" spans="1:73" ht="30.75">
      <c r="A68" s="128" t="s">
        <v>300</v>
      </c>
      <c r="B68" s="129" t="s">
        <v>301</v>
      </c>
      <c r="C68" s="129" t="s">
        <v>302</v>
      </c>
      <c r="D68" s="129" t="s">
        <v>302</v>
      </c>
      <c r="E68" s="129" t="s">
        <v>303</v>
      </c>
      <c r="F68" s="109"/>
      <c r="G68" s="122" t="s">
        <v>304</v>
      </c>
      <c r="H68" s="124" t="s">
        <v>305</v>
      </c>
      <c r="I68" s="129" t="s">
        <v>306</v>
      </c>
      <c r="J68" s="129" t="s">
        <v>307</v>
      </c>
      <c r="K68" s="129" t="s">
        <v>308</v>
      </c>
      <c r="L68" s="109"/>
      <c r="M68" s="131"/>
      <c r="N68" s="131"/>
      <c r="O68" s="131"/>
      <c r="P68" s="131"/>
      <c r="Q68" s="131"/>
      <c r="R68" s="131"/>
      <c r="S68" s="131"/>
      <c r="T68" s="131"/>
      <c r="U68" s="131"/>
      <c r="V68" s="131"/>
      <c r="W68" s="109"/>
      <c r="Y68" s="140" t="s">
        <v>309</v>
      </c>
      <c r="Z68" s="141"/>
      <c r="AB68" s="142"/>
      <c r="AY68" s="134"/>
    </row>
    <row r="69" spans="1:73" ht="30.75">
      <c r="A69" s="128" t="s">
        <v>310</v>
      </c>
      <c r="B69" s="129" t="s">
        <v>225</v>
      </c>
      <c r="C69" s="129" t="s">
        <v>311</v>
      </c>
      <c r="D69" s="129" t="s">
        <v>311</v>
      </c>
      <c r="E69" s="129" t="s">
        <v>312</v>
      </c>
      <c r="F69" s="109"/>
      <c r="G69" s="122" t="s">
        <v>313</v>
      </c>
      <c r="H69" s="129" t="s">
        <v>314</v>
      </c>
      <c r="I69" s="129" t="s">
        <v>315</v>
      </c>
      <c r="J69" s="129" t="s">
        <v>315</v>
      </c>
      <c r="K69" s="129" t="s">
        <v>316</v>
      </c>
      <c r="L69" s="109"/>
      <c r="M69" s="131"/>
      <c r="N69" s="131"/>
      <c r="O69" s="131"/>
      <c r="P69" s="131"/>
      <c r="Q69" s="131"/>
      <c r="R69" s="131"/>
      <c r="S69" s="131"/>
      <c r="T69" s="131"/>
      <c r="U69" s="131"/>
      <c r="V69" s="131"/>
      <c r="W69" s="109"/>
      <c r="Y69" s="143" t="s">
        <v>317</v>
      </c>
      <c r="Z69" s="144"/>
    </row>
    <row r="70" spans="1:73" ht="30.75">
      <c r="A70" s="145"/>
      <c r="B70" s="109"/>
      <c r="C70" s="109"/>
      <c r="D70" s="109"/>
      <c r="E70" s="109"/>
      <c r="F70" s="109"/>
      <c r="G70" s="122" t="s">
        <v>318</v>
      </c>
      <c r="H70" s="121" t="s">
        <v>207</v>
      </c>
      <c r="I70" s="121" t="s">
        <v>208</v>
      </c>
      <c r="J70" s="121" t="s">
        <v>208</v>
      </c>
      <c r="K70" s="121" t="s">
        <v>209</v>
      </c>
      <c r="L70" s="109"/>
      <c r="M70" s="131"/>
      <c r="N70" s="131"/>
      <c r="O70" s="131"/>
      <c r="P70" s="131"/>
      <c r="Q70" s="131"/>
      <c r="R70" s="131"/>
      <c r="S70" s="131"/>
      <c r="T70" s="131"/>
      <c r="U70" s="131"/>
      <c r="V70" s="131"/>
      <c r="W70" s="109"/>
      <c r="Y70" s="146" t="s">
        <v>319</v>
      </c>
      <c r="Z70" s="147"/>
    </row>
    <row r="71" spans="1:73">
      <c r="A71" s="145"/>
      <c r="Y71" s="133" t="s">
        <v>320</v>
      </c>
      <c r="AA71" s="148"/>
      <c r="AB71" s="13"/>
      <c r="AC71" s="149"/>
    </row>
    <row r="72" spans="1:73" ht="36">
      <c r="A72" s="358" t="s">
        <v>321</v>
      </c>
      <c r="B72" s="346"/>
      <c r="C72" s="346"/>
      <c r="D72" s="346"/>
      <c r="E72" s="346"/>
      <c r="F72" s="346"/>
      <c r="G72" s="346"/>
      <c r="H72" s="346"/>
      <c r="I72" s="346"/>
      <c r="J72" s="346"/>
      <c r="K72" s="346"/>
      <c r="L72" s="346"/>
      <c r="M72" s="346"/>
      <c r="N72" s="346"/>
      <c r="O72" s="346"/>
      <c r="P72" s="346"/>
      <c r="Q72" s="346"/>
      <c r="R72" s="346"/>
      <c r="S72" s="346"/>
      <c r="T72" s="346"/>
      <c r="U72" s="346"/>
      <c r="V72" s="346"/>
      <c r="Y72" s="145"/>
      <c r="AB72" s="13"/>
    </row>
    <row r="73" spans="1:73" ht="15">
      <c r="A73" s="145" t="s">
        <v>322</v>
      </c>
      <c r="Y73" s="145" t="s">
        <v>322</v>
      </c>
      <c r="AB73" s="13"/>
    </row>
    <row r="74" spans="1:73" ht="15">
      <c r="A74" s="150" t="s">
        <v>323</v>
      </c>
      <c r="B74" s="151" t="s">
        <v>24</v>
      </c>
      <c r="C74" s="151" t="s">
        <v>25</v>
      </c>
      <c r="D74" s="151" t="s">
        <v>26</v>
      </c>
      <c r="E74" s="151" t="s">
        <v>27</v>
      </c>
      <c r="F74" s="151" t="s">
        <v>28</v>
      </c>
      <c r="G74" s="151" t="s">
        <v>74</v>
      </c>
      <c r="H74" s="151" t="s">
        <v>75</v>
      </c>
      <c r="I74" s="151" t="s">
        <v>76</v>
      </c>
      <c r="J74" s="151" t="s">
        <v>77</v>
      </c>
      <c r="K74" s="151" t="s">
        <v>78</v>
      </c>
      <c r="L74" s="151" t="s">
        <v>79</v>
      </c>
      <c r="M74" s="151" t="s">
        <v>80</v>
      </c>
      <c r="N74" s="16" t="s">
        <v>81</v>
      </c>
      <c r="O74" s="16" t="s">
        <v>82</v>
      </c>
      <c r="P74" s="16" t="s">
        <v>83</v>
      </c>
      <c r="Q74" s="16" t="s">
        <v>84</v>
      </c>
      <c r="R74" s="151" t="s">
        <v>85</v>
      </c>
      <c r="S74" s="16" t="s">
        <v>86</v>
      </c>
      <c r="T74" s="16" t="s">
        <v>87</v>
      </c>
      <c r="U74" s="16" t="s">
        <v>88</v>
      </c>
      <c r="V74" s="16" t="s">
        <v>89</v>
      </c>
      <c r="W74" s="151" t="s">
        <v>90</v>
      </c>
      <c r="Y74" s="150" t="s">
        <v>323</v>
      </c>
      <c r="Z74" s="151" t="s">
        <v>24</v>
      </c>
      <c r="AA74" s="151" t="s">
        <v>25</v>
      </c>
      <c r="AB74" s="151" t="s">
        <v>26</v>
      </c>
      <c r="AC74" s="151" t="s">
        <v>27</v>
      </c>
      <c r="AD74" s="16" t="s">
        <v>28</v>
      </c>
      <c r="AE74" s="151">
        <v>45</v>
      </c>
      <c r="AF74" s="151">
        <v>50</v>
      </c>
      <c r="AG74" s="151">
        <v>60</v>
      </c>
      <c r="AH74" s="151">
        <v>70</v>
      </c>
      <c r="AI74" s="151">
        <v>80</v>
      </c>
      <c r="AJ74" s="152" t="s">
        <v>79</v>
      </c>
      <c r="AK74" s="151">
        <v>100</v>
      </c>
      <c r="AL74" s="16">
        <v>110</v>
      </c>
      <c r="AM74" s="16">
        <v>120</v>
      </c>
      <c r="AN74" s="16">
        <v>130</v>
      </c>
      <c r="AO74" s="16">
        <v>140</v>
      </c>
      <c r="AP74" s="151">
        <v>150</v>
      </c>
      <c r="AQ74" s="16">
        <v>160</v>
      </c>
      <c r="AR74" s="16">
        <v>170</v>
      </c>
      <c r="AS74" s="16">
        <v>180</v>
      </c>
      <c r="AT74" s="16">
        <v>190</v>
      </c>
      <c r="AU74" s="153" t="s">
        <v>90</v>
      </c>
      <c r="AV74" s="154"/>
      <c r="AW74" s="154"/>
      <c r="AX74" s="154"/>
      <c r="AY74" s="154"/>
      <c r="AZ74" s="154"/>
      <c r="BA74" s="154"/>
      <c r="BB74" s="154"/>
      <c r="BC74" s="154"/>
      <c r="BD74" s="154"/>
      <c r="BE74" s="154"/>
      <c r="BF74" s="154"/>
      <c r="BG74" s="154"/>
      <c r="BH74" s="154"/>
      <c r="BI74" s="154"/>
      <c r="BJ74" s="154"/>
      <c r="BK74" s="154"/>
      <c r="BL74" s="154"/>
      <c r="BM74" s="154"/>
      <c r="BN74" s="154"/>
      <c r="BO74" s="154"/>
      <c r="BP74" s="154"/>
      <c r="BQ74" s="154"/>
      <c r="BR74" s="154"/>
      <c r="BS74" s="154"/>
      <c r="BT74" s="154"/>
      <c r="BU74" s="154"/>
    </row>
    <row r="75" spans="1:73" ht="15">
      <c r="A75" s="50" t="s">
        <v>46</v>
      </c>
      <c r="B75" s="155">
        <f t="array" ref="B75:W83">INT($Z$75:$AU$83*1.3)</f>
        <v>149</v>
      </c>
      <c r="C75" s="155">
        <v>149</v>
      </c>
      <c r="D75" s="155">
        <v>149</v>
      </c>
      <c r="E75" s="155">
        <v>149</v>
      </c>
      <c r="F75" s="155">
        <v>149</v>
      </c>
      <c r="G75" s="155">
        <v>144</v>
      </c>
      <c r="H75" s="155">
        <v>137</v>
      </c>
      <c r="I75" s="155">
        <v>126</v>
      </c>
      <c r="J75" s="155">
        <v>115</v>
      </c>
      <c r="K75" s="155">
        <v>104</v>
      </c>
      <c r="L75" s="155">
        <v>92</v>
      </c>
      <c r="M75" s="155">
        <v>91</v>
      </c>
      <c r="N75" s="155">
        <v>89</v>
      </c>
      <c r="O75" s="155">
        <v>88</v>
      </c>
      <c r="P75" s="155">
        <v>87</v>
      </c>
      <c r="Q75" s="156">
        <v>85</v>
      </c>
      <c r="R75" s="156">
        <v>84</v>
      </c>
      <c r="S75" s="156">
        <v>83</v>
      </c>
      <c r="T75" s="156">
        <v>81</v>
      </c>
      <c r="U75" s="156">
        <v>80</v>
      </c>
      <c r="V75" s="156">
        <v>79</v>
      </c>
      <c r="W75" s="156">
        <v>78</v>
      </c>
      <c r="Y75" s="157" t="s">
        <v>46</v>
      </c>
      <c r="Z75" s="158">
        <v>115</v>
      </c>
      <c r="AA75" s="158">
        <v>115</v>
      </c>
      <c r="AB75" s="158">
        <v>115</v>
      </c>
      <c r="AC75" s="158">
        <v>115</v>
      </c>
      <c r="AD75" s="158">
        <v>115</v>
      </c>
      <c r="AE75" s="159">
        <v>111</v>
      </c>
      <c r="AF75" s="159">
        <v>106</v>
      </c>
      <c r="AG75" s="159">
        <v>97</v>
      </c>
      <c r="AH75" s="159">
        <v>89</v>
      </c>
      <c r="AI75" s="159">
        <v>80</v>
      </c>
      <c r="AJ75" s="160">
        <v>71</v>
      </c>
      <c r="AK75" s="161">
        <v>70</v>
      </c>
      <c r="AL75" s="161">
        <v>69</v>
      </c>
      <c r="AM75" s="161">
        <v>68</v>
      </c>
      <c r="AN75" s="161">
        <v>67</v>
      </c>
      <c r="AO75" s="161">
        <v>66</v>
      </c>
      <c r="AP75" s="161">
        <v>65</v>
      </c>
      <c r="AQ75" s="161">
        <v>64</v>
      </c>
      <c r="AR75" s="161">
        <v>63</v>
      </c>
      <c r="AS75" s="161">
        <v>62</v>
      </c>
      <c r="AT75" s="161">
        <v>61</v>
      </c>
      <c r="AU75" s="162">
        <v>60</v>
      </c>
      <c r="AV75" s="134"/>
      <c r="AW75" s="163"/>
      <c r="AX75" s="134"/>
      <c r="AY75" s="134"/>
      <c r="AZ75" s="134"/>
      <c r="BA75" s="134"/>
      <c r="BB75" s="134"/>
      <c r="BC75" s="134"/>
      <c r="BD75" s="134"/>
      <c r="BE75" s="134"/>
      <c r="BF75" s="134"/>
      <c r="BG75" s="134"/>
      <c r="BH75" s="134"/>
      <c r="BI75" s="134"/>
      <c r="BJ75" s="134"/>
      <c r="BK75" s="134"/>
      <c r="BL75" s="134"/>
      <c r="BM75" s="134"/>
      <c r="BN75" s="134"/>
      <c r="BO75" s="134"/>
      <c r="BP75" s="134"/>
      <c r="BQ75" s="134"/>
      <c r="BR75" s="134"/>
      <c r="BS75" s="134"/>
      <c r="BT75" s="134"/>
      <c r="BU75" s="134"/>
    </row>
    <row r="76" spans="1:73" ht="15">
      <c r="A76" s="50" t="s">
        <v>49</v>
      </c>
      <c r="B76" s="155">
        <v>143</v>
      </c>
      <c r="C76" s="155">
        <v>143</v>
      </c>
      <c r="D76" s="155">
        <v>143</v>
      </c>
      <c r="E76" s="155">
        <v>143</v>
      </c>
      <c r="F76" s="155">
        <v>143</v>
      </c>
      <c r="G76" s="155">
        <v>137</v>
      </c>
      <c r="H76" s="155">
        <v>132</v>
      </c>
      <c r="I76" s="155">
        <v>120</v>
      </c>
      <c r="J76" s="155">
        <v>110</v>
      </c>
      <c r="K76" s="155">
        <v>100</v>
      </c>
      <c r="L76" s="155">
        <v>88</v>
      </c>
      <c r="M76" s="155">
        <v>87</v>
      </c>
      <c r="N76" s="155">
        <v>85</v>
      </c>
      <c r="O76" s="155">
        <v>84</v>
      </c>
      <c r="P76" s="155">
        <v>83</v>
      </c>
      <c r="Q76" s="155">
        <v>81</v>
      </c>
      <c r="R76" s="156">
        <v>80</v>
      </c>
      <c r="S76" s="156">
        <v>79</v>
      </c>
      <c r="T76" s="156">
        <v>79</v>
      </c>
      <c r="U76" s="156">
        <v>78</v>
      </c>
      <c r="V76" s="156">
        <v>76</v>
      </c>
      <c r="W76" s="156">
        <v>75</v>
      </c>
      <c r="Y76" s="157" t="s">
        <v>49</v>
      </c>
      <c r="Z76" s="158">
        <v>110</v>
      </c>
      <c r="AA76" s="158">
        <v>110</v>
      </c>
      <c r="AB76" s="158">
        <v>110</v>
      </c>
      <c r="AC76" s="158">
        <v>110</v>
      </c>
      <c r="AD76" s="158">
        <v>110</v>
      </c>
      <c r="AE76" s="159">
        <v>106</v>
      </c>
      <c r="AF76" s="159">
        <v>102</v>
      </c>
      <c r="AG76" s="159">
        <v>93</v>
      </c>
      <c r="AH76" s="159">
        <v>85</v>
      </c>
      <c r="AI76" s="159">
        <v>77</v>
      </c>
      <c r="AJ76" s="160">
        <v>68</v>
      </c>
      <c r="AK76" s="161">
        <v>67</v>
      </c>
      <c r="AL76" s="161">
        <v>66</v>
      </c>
      <c r="AM76" s="161">
        <v>65</v>
      </c>
      <c r="AN76" s="161">
        <v>64</v>
      </c>
      <c r="AO76" s="161">
        <v>63</v>
      </c>
      <c r="AP76" s="161">
        <v>62</v>
      </c>
      <c r="AQ76" s="161">
        <v>61</v>
      </c>
      <c r="AR76" s="161">
        <v>61</v>
      </c>
      <c r="AS76" s="161">
        <v>60</v>
      </c>
      <c r="AT76" s="161">
        <v>59</v>
      </c>
      <c r="AU76" s="162">
        <v>58</v>
      </c>
      <c r="AV76" s="134"/>
      <c r="AW76" s="163"/>
      <c r="AX76" s="134"/>
      <c r="AY76" s="134"/>
      <c r="AZ76" s="134"/>
      <c r="BA76" s="134"/>
      <c r="BB76" s="134"/>
      <c r="BC76" s="134"/>
      <c r="BD76" s="134"/>
      <c r="BE76" s="134"/>
      <c r="BF76" s="134"/>
      <c r="BG76" s="134"/>
      <c r="BH76" s="134"/>
      <c r="BI76" s="134"/>
      <c r="BJ76" s="134"/>
      <c r="BK76" s="134"/>
      <c r="BL76" s="134"/>
      <c r="BM76" s="134"/>
      <c r="BN76" s="134"/>
      <c r="BO76" s="134"/>
      <c r="BP76" s="134"/>
      <c r="BQ76" s="134"/>
      <c r="BR76" s="134"/>
      <c r="BS76" s="134"/>
      <c r="BT76" s="134"/>
      <c r="BU76" s="134"/>
    </row>
    <row r="77" spans="1:73" ht="15">
      <c r="A77" s="50" t="s">
        <v>324</v>
      </c>
      <c r="B77" s="164">
        <v>139</v>
      </c>
      <c r="C77" s="164">
        <v>139</v>
      </c>
      <c r="D77" s="164">
        <v>139</v>
      </c>
      <c r="E77" s="164">
        <v>139</v>
      </c>
      <c r="F77" s="164">
        <v>139</v>
      </c>
      <c r="G77" s="155">
        <v>133</v>
      </c>
      <c r="H77" s="155">
        <v>128</v>
      </c>
      <c r="I77" s="155">
        <v>118</v>
      </c>
      <c r="J77" s="155">
        <v>106</v>
      </c>
      <c r="K77" s="155">
        <v>96</v>
      </c>
      <c r="L77" s="155">
        <v>85</v>
      </c>
      <c r="M77" s="155">
        <v>84</v>
      </c>
      <c r="N77" s="155">
        <v>83</v>
      </c>
      <c r="O77" s="155">
        <v>81</v>
      </c>
      <c r="P77" s="155">
        <v>80</v>
      </c>
      <c r="Q77" s="155">
        <v>80</v>
      </c>
      <c r="R77" s="156">
        <v>79</v>
      </c>
      <c r="S77" s="156">
        <v>78</v>
      </c>
      <c r="T77" s="156">
        <v>76</v>
      </c>
      <c r="U77" s="156">
        <v>75</v>
      </c>
      <c r="V77" s="156">
        <v>74</v>
      </c>
      <c r="W77" s="156">
        <v>72</v>
      </c>
      <c r="Y77" s="157" t="s">
        <v>324</v>
      </c>
      <c r="Z77" s="158">
        <v>107</v>
      </c>
      <c r="AA77" s="158">
        <v>107</v>
      </c>
      <c r="AB77" s="158">
        <v>107</v>
      </c>
      <c r="AC77" s="158">
        <v>107</v>
      </c>
      <c r="AD77" s="158">
        <v>107</v>
      </c>
      <c r="AE77" s="159">
        <v>103</v>
      </c>
      <c r="AF77" s="159">
        <v>99</v>
      </c>
      <c r="AG77" s="159">
        <v>91</v>
      </c>
      <c r="AH77" s="159">
        <v>82</v>
      </c>
      <c r="AI77" s="159">
        <v>74</v>
      </c>
      <c r="AJ77" s="160">
        <v>66</v>
      </c>
      <c r="AK77" s="161">
        <v>65</v>
      </c>
      <c r="AL77" s="161">
        <v>64</v>
      </c>
      <c r="AM77" s="161">
        <v>63</v>
      </c>
      <c r="AN77" s="161">
        <v>62</v>
      </c>
      <c r="AO77" s="161">
        <v>62</v>
      </c>
      <c r="AP77" s="161">
        <v>61</v>
      </c>
      <c r="AQ77" s="161">
        <v>60</v>
      </c>
      <c r="AR77" s="161">
        <v>59</v>
      </c>
      <c r="AS77" s="161">
        <v>58</v>
      </c>
      <c r="AT77" s="161">
        <v>57</v>
      </c>
      <c r="AU77" s="162">
        <v>56</v>
      </c>
      <c r="AV77" s="134"/>
      <c r="AW77" s="163"/>
      <c r="AX77" s="134"/>
      <c r="AY77" s="134"/>
      <c r="AZ77" s="134"/>
      <c r="BA77" s="134"/>
      <c r="BB77" s="134"/>
      <c r="BC77" s="134"/>
      <c r="BD77" s="134"/>
      <c r="BE77" s="134"/>
      <c r="BF77" s="134"/>
      <c r="BG77" s="134"/>
      <c r="BH77" s="134"/>
      <c r="BI77" s="134"/>
      <c r="BJ77" s="134"/>
      <c r="BK77" s="134"/>
      <c r="BL77" s="134"/>
      <c r="BM77" s="134"/>
      <c r="BN77" s="134"/>
      <c r="BO77" s="134"/>
      <c r="BP77" s="134"/>
      <c r="BQ77" s="134"/>
      <c r="BR77" s="134"/>
      <c r="BS77" s="134"/>
      <c r="BT77" s="134"/>
      <c r="BU77" s="134"/>
    </row>
    <row r="78" spans="1:73" ht="12.75">
      <c r="A78" s="165" t="s">
        <v>325</v>
      </c>
      <c r="B78" s="155">
        <v>136</v>
      </c>
      <c r="C78" s="155">
        <v>136</v>
      </c>
      <c r="D78" s="155">
        <v>136</v>
      </c>
      <c r="E78" s="155">
        <v>136</v>
      </c>
      <c r="F78" s="155">
        <v>136</v>
      </c>
      <c r="G78" s="155">
        <v>131</v>
      </c>
      <c r="H78" s="155">
        <v>126</v>
      </c>
      <c r="I78" s="155">
        <v>115</v>
      </c>
      <c r="J78" s="155">
        <v>105</v>
      </c>
      <c r="K78" s="155">
        <v>94</v>
      </c>
      <c r="L78" s="155">
        <v>84</v>
      </c>
      <c r="M78" s="155">
        <v>83</v>
      </c>
      <c r="N78" s="155">
        <v>81</v>
      </c>
      <c r="O78" s="155">
        <v>80</v>
      </c>
      <c r="P78" s="155">
        <v>79</v>
      </c>
      <c r="Q78" s="155">
        <v>78</v>
      </c>
      <c r="R78" s="156">
        <v>76</v>
      </c>
      <c r="S78" s="156">
        <v>76</v>
      </c>
      <c r="T78" s="156">
        <v>75</v>
      </c>
      <c r="U78" s="156">
        <v>74</v>
      </c>
      <c r="V78" s="156">
        <v>72</v>
      </c>
      <c r="W78" s="156">
        <v>71</v>
      </c>
      <c r="Y78" s="166" t="s">
        <v>325</v>
      </c>
      <c r="Z78" s="158">
        <v>105</v>
      </c>
      <c r="AA78" s="158">
        <v>105</v>
      </c>
      <c r="AB78" s="158">
        <v>105</v>
      </c>
      <c r="AC78" s="158">
        <v>105</v>
      </c>
      <c r="AD78" s="158">
        <v>105</v>
      </c>
      <c r="AE78" s="159">
        <v>101</v>
      </c>
      <c r="AF78" s="159">
        <v>97</v>
      </c>
      <c r="AG78" s="159">
        <v>89</v>
      </c>
      <c r="AH78" s="159">
        <v>81</v>
      </c>
      <c r="AI78" s="159">
        <v>73</v>
      </c>
      <c r="AJ78" s="160">
        <v>65</v>
      </c>
      <c r="AK78" s="161">
        <v>64</v>
      </c>
      <c r="AL78" s="161">
        <v>63</v>
      </c>
      <c r="AM78" s="161">
        <v>62</v>
      </c>
      <c r="AN78" s="161">
        <v>61</v>
      </c>
      <c r="AO78" s="161">
        <v>60</v>
      </c>
      <c r="AP78" s="161">
        <v>59</v>
      </c>
      <c r="AQ78" s="161">
        <v>59</v>
      </c>
      <c r="AR78" s="161">
        <v>58</v>
      </c>
      <c r="AS78" s="161">
        <v>57</v>
      </c>
      <c r="AT78" s="161">
        <v>56</v>
      </c>
      <c r="AU78" s="162">
        <v>55</v>
      </c>
      <c r="AV78" s="134"/>
      <c r="AW78" s="163"/>
      <c r="AX78" s="167"/>
      <c r="AY78" s="168"/>
      <c r="AZ78" s="134"/>
      <c r="BA78" s="134"/>
      <c r="BB78" s="134"/>
      <c r="BC78" s="134"/>
      <c r="BD78" s="134"/>
      <c r="BE78" s="134"/>
      <c r="BF78" s="134"/>
      <c r="BG78" s="134"/>
      <c r="BH78" s="134"/>
      <c r="BI78" s="134"/>
      <c r="BJ78" s="134"/>
      <c r="BK78" s="134"/>
      <c r="BL78" s="134"/>
      <c r="BM78" s="134"/>
      <c r="BN78" s="134"/>
      <c r="BO78" s="134"/>
      <c r="BP78" s="134"/>
      <c r="BQ78" s="134"/>
      <c r="BR78" s="134"/>
      <c r="BS78" s="134"/>
      <c r="BT78" s="134"/>
      <c r="BU78" s="134"/>
    </row>
    <row r="79" spans="1:73" ht="15">
      <c r="A79" s="8" t="s">
        <v>58</v>
      </c>
      <c r="B79" s="155">
        <v>133</v>
      </c>
      <c r="C79" s="155">
        <v>133</v>
      </c>
      <c r="D79" s="155">
        <v>133</v>
      </c>
      <c r="E79" s="155">
        <v>133</v>
      </c>
      <c r="F79" s="155">
        <v>133</v>
      </c>
      <c r="G79" s="155">
        <v>128</v>
      </c>
      <c r="H79" s="155">
        <v>123</v>
      </c>
      <c r="I79" s="155">
        <v>113</v>
      </c>
      <c r="J79" s="155">
        <v>102</v>
      </c>
      <c r="K79" s="155">
        <v>93</v>
      </c>
      <c r="L79" s="155">
        <v>83</v>
      </c>
      <c r="M79" s="155">
        <v>81</v>
      </c>
      <c r="N79" s="155">
        <v>80</v>
      </c>
      <c r="O79" s="155">
        <v>79</v>
      </c>
      <c r="P79" s="155">
        <v>78</v>
      </c>
      <c r="Q79" s="156">
        <v>76</v>
      </c>
      <c r="R79" s="156">
        <v>75</v>
      </c>
      <c r="S79" s="156">
        <v>75</v>
      </c>
      <c r="T79" s="156">
        <v>74</v>
      </c>
      <c r="U79" s="156">
        <v>72</v>
      </c>
      <c r="V79" s="156">
        <v>71</v>
      </c>
      <c r="W79" s="156">
        <v>70</v>
      </c>
      <c r="Y79" s="169" t="s">
        <v>58</v>
      </c>
      <c r="Z79" s="158">
        <v>103</v>
      </c>
      <c r="AA79" s="158">
        <v>103</v>
      </c>
      <c r="AB79" s="158">
        <v>103</v>
      </c>
      <c r="AC79" s="158">
        <v>103</v>
      </c>
      <c r="AD79" s="158">
        <v>103</v>
      </c>
      <c r="AE79" s="159">
        <v>99</v>
      </c>
      <c r="AF79" s="159">
        <v>95</v>
      </c>
      <c r="AG79" s="159">
        <v>87</v>
      </c>
      <c r="AH79" s="159">
        <v>79</v>
      </c>
      <c r="AI79" s="159">
        <v>72</v>
      </c>
      <c r="AJ79" s="160">
        <v>64</v>
      </c>
      <c r="AK79" s="161">
        <v>63</v>
      </c>
      <c r="AL79" s="161">
        <v>62</v>
      </c>
      <c r="AM79" s="161">
        <v>61</v>
      </c>
      <c r="AN79" s="161">
        <v>60</v>
      </c>
      <c r="AO79" s="161">
        <v>59</v>
      </c>
      <c r="AP79" s="161">
        <v>58</v>
      </c>
      <c r="AQ79" s="161">
        <v>58</v>
      </c>
      <c r="AR79" s="161">
        <v>57</v>
      </c>
      <c r="AS79" s="161">
        <v>56</v>
      </c>
      <c r="AT79" s="161">
        <v>55</v>
      </c>
      <c r="AU79" s="162">
        <v>54</v>
      </c>
      <c r="AV79" s="134"/>
      <c r="AW79" s="163"/>
      <c r="AX79" s="134"/>
      <c r="AY79" s="134"/>
      <c r="AZ79" s="134"/>
      <c r="BA79" s="134"/>
      <c r="BB79" s="134"/>
      <c r="BC79" s="134"/>
      <c r="BD79" s="134"/>
      <c r="BE79" s="134"/>
      <c r="BF79" s="134"/>
      <c r="BG79" s="134"/>
      <c r="BH79" s="134"/>
      <c r="BI79" s="134"/>
      <c r="BJ79" s="134"/>
      <c r="BK79" s="134"/>
      <c r="BL79" s="134"/>
      <c r="BM79" s="134"/>
      <c r="BN79" s="134"/>
      <c r="BO79" s="134"/>
      <c r="BP79" s="134"/>
      <c r="BQ79" s="134"/>
      <c r="BR79" s="134"/>
      <c r="BS79" s="134"/>
      <c r="BT79" s="134"/>
      <c r="BU79" s="134"/>
    </row>
    <row r="80" spans="1:73" ht="15">
      <c r="A80" s="52" t="s">
        <v>61</v>
      </c>
      <c r="B80" s="155">
        <v>132</v>
      </c>
      <c r="C80" s="155">
        <v>132</v>
      </c>
      <c r="D80" s="155">
        <v>132</v>
      </c>
      <c r="E80" s="155">
        <v>132</v>
      </c>
      <c r="F80" s="155">
        <v>132</v>
      </c>
      <c r="G80" s="155">
        <v>127</v>
      </c>
      <c r="H80" s="155">
        <v>122</v>
      </c>
      <c r="I80" s="155">
        <v>111</v>
      </c>
      <c r="J80" s="155">
        <v>102</v>
      </c>
      <c r="K80" s="155">
        <v>92</v>
      </c>
      <c r="L80" s="155">
        <v>81</v>
      </c>
      <c r="M80" s="155">
        <v>80</v>
      </c>
      <c r="N80" s="155">
        <v>79</v>
      </c>
      <c r="O80" s="155">
        <v>78</v>
      </c>
      <c r="P80" s="155">
        <v>76</v>
      </c>
      <c r="Q80" s="156">
        <v>76</v>
      </c>
      <c r="R80" s="156">
        <v>75</v>
      </c>
      <c r="S80" s="156">
        <v>74</v>
      </c>
      <c r="T80" s="156">
        <v>72</v>
      </c>
      <c r="U80" s="156">
        <v>71</v>
      </c>
      <c r="V80" s="156">
        <v>70</v>
      </c>
      <c r="W80" s="156">
        <v>70</v>
      </c>
      <c r="Y80" s="170" t="s">
        <v>61</v>
      </c>
      <c r="Z80" s="158">
        <v>102</v>
      </c>
      <c r="AA80" s="158">
        <v>102</v>
      </c>
      <c r="AB80" s="158">
        <v>102</v>
      </c>
      <c r="AC80" s="158">
        <v>102</v>
      </c>
      <c r="AD80" s="158">
        <v>102</v>
      </c>
      <c r="AE80" s="159">
        <v>98</v>
      </c>
      <c r="AF80" s="159">
        <v>94</v>
      </c>
      <c r="AG80" s="159">
        <v>86</v>
      </c>
      <c r="AH80" s="159">
        <v>79</v>
      </c>
      <c r="AI80" s="159">
        <v>71</v>
      </c>
      <c r="AJ80" s="160">
        <v>63</v>
      </c>
      <c r="AK80" s="161">
        <v>62</v>
      </c>
      <c r="AL80" s="161">
        <v>61</v>
      </c>
      <c r="AM80" s="161">
        <v>60</v>
      </c>
      <c r="AN80" s="161">
        <v>59</v>
      </c>
      <c r="AO80" s="161">
        <v>59</v>
      </c>
      <c r="AP80" s="161">
        <v>58</v>
      </c>
      <c r="AQ80" s="161">
        <v>57</v>
      </c>
      <c r="AR80" s="161">
        <v>56</v>
      </c>
      <c r="AS80" s="161">
        <v>55</v>
      </c>
      <c r="AT80" s="161">
        <v>54</v>
      </c>
      <c r="AU80" s="162">
        <v>54</v>
      </c>
      <c r="AV80" s="134"/>
      <c r="AW80" s="163"/>
      <c r="AX80" s="134"/>
      <c r="AY80" s="134"/>
      <c r="AZ80" s="134"/>
      <c r="BA80" s="134"/>
      <c r="BB80" s="134"/>
      <c r="BC80" s="134"/>
      <c r="BD80" s="134"/>
      <c r="BE80" s="134"/>
      <c r="BF80" s="134"/>
      <c r="BG80" s="134"/>
      <c r="BH80" s="134"/>
      <c r="BI80" s="134"/>
      <c r="BJ80" s="134"/>
      <c r="BK80" s="134"/>
      <c r="BL80" s="134"/>
      <c r="BM80" s="134"/>
      <c r="BN80" s="134"/>
      <c r="BO80" s="134"/>
      <c r="BP80" s="134"/>
      <c r="BQ80" s="134"/>
      <c r="BR80" s="134"/>
      <c r="BS80" s="134"/>
      <c r="BT80" s="134"/>
      <c r="BU80" s="134"/>
    </row>
    <row r="81" spans="1:73" ht="15">
      <c r="A81" s="50" t="s">
        <v>326</v>
      </c>
      <c r="B81" s="155">
        <v>130</v>
      </c>
      <c r="C81" s="155">
        <v>130</v>
      </c>
      <c r="D81" s="155">
        <v>130</v>
      </c>
      <c r="E81" s="155">
        <v>130</v>
      </c>
      <c r="F81" s="155">
        <v>130</v>
      </c>
      <c r="G81" s="155">
        <v>124</v>
      </c>
      <c r="H81" s="155">
        <v>119</v>
      </c>
      <c r="I81" s="155">
        <v>110</v>
      </c>
      <c r="J81" s="155">
        <v>100</v>
      </c>
      <c r="K81" s="155">
        <v>89</v>
      </c>
      <c r="L81" s="155">
        <v>80</v>
      </c>
      <c r="M81" s="155">
        <v>79</v>
      </c>
      <c r="N81" s="155">
        <v>78</v>
      </c>
      <c r="O81" s="155">
        <v>76</v>
      </c>
      <c r="P81" s="155">
        <v>75</v>
      </c>
      <c r="Q81" s="156">
        <v>74</v>
      </c>
      <c r="R81" s="156">
        <v>74</v>
      </c>
      <c r="S81" s="156">
        <v>72</v>
      </c>
      <c r="T81" s="156">
        <v>71</v>
      </c>
      <c r="U81" s="156">
        <v>70</v>
      </c>
      <c r="V81" s="156">
        <v>68</v>
      </c>
      <c r="W81" s="156">
        <v>68</v>
      </c>
      <c r="Y81" s="157" t="s">
        <v>326</v>
      </c>
      <c r="Z81" s="158">
        <v>100</v>
      </c>
      <c r="AA81" s="158">
        <v>100</v>
      </c>
      <c r="AB81" s="158">
        <v>100</v>
      </c>
      <c r="AC81" s="158">
        <v>100</v>
      </c>
      <c r="AD81" s="158">
        <v>100</v>
      </c>
      <c r="AE81" s="159">
        <v>96</v>
      </c>
      <c r="AF81" s="159">
        <v>92</v>
      </c>
      <c r="AG81" s="159">
        <v>85</v>
      </c>
      <c r="AH81" s="159">
        <v>77</v>
      </c>
      <c r="AI81" s="159">
        <v>69</v>
      </c>
      <c r="AJ81" s="160">
        <v>62</v>
      </c>
      <c r="AK81" s="161">
        <v>61</v>
      </c>
      <c r="AL81" s="161">
        <v>60</v>
      </c>
      <c r="AM81" s="161">
        <v>59</v>
      </c>
      <c r="AN81" s="161">
        <v>58</v>
      </c>
      <c r="AO81" s="161">
        <v>57</v>
      </c>
      <c r="AP81" s="161">
        <v>57</v>
      </c>
      <c r="AQ81" s="161">
        <v>56</v>
      </c>
      <c r="AR81" s="161">
        <v>55</v>
      </c>
      <c r="AS81" s="161">
        <v>54</v>
      </c>
      <c r="AT81" s="161">
        <v>53</v>
      </c>
      <c r="AU81" s="162">
        <v>53</v>
      </c>
      <c r="AV81" s="134"/>
      <c r="AW81" s="163"/>
      <c r="AX81" s="134"/>
      <c r="AY81" s="134"/>
      <c r="AZ81" s="134"/>
      <c r="BA81" s="134"/>
      <c r="BB81" s="134"/>
      <c r="BC81" s="134"/>
      <c r="BD81" s="134"/>
      <c r="BE81" s="134"/>
      <c r="BF81" s="134"/>
      <c r="BG81" s="134"/>
      <c r="BH81" s="134"/>
      <c r="BI81" s="134"/>
      <c r="BJ81" s="134"/>
      <c r="BK81" s="134"/>
      <c r="BL81" s="134"/>
      <c r="BM81" s="134"/>
      <c r="BN81" s="134"/>
      <c r="BO81" s="134"/>
      <c r="BP81" s="134"/>
      <c r="BQ81" s="134"/>
      <c r="BR81" s="134"/>
      <c r="BS81" s="134"/>
      <c r="BT81" s="134"/>
      <c r="BU81" s="134"/>
    </row>
    <row r="82" spans="1:73" ht="15">
      <c r="A82" s="50" t="s">
        <v>66</v>
      </c>
      <c r="B82" s="164">
        <v>128</v>
      </c>
      <c r="C82" s="164">
        <v>128</v>
      </c>
      <c r="D82" s="164">
        <v>128</v>
      </c>
      <c r="E82" s="164">
        <v>128</v>
      </c>
      <c r="F82" s="164">
        <v>128</v>
      </c>
      <c r="G82" s="155">
        <v>123</v>
      </c>
      <c r="H82" s="155">
        <v>118</v>
      </c>
      <c r="I82" s="155">
        <v>109</v>
      </c>
      <c r="J82" s="155">
        <v>98</v>
      </c>
      <c r="K82" s="155">
        <v>89</v>
      </c>
      <c r="L82" s="155">
        <v>79</v>
      </c>
      <c r="M82" s="155">
        <v>78</v>
      </c>
      <c r="N82" s="155">
        <v>76</v>
      </c>
      <c r="O82" s="155">
        <v>76</v>
      </c>
      <c r="P82" s="155">
        <v>75</v>
      </c>
      <c r="Q82" s="155">
        <v>74</v>
      </c>
      <c r="R82" s="155">
        <v>72</v>
      </c>
      <c r="S82" s="156">
        <v>71</v>
      </c>
      <c r="T82" s="156">
        <v>70</v>
      </c>
      <c r="U82" s="156">
        <v>70</v>
      </c>
      <c r="V82" s="156">
        <v>68</v>
      </c>
      <c r="W82" s="156">
        <v>67</v>
      </c>
      <c r="Y82" s="157" t="s">
        <v>66</v>
      </c>
      <c r="Z82" s="158">
        <v>99</v>
      </c>
      <c r="AA82" s="158">
        <v>99</v>
      </c>
      <c r="AB82" s="158">
        <v>99</v>
      </c>
      <c r="AC82" s="158">
        <v>99</v>
      </c>
      <c r="AD82" s="158">
        <v>99</v>
      </c>
      <c r="AE82" s="159">
        <v>95</v>
      </c>
      <c r="AF82" s="159">
        <v>91</v>
      </c>
      <c r="AG82" s="159">
        <v>84</v>
      </c>
      <c r="AH82" s="159">
        <v>76</v>
      </c>
      <c r="AI82" s="159">
        <v>69</v>
      </c>
      <c r="AJ82" s="160">
        <v>61</v>
      </c>
      <c r="AK82" s="161">
        <v>60</v>
      </c>
      <c r="AL82" s="161">
        <v>59</v>
      </c>
      <c r="AM82" s="161">
        <v>59</v>
      </c>
      <c r="AN82" s="161">
        <v>58</v>
      </c>
      <c r="AO82" s="161">
        <v>57</v>
      </c>
      <c r="AP82" s="161">
        <v>56</v>
      </c>
      <c r="AQ82" s="161">
        <v>55</v>
      </c>
      <c r="AR82" s="161">
        <v>54</v>
      </c>
      <c r="AS82" s="161">
        <v>54</v>
      </c>
      <c r="AT82" s="161">
        <v>53</v>
      </c>
      <c r="AU82" s="162">
        <v>52</v>
      </c>
      <c r="AW82" s="171"/>
    </row>
    <row r="83" spans="1:73" ht="12.75">
      <c r="A83" s="35" t="s">
        <v>327</v>
      </c>
      <c r="B83" s="155">
        <v>126</v>
      </c>
      <c r="C83" s="155">
        <v>126</v>
      </c>
      <c r="D83" s="155">
        <v>126</v>
      </c>
      <c r="E83" s="155">
        <v>126</v>
      </c>
      <c r="F83" s="155">
        <v>126</v>
      </c>
      <c r="G83" s="155">
        <v>120</v>
      </c>
      <c r="H83" s="155">
        <v>117</v>
      </c>
      <c r="I83" s="155">
        <v>106</v>
      </c>
      <c r="J83" s="155">
        <v>97</v>
      </c>
      <c r="K83" s="155">
        <v>88</v>
      </c>
      <c r="L83" s="155">
        <v>78</v>
      </c>
      <c r="M83" s="155">
        <v>76</v>
      </c>
      <c r="N83" s="155">
        <v>75</v>
      </c>
      <c r="O83" s="155">
        <v>74</v>
      </c>
      <c r="P83" s="155">
        <v>74</v>
      </c>
      <c r="Q83" s="155">
        <v>72</v>
      </c>
      <c r="R83" s="155">
        <v>71</v>
      </c>
      <c r="S83" s="155">
        <v>70</v>
      </c>
      <c r="T83" s="155">
        <v>68</v>
      </c>
      <c r="U83" s="155">
        <v>68</v>
      </c>
      <c r="V83" s="155">
        <v>67</v>
      </c>
      <c r="W83" s="155">
        <v>66</v>
      </c>
      <c r="Y83" s="172" t="s">
        <v>327</v>
      </c>
      <c r="Z83" s="158">
        <v>97</v>
      </c>
      <c r="AA83" s="158">
        <v>97</v>
      </c>
      <c r="AB83" s="158">
        <v>97</v>
      </c>
      <c r="AC83" s="158">
        <v>97</v>
      </c>
      <c r="AD83" s="158">
        <v>97</v>
      </c>
      <c r="AE83" s="159">
        <v>93</v>
      </c>
      <c r="AF83" s="159">
        <v>90</v>
      </c>
      <c r="AG83" s="159">
        <v>82</v>
      </c>
      <c r="AH83" s="159">
        <v>75</v>
      </c>
      <c r="AI83" s="159">
        <v>68</v>
      </c>
      <c r="AJ83" s="160">
        <v>60</v>
      </c>
      <c r="AK83" s="161">
        <v>59</v>
      </c>
      <c r="AL83" s="161">
        <v>58</v>
      </c>
      <c r="AM83" s="161">
        <v>57</v>
      </c>
      <c r="AN83" s="161">
        <v>57</v>
      </c>
      <c r="AO83" s="161">
        <v>56</v>
      </c>
      <c r="AP83" s="161">
        <v>55</v>
      </c>
      <c r="AQ83" s="161">
        <v>54</v>
      </c>
      <c r="AR83" s="161">
        <v>53</v>
      </c>
      <c r="AS83" s="161">
        <v>53</v>
      </c>
      <c r="AT83" s="161">
        <v>52</v>
      </c>
      <c r="AU83" s="162">
        <v>51</v>
      </c>
      <c r="AV83" s="134"/>
      <c r="AW83" s="163"/>
      <c r="AX83" s="134"/>
      <c r="AY83" s="134"/>
      <c r="AZ83" s="134"/>
      <c r="BA83" s="134"/>
      <c r="BB83" s="134"/>
      <c r="BC83" s="134"/>
      <c r="BD83" s="134"/>
      <c r="BE83" s="134"/>
      <c r="BF83" s="134"/>
      <c r="BG83" s="134"/>
      <c r="BH83" s="134"/>
      <c r="BI83" s="134"/>
      <c r="BJ83" s="134"/>
      <c r="BK83" s="134"/>
      <c r="BL83" s="134"/>
      <c r="BM83" s="134"/>
      <c r="BN83" s="134"/>
      <c r="BO83" s="134"/>
      <c r="BP83" s="134"/>
      <c r="BQ83" s="134"/>
      <c r="BR83" s="134"/>
      <c r="BS83" s="134"/>
      <c r="BT83" s="134"/>
      <c r="BU83" s="134"/>
    </row>
    <row r="84" spans="1:73" ht="15">
      <c r="A84" s="150" t="s">
        <v>328</v>
      </c>
      <c r="B84" s="151" t="s">
        <v>24</v>
      </c>
      <c r="C84" s="151" t="s">
        <v>25</v>
      </c>
      <c r="D84" s="151" t="s">
        <v>26</v>
      </c>
      <c r="E84" s="151" t="s">
        <v>27</v>
      </c>
      <c r="F84" s="151" t="s">
        <v>28</v>
      </c>
      <c r="G84" s="151" t="s">
        <v>74</v>
      </c>
      <c r="H84" s="151" t="s">
        <v>75</v>
      </c>
      <c r="I84" s="151" t="s">
        <v>76</v>
      </c>
      <c r="J84" s="151" t="s">
        <v>77</v>
      </c>
      <c r="K84" s="151" t="s">
        <v>78</v>
      </c>
      <c r="L84" s="151" t="s">
        <v>79</v>
      </c>
      <c r="M84" s="151" t="s">
        <v>80</v>
      </c>
      <c r="N84" s="16" t="s">
        <v>81</v>
      </c>
      <c r="O84" s="16" t="s">
        <v>82</v>
      </c>
      <c r="P84" s="16" t="s">
        <v>83</v>
      </c>
      <c r="Q84" s="16" t="s">
        <v>84</v>
      </c>
      <c r="R84" s="151" t="s">
        <v>85</v>
      </c>
      <c r="S84" s="16" t="s">
        <v>86</v>
      </c>
      <c r="T84" s="16" t="s">
        <v>87</v>
      </c>
      <c r="U84" s="16" t="s">
        <v>88</v>
      </c>
      <c r="V84" s="16" t="s">
        <v>89</v>
      </c>
      <c r="W84" s="151" t="s">
        <v>90</v>
      </c>
      <c r="Y84" s="173" t="s">
        <v>328</v>
      </c>
      <c r="Z84" s="151" t="s">
        <v>24</v>
      </c>
      <c r="AA84" s="151" t="s">
        <v>25</v>
      </c>
      <c r="AB84" s="151" t="s">
        <v>26</v>
      </c>
      <c r="AC84" s="151" t="s">
        <v>27</v>
      </c>
      <c r="AD84" s="16" t="s">
        <v>28</v>
      </c>
      <c r="AE84" s="151">
        <v>45</v>
      </c>
      <c r="AF84" s="151">
        <v>50</v>
      </c>
      <c r="AG84" s="151">
        <v>60</v>
      </c>
      <c r="AH84" s="152">
        <v>70</v>
      </c>
      <c r="AI84" s="151">
        <v>80</v>
      </c>
      <c r="AJ84" s="152" t="s">
        <v>79</v>
      </c>
      <c r="AK84" s="151">
        <v>100</v>
      </c>
      <c r="AL84" s="16">
        <v>110</v>
      </c>
      <c r="AM84" s="16">
        <v>120</v>
      </c>
      <c r="AN84" s="16">
        <v>130</v>
      </c>
      <c r="AO84" s="16">
        <v>140</v>
      </c>
      <c r="AP84" s="151">
        <v>150</v>
      </c>
      <c r="AQ84" s="16">
        <v>160</v>
      </c>
      <c r="AR84" s="16">
        <v>170</v>
      </c>
      <c r="AS84" s="16">
        <v>180</v>
      </c>
      <c r="AT84" s="16">
        <v>190</v>
      </c>
      <c r="AU84" s="16" t="s">
        <v>90</v>
      </c>
      <c r="AW84" s="134"/>
      <c r="AX84" s="134"/>
      <c r="AY84" s="134"/>
      <c r="AZ84" s="134"/>
      <c r="BA84" s="134"/>
      <c r="BB84" s="134"/>
      <c r="BC84" s="134"/>
      <c r="BD84" s="134"/>
      <c r="BE84" s="134"/>
      <c r="BF84" s="134"/>
      <c r="BG84" s="134"/>
      <c r="BH84" s="134"/>
      <c r="BI84" s="134"/>
      <c r="BJ84" s="134"/>
      <c r="BK84" s="134"/>
      <c r="BL84" s="134"/>
      <c r="BM84" s="134"/>
      <c r="BN84" s="134"/>
      <c r="BO84" s="134"/>
      <c r="BP84" s="134"/>
      <c r="BQ84" s="134"/>
      <c r="BR84" s="134"/>
      <c r="BS84" s="134"/>
      <c r="BT84" s="134"/>
      <c r="BU84" s="134"/>
    </row>
    <row r="85" spans="1:73" ht="15">
      <c r="A85" s="50" t="s">
        <v>329</v>
      </c>
      <c r="B85" s="155">
        <f t="array" ref="B85:W88">INT($Z$85:$AU$88*1.3)</f>
        <v>149</v>
      </c>
      <c r="C85" s="155">
        <v>149</v>
      </c>
      <c r="D85" s="155">
        <v>149</v>
      </c>
      <c r="E85" s="155">
        <v>149</v>
      </c>
      <c r="F85" s="155">
        <v>149</v>
      </c>
      <c r="G85" s="155">
        <v>139</v>
      </c>
      <c r="H85" s="155">
        <v>130</v>
      </c>
      <c r="I85" s="155">
        <v>107</v>
      </c>
      <c r="J85" s="155">
        <v>88</v>
      </c>
      <c r="K85" s="155">
        <v>79</v>
      </c>
      <c r="L85" s="155">
        <v>71</v>
      </c>
      <c r="M85" s="155">
        <v>71</v>
      </c>
      <c r="N85" s="155">
        <v>71</v>
      </c>
      <c r="O85" s="155">
        <v>71</v>
      </c>
      <c r="P85" s="155">
        <v>71</v>
      </c>
      <c r="Q85" s="155">
        <v>71</v>
      </c>
      <c r="R85" s="155">
        <v>71</v>
      </c>
      <c r="S85" s="155">
        <v>71</v>
      </c>
      <c r="T85" s="155">
        <v>71</v>
      </c>
      <c r="U85" s="155">
        <v>71</v>
      </c>
      <c r="V85" s="155">
        <v>71</v>
      </c>
      <c r="W85" s="155">
        <v>71</v>
      </c>
      <c r="Y85" s="174" t="s">
        <v>329</v>
      </c>
      <c r="Z85" s="158">
        <v>115</v>
      </c>
      <c r="AA85" s="158">
        <v>115</v>
      </c>
      <c r="AB85" s="158">
        <v>115</v>
      </c>
      <c r="AC85" s="158">
        <v>115</v>
      </c>
      <c r="AD85" s="158">
        <v>115</v>
      </c>
      <c r="AE85" s="159">
        <v>107</v>
      </c>
      <c r="AF85" s="159">
        <v>100</v>
      </c>
      <c r="AG85" s="159">
        <v>83</v>
      </c>
      <c r="AH85" s="160">
        <v>68</v>
      </c>
      <c r="AI85" s="161">
        <v>61</v>
      </c>
      <c r="AJ85" s="162">
        <v>55</v>
      </c>
      <c r="AK85" s="162">
        <v>55</v>
      </c>
      <c r="AL85" s="162">
        <v>55</v>
      </c>
      <c r="AM85" s="162">
        <v>55</v>
      </c>
      <c r="AN85" s="162">
        <v>55</v>
      </c>
      <c r="AO85" s="162">
        <v>55</v>
      </c>
      <c r="AP85" s="162">
        <v>55</v>
      </c>
      <c r="AQ85" s="162">
        <v>55</v>
      </c>
      <c r="AR85" s="162">
        <v>55</v>
      </c>
      <c r="AS85" s="162">
        <v>55</v>
      </c>
      <c r="AT85" s="162">
        <v>55</v>
      </c>
      <c r="AU85" s="162">
        <v>55</v>
      </c>
      <c r="AW85" s="154"/>
      <c r="AX85" s="154"/>
      <c r="AY85" s="154"/>
      <c r="AZ85" s="154"/>
      <c r="BA85" s="154"/>
      <c r="BB85" s="154"/>
      <c r="BC85" s="154"/>
      <c r="BD85" s="154"/>
      <c r="BE85" s="154"/>
      <c r="BF85" s="154"/>
      <c r="BG85" s="154"/>
      <c r="BH85" s="154"/>
      <c r="BI85" s="154"/>
      <c r="BJ85" s="154"/>
      <c r="BK85" s="154"/>
      <c r="BL85" s="154"/>
      <c r="BM85" s="154"/>
      <c r="BN85" s="154"/>
      <c r="BO85" s="154"/>
      <c r="BP85" s="154"/>
      <c r="BQ85" s="154"/>
      <c r="BR85" s="154"/>
      <c r="BS85" s="154"/>
      <c r="BT85" s="154"/>
      <c r="BU85" s="154"/>
    </row>
    <row r="86" spans="1:73" ht="15">
      <c r="A86" s="50" t="s">
        <v>330</v>
      </c>
      <c r="B86" s="164">
        <v>126</v>
      </c>
      <c r="C86" s="155">
        <v>126</v>
      </c>
      <c r="D86" s="155">
        <v>126</v>
      </c>
      <c r="E86" s="155">
        <v>126</v>
      </c>
      <c r="F86" s="155">
        <v>126</v>
      </c>
      <c r="G86" s="155">
        <v>118</v>
      </c>
      <c r="H86" s="155">
        <v>109</v>
      </c>
      <c r="I86" s="155">
        <v>92</v>
      </c>
      <c r="J86" s="155">
        <v>74</v>
      </c>
      <c r="K86" s="155">
        <v>67</v>
      </c>
      <c r="L86" s="155">
        <v>59</v>
      </c>
      <c r="M86" s="155">
        <v>59</v>
      </c>
      <c r="N86" s="155">
        <v>59</v>
      </c>
      <c r="O86" s="155">
        <v>59</v>
      </c>
      <c r="P86" s="155">
        <v>59</v>
      </c>
      <c r="Q86" s="155">
        <v>59</v>
      </c>
      <c r="R86" s="155">
        <v>59</v>
      </c>
      <c r="S86" s="155">
        <v>59</v>
      </c>
      <c r="T86" s="155">
        <v>59</v>
      </c>
      <c r="U86" s="155">
        <v>59</v>
      </c>
      <c r="V86" s="155">
        <v>59</v>
      </c>
      <c r="W86" s="155">
        <v>59</v>
      </c>
      <c r="Y86" s="174" t="s">
        <v>330</v>
      </c>
      <c r="Z86" s="158">
        <v>97</v>
      </c>
      <c r="AA86" s="158">
        <v>97</v>
      </c>
      <c r="AB86" s="158">
        <v>97</v>
      </c>
      <c r="AC86" s="158">
        <v>97</v>
      </c>
      <c r="AD86" s="158">
        <v>97</v>
      </c>
      <c r="AE86" s="159">
        <v>91</v>
      </c>
      <c r="AF86" s="159">
        <v>84</v>
      </c>
      <c r="AG86" s="159">
        <v>71</v>
      </c>
      <c r="AH86" s="160">
        <v>57</v>
      </c>
      <c r="AI86" s="161">
        <v>52</v>
      </c>
      <c r="AJ86" s="162">
        <v>46</v>
      </c>
      <c r="AK86" s="162">
        <v>46</v>
      </c>
      <c r="AL86" s="162">
        <v>46</v>
      </c>
      <c r="AM86" s="162">
        <v>46</v>
      </c>
      <c r="AN86" s="162">
        <v>46</v>
      </c>
      <c r="AO86" s="162">
        <v>46</v>
      </c>
      <c r="AP86" s="162">
        <v>46</v>
      </c>
      <c r="AQ86" s="162">
        <v>46</v>
      </c>
      <c r="AR86" s="162">
        <v>46</v>
      </c>
      <c r="AS86" s="162">
        <v>46</v>
      </c>
      <c r="AT86" s="162">
        <v>46</v>
      </c>
      <c r="AU86" s="162">
        <v>46</v>
      </c>
      <c r="AW86" s="113"/>
      <c r="AX86" s="113"/>
      <c r="AY86" s="113"/>
      <c r="AZ86" s="113"/>
      <c r="BA86" s="113"/>
      <c r="BB86" s="113"/>
      <c r="BC86" s="113"/>
      <c r="BD86" s="113"/>
      <c r="BE86" s="113"/>
      <c r="BF86" s="113"/>
      <c r="BG86" s="113"/>
      <c r="BH86" s="113"/>
      <c r="BI86" s="113"/>
      <c r="BJ86" s="113"/>
      <c r="BK86" s="113"/>
      <c r="BL86" s="113"/>
      <c r="BM86" s="113"/>
      <c r="BN86" s="113"/>
      <c r="BO86" s="113"/>
      <c r="BP86" s="113"/>
      <c r="BQ86" s="113"/>
      <c r="BR86" s="113"/>
      <c r="BS86" s="113"/>
      <c r="BT86" s="113"/>
      <c r="BU86" s="113"/>
    </row>
    <row r="87" spans="1:73" ht="15">
      <c r="A87" s="175" t="s">
        <v>331</v>
      </c>
      <c r="B87" s="164">
        <v>123</v>
      </c>
      <c r="C87" s="155">
        <v>123</v>
      </c>
      <c r="D87" s="155">
        <v>123</v>
      </c>
      <c r="E87" s="155">
        <v>123</v>
      </c>
      <c r="F87" s="155">
        <v>123</v>
      </c>
      <c r="G87" s="155">
        <v>115</v>
      </c>
      <c r="H87" s="155">
        <v>106</v>
      </c>
      <c r="I87" s="155">
        <v>89</v>
      </c>
      <c r="J87" s="155">
        <v>72</v>
      </c>
      <c r="K87" s="155">
        <v>66</v>
      </c>
      <c r="L87" s="155">
        <v>58</v>
      </c>
      <c r="M87" s="155">
        <v>58</v>
      </c>
      <c r="N87" s="155">
        <v>58</v>
      </c>
      <c r="O87" s="155">
        <v>58</v>
      </c>
      <c r="P87" s="155">
        <v>58</v>
      </c>
      <c r="Q87" s="155">
        <v>58</v>
      </c>
      <c r="R87" s="155">
        <v>58</v>
      </c>
      <c r="S87" s="155">
        <v>58</v>
      </c>
      <c r="T87" s="155">
        <v>58</v>
      </c>
      <c r="U87" s="155">
        <v>58</v>
      </c>
      <c r="V87" s="155">
        <v>58</v>
      </c>
      <c r="W87" s="155">
        <v>58</v>
      </c>
      <c r="Y87" s="176" t="s">
        <v>331</v>
      </c>
      <c r="Z87" s="158">
        <v>95</v>
      </c>
      <c r="AA87" s="158">
        <v>95</v>
      </c>
      <c r="AB87" s="158">
        <v>95</v>
      </c>
      <c r="AC87" s="158">
        <v>95</v>
      </c>
      <c r="AD87" s="158">
        <v>95</v>
      </c>
      <c r="AE87" s="159">
        <v>89</v>
      </c>
      <c r="AF87" s="159">
        <v>82</v>
      </c>
      <c r="AG87" s="159">
        <v>69</v>
      </c>
      <c r="AH87" s="160">
        <v>56</v>
      </c>
      <c r="AI87" s="161">
        <v>51</v>
      </c>
      <c r="AJ87" s="162">
        <v>45</v>
      </c>
      <c r="AK87" s="162">
        <v>45</v>
      </c>
      <c r="AL87" s="162">
        <v>45</v>
      </c>
      <c r="AM87" s="162">
        <v>45</v>
      </c>
      <c r="AN87" s="162">
        <v>45</v>
      </c>
      <c r="AO87" s="162">
        <v>45</v>
      </c>
      <c r="AP87" s="162">
        <v>45</v>
      </c>
      <c r="AQ87" s="162">
        <v>45</v>
      </c>
      <c r="AR87" s="162">
        <v>45</v>
      </c>
      <c r="AS87" s="162">
        <v>45</v>
      </c>
      <c r="AT87" s="162">
        <v>45</v>
      </c>
      <c r="AU87" s="162">
        <v>45</v>
      </c>
      <c r="AW87" s="113"/>
      <c r="AX87" s="113"/>
      <c r="AY87" s="113"/>
      <c r="AZ87" s="113"/>
      <c r="BA87" s="113"/>
      <c r="BB87" s="113"/>
      <c r="BC87" s="113"/>
      <c r="BD87" s="113"/>
      <c r="BE87" s="113"/>
      <c r="BF87" s="113"/>
      <c r="BG87" s="113"/>
      <c r="BH87" s="113"/>
      <c r="BI87" s="113"/>
      <c r="BJ87" s="113"/>
      <c r="BK87" s="113"/>
      <c r="BL87" s="113"/>
      <c r="BM87" s="113"/>
      <c r="BN87" s="113"/>
      <c r="BO87" s="113"/>
      <c r="BP87" s="113"/>
      <c r="BQ87" s="113"/>
      <c r="BR87" s="113"/>
      <c r="BS87" s="113"/>
      <c r="BT87" s="113"/>
      <c r="BU87" s="113"/>
    </row>
    <row r="88" spans="1:73" ht="15">
      <c r="A88" s="50" t="s">
        <v>332</v>
      </c>
      <c r="B88" s="155">
        <v>122</v>
      </c>
      <c r="C88" s="155">
        <v>122</v>
      </c>
      <c r="D88" s="155">
        <v>122</v>
      </c>
      <c r="E88" s="155">
        <v>122</v>
      </c>
      <c r="F88" s="155">
        <v>122</v>
      </c>
      <c r="G88" s="155">
        <v>114</v>
      </c>
      <c r="H88" s="155">
        <v>105</v>
      </c>
      <c r="I88" s="155">
        <v>88</v>
      </c>
      <c r="J88" s="155">
        <v>71</v>
      </c>
      <c r="K88" s="155">
        <v>65</v>
      </c>
      <c r="L88" s="155">
        <v>58</v>
      </c>
      <c r="M88" s="155">
        <v>58</v>
      </c>
      <c r="N88" s="155">
        <v>58</v>
      </c>
      <c r="O88" s="155">
        <v>58</v>
      </c>
      <c r="P88" s="155">
        <v>58</v>
      </c>
      <c r="Q88" s="155">
        <v>58</v>
      </c>
      <c r="R88" s="155">
        <v>58</v>
      </c>
      <c r="S88" s="155">
        <v>58</v>
      </c>
      <c r="T88" s="155">
        <v>58</v>
      </c>
      <c r="U88" s="155">
        <v>58</v>
      </c>
      <c r="V88" s="155">
        <v>58</v>
      </c>
      <c r="W88" s="155">
        <v>58</v>
      </c>
      <c r="Y88" s="174" t="s">
        <v>332</v>
      </c>
      <c r="Z88" s="158">
        <v>94</v>
      </c>
      <c r="AA88" s="158">
        <v>94</v>
      </c>
      <c r="AB88" s="158">
        <v>94</v>
      </c>
      <c r="AC88" s="158">
        <v>94</v>
      </c>
      <c r="AD88" s="158">
        <v>94</v>
      </c>
      <c r="AE88" s="159">
        <v>88</v>
      </c>
      <c r="AF88" s="159">
        <v>81</v>
      </c>
      <c r="AG88" s="159">
        <v>68</v>
      </c>
      <c r="AH88" s="160">
        <v>55</v>
      </c>
      <c r="AI88" s="161">
        <v>50</v>
      </c>
      <c r="AJ88" s="162">
        <v>45</v>
      </c>
      <c r="AK88" s="162">
        <v>45</v>
      </c>
      <c r="AL88" s="162">
        <v>45</v>
      </c>
      <c r="AM88" s="162">
        <v>45</v>
      </c>
      <c r="AN88" s="162">
        <v>45</v>
      </c>
      <c r="AO88" s="162">
        <v>45</v>
      </c>
      <c r="AP88" s="162">
        <v>45</v>
      </c>
      <c r="AQ88" s="162">
        <v>45</v>
      </c>
      <c r="AR88" s="162">
        <v>45</v>
      </c>
      <c r="AS88" s="162">
        <v>45</v>
      </c>
      <c r="AT88" s="162">
        <v>45</v>
      </c>
      <c r="AU88" s="162">
        <v>45</v>
      </c>
    </row>
    <row r="89" spans="1:73" ht="15">
      <c r="A89" s="150" t="s">
        <v>333</v>
      </c>
      <c r="B89" s="151" t="s">
        <v>24</v>
      </c>
      <c r="C89" s="151" t="s">
        <v>25</v>
      </c>
      <c r="D89" s="151" t="s">
        <v>26</v>
      </c>
      <c r="E89" s="151" t="s">
        <v>27</v>
      </c>
      <c r="F89" s="151" t="s">
        <v>28</v>
      </c>
      <c r="G89" s="151" t="s">
        <v>74</v>
      </c>
      <c r="H89" s="151" t="s">
        <v>75</v>
      </c>
      <c r="I89" s="151" t="s">
        <v>76</v>
      </c>
      <c r="J89" s="151" t="s">
        <v>77</v>
      </c>
      <c r="K89" s="151" t="s">
        <v>78</v>
      </c>
      <c r="L89" s="151" t="s">
        <v>79</v>
      </c>
      <c r="M89" s="151" t="s">
        <v>80</v>
      </c>
      <c r="N89" s="16" t="s">
        <v>81</v>
      </c>
      <c r="O89" s="16" t="s">
        <v>82</v>
      </c>
      <c r="P89" s="16" t="s">
        <v>83</v>
      </c>
      <c r="Q89" s="16" t="s">
        <v>84</v>
      </c>
      <c r="R89" s="151" t="s">
        <v>85</v>
      </c>
      <c r="S89" s="16" t="s">
        <v>86</v>
      </c>
      <c r="T89" s="16" t="s">
        <v>87</v>
      </c>
      <c r="U89" s="16" t="s">
        <v>88</v>
      </c>
      <c r="V89" s="16" t="s">
        <v>89</v>
      </c>
      <c r="W89" s="151" t="s">
        <v>90</v>
      </c>
      <c r="Y89" s="173" t="s">
        <v>333</v>
      </c>
      <c r="Z89" s="151" t="s">
        <v>24</v>
      </c>
      <c r="AA89" s="151" t="s">
        <v>25</v>
      </c>
      <c r="AB89" s="151" t="s">
        <v>26</v>
      </c>
      <c r="AC89" s="151" t="s">
        <v>27</v>
      </c>
      <c r="AD89" s="16" t="s">
        <v>28</v>
      </c>
      <c r="AE89" s="151">
        <v>45</v>
      </c>
      <c r="AF89" s="151">
        <v>50</v>
      </c>
      <c r="AG89" s="151">
        <v>60</v>
      </c>
      <c r="AH89" s="152">
        <v>70</v>
      </c>
      <c r="AI89" s="151">
        <v>80</v>
      </c>
      <c r="AJ89" s="152" t="s">
        <v>79</v>
      </c>
      <c r="AK89" s="151">
        <v>100</v>
      </c>
      <c r="AL89" s="16">
        <v>110</v>
      </c>
      <c r="AM89" s="16">
        <v>120</v>
      </c>
      <c r="AN89" s="16">
        <v>130</v>
      </c>
      <c r="AO89" s="16">
        <v>140</v>
      </c>
      <c r="AP89" s="151">
        <v>150</v>
      </c>
      <c r="AQ89" s="16">
        <v>160</v>
      </c>
      <c r="AR89" s="16">
        <v>170</v>
      </c>
      <c r="AS89" s="16">
        <v>180</v>
      </c>
      <c r="AT89" s="16">
        <v>190</v>
      </c>
      <c r="AU89" s="16" t="s">
        <v>90</v>
      </c>
    </row>
    <row r="90" spans="1:73" ht="15">
      <c r="A90" s="8" t="s">
        <v>334</v>
      </c>
      <c r="B90" s="164">
        <f t="array" ref="B90:W91">INT($Z$90:$AU$91*1.3)</f>
        <v>133</v>
      </c>
      <c r="C90" s="155">
        <v>133</v>
      </c>
      <c r="D90" s="155">
        <v>133</v>
      </c>
      <c r="E90" s="155">
        <v>133</v>
      </c>
      <c r="F90" s="155">
        <v>133</v>
      </c>
      <c r="G90" s="155">
        <v>123</v>
      </c>
      <c r="H90" s="155">
        <v>111</v>
      </c>
      <c r="I90" s="155">
        <v>88</v>
      </c>
      <c r="J90" s="155">
        <v>66</v>
      </c>
      <c r="K90" s="155">
        <v>62</v>
      </c>
      <c r="L90" s="155">
        <v>58</v>
      </c>
      <c r="M90" s="155">
        <v>58</v>
      </c>
      <c r="N90" s="155">
        <v>58</v>
      </c>
      <c r="O90" s="155">
        <v>58</v>
      </c>
      <c r="P90" s="155">
        <v>58</v>
      </c>
      <c r="Q90" s="155">
        <v>58</v>
      </c>
      <c r="R90" s="155">
        <v>58</v>
      </c>
      <c r="S90" s="156">
        <v>58</v>
      </c>
      <c r="T90" s="156">
        <v>58</v>
      </c>
      <c r="U90" s="156">
        <v>58</v>
      </c>
      <c r="V90" s="156">
        <v>58</v>
      </c>
      <c r="W90" s="156">
        <v>58</v>
      </c>
      <c r="Y90" s="177" t="s">
        <v>334</v>
      </c>
      <c r="Z90" s="158">
        <v>103</v>
      </c>
      <c r="AA90" s="158">
        <v>103</v>
      </c>
      <c r="AB90" s="158">
        <v>103</v>
      </c>
      <c r="AC90" s="158">
        <v>103</v>
      </c>
      <c r="AD90" s="158">
        <v>103</v>
      </c>
      <c r="AE90" s="159">
        <v>95</v>
      </c>
      <c r="AF90" s="159">
        <v>86</v>
      </c>
      <c r="AG90" s="159">
        <v>68</v>
      </c>
      <c r="AH90" s="160">
        <v>51</v>
      </c>
      <c r="AI90" s="161">
        <v>48</v>
      </c>
      <c r="AJ90" s="162">
        <v>45</v>
      </c>
      <c r="AK90" s="162">
        <v>45</v>
      </c>
      <c r="AL90" s="162">
        <v>45</v>
      </c>
      <c r="AM90" s="162">
        <v>45</v>
      </c>
      <c r="AN90" s="162">
        <v>45</v>
      </c>
      <c r="AO90" s="162">
        <v>45</v>
      </c>
      <c r="AP90" s="162">
        <v>45</v>
      </c>
      <c r="AQ90" s="162">
        <v>45</v>
      </c>
      <c r="AR90" s="162">
        <v>45</v>
      </c>
      <c r="AS90" s="162">
        <v>45</v>
      </c>
      <c r="AT90" s="162">
        <v>45</v>
      </c>
      <c r="AU90" s="162">
        <v>45</v>
      </c>
    </row>
    <row r="91" spans="1:73" ht="15">
      <c r="A91" s="8" t="s">
        <v>335</v>
      </c>
      <c r="B91" s="164">
        <v>113</v>
      </c>
      <c r="C91" s="155">
        <v>113</v>
      </c>
      <c r="D91" s="155">
        <v>113</v>
      </c>
      <c r="E91" s="155">
        <v>113</v>
      </c>
      <c r="F91" s="155">
        <v>113</v>
      </c>
      <c r="G91" s="155">
        <v>104</v>
      </c>
      <c r="H91" s="155">
        <v>93</v>
      </c>
      <c r="I91" s="155">
        <v>75</v>
      </c>
      <c r="J91" s="155">
        <v>55</v>
      </c>
      <c r="K91" s="155">
        <v>52</v>
      </c>
      <c r="L91" s="155">
        <v>49</v>
      </c>
      <c r="M91" s="155">
        <v>49</v>
      </c>
      <c r="N91" s="155">
        <v>49</v>
      </c>
      <c r="O91" s="155">
        <v>49</v>
      </c>
      <c r="P91" s="155">
        <v>49</v>
      </c>
      <c r="Q91" s="156">
        <v>49</v>
      </c>
      <c r="R91" s="156">
        <v>49</v>
      </c>
      <c r="S91" s="156">
        <v>49</v>
      </c>
      <c r="T91" s="156">
        <v>49</v>
      </c>
      <c r="U91" s="156">
        <v>49</v>
      </c>
      <c r="V91" s="156">
        <v>49</v>
      </c>
      <c r="W91" s="156">
        <v>49</v>
      </c>
      <c r="Y91" s="177" t="s">
        <v>335</v>
      </c>
      <c r="Z91" s="158">
        <v>87</v>
      </c>
      <c r="AA91" s="158">
        <v>87</v>
      </c>
      <c r="AB91" s="158">
        <v>87</v>
      </c>
      <c r="AC91" s="158">
        <v>87</v>
      </c>
      <c r="AD91" s="158">
        <v>87</v>
      </c>
      <c r="AE91" s="159">
        <v>80</v>
      </c>
      <c r="AF91" s="159">
        <v>72</v>
      </c>
      <c r="AG91" s="159">
        <v>58</v>
      </c>
      <c r="AH91" s="160">
        <v>43</v>
      </c>
      <c r="AI91" s="161">
        <v>40</v>
      </c>
      <c r="AJ91" s="162">
        <v>38</v>
      </c>
      <c r="AK91" s="162">
        <v>38</v>
      </c>
      <c r="AL91" s="162">
        <v>38</v>
      </c>
      <c r="AM91" s="162">
        <v>38</v>
      </c>
      <c r="AN91" s="162">
        <v>38</v>
      </c>
      <c r="AO91" s="162">
        <v>38</v>
      </c>
      <c r="AP91" s="162">
        <v>38</v>
      </c>
      <c r="AQ91" s="162">
        <v>38</v>
      </c>
      <c r="AR91" s="162">
        <v>38</v>
      </c>
      <c r="AS91" s="162">
        <v>38</v>
      </c>
      <c r="AT91" s="162">
        <v>38</v>
      </c>
      <c r="AU91" s="162">
        <v>38</v>
      </c>
    </row>
    <row r="92" spans="1:73" ht="15">
      <c r="A92" s="150" t="s">
        <v>336</v>
      </c>
      <c r="B92" s="151" t="s">
        <v>24</v>
      </c>
      <c r="C92" s="151" t="s">
        <v>25</v>
      </c>
      <c r="D92" s="151" t="s">
        <v>26</v>
      </c>
      <c r="E92" s="151" t="s">
        <v>27</v>
      </c>
      <c r="F92" s="151" t="s">
        <v>28</v>
      </c>
      <c r="G92" s="151" t="s">
        <v>74</v>
      </c>
      <c r="H92" s="151" t="s">
        <v>75</v>
      </c>
      <c r="I92" s="151" t="s">
        <v>76</v>
      </c>
      <c r="J92" s="151" t="s">
        <v>77</v>
      </c>
      <c r="K92" s="151" t="s">
        <v>78</v>
      </c>
      <c r="L92" s="151" t="s">
        <v>79</v>
      </c>
      <c r="M92" s="151" t="s">
        <v>80</v>
      </c>
      <c r="N92" s="16" t="s">
        <v>81</v>
      </c>
      <c r="O92" s="16" t="s">
        <v>82</v>
      </c>
      <c r="P92" s="16" t="s">
        <v>83</v>
      </c>
      <c r="Q92" s="16" t="s">
        <v>84</v>
      </c>
      <c r="R92" s="151" t="s">
        <v>85</v>
      </c>
      <c r="S92" s="16" t="s">
        <v>86</v>
      </c>
      <c r="T92" s="16" t="s">
        <v>87</v>
      </c>
      <c r="U92" s="16" t="s">
        <v>88</v>
      </c>
      <c r="V92" s="16" t="s">
        <v>89</v>
      </c>
      <c r="W92" s="151" t="s">
        <v>90</v>
      </c>
      <c r="Y92" s="173" t="s">
        <v>336</v>
      </c>
      <c r="Z92" s="151" t="s">
        <v>24</v>
      </c>
      <c r="AA92" s="151" t="s">
        <v>25</v>
      </c>
      <c r="AB92" s="151" t="s">
        <v>26</v>
      </c>
      <c r="AC92" s="151" t="s">
        <v>27</v>
      </c>
      <c r="AD92" s="16" t="s">
        <v>28</v>
      </c>
      <c r="AE92" s="151">
        <v>45</v>
      </c>
      <c r="AF92" s="151">
        <v>50</v>
      </c>
      <c r="AG92" s="151">
        <v>60</v>
      </c>
      <c r="AH92" s="152">
        <v>70</v>
      </c>
      <c r="AI92" s="151">
        <v>80</v>
      </c>
      <c r="AJ92" s="152" t="s">
        <v>79</v>
      </c>
      <c r="AK92" s="151">
        <v>100</v>
      </c>
      <c r="AL92" s="16">
        <v>110</v>
      </c>
      <c r="AM92" s="16">
        <v>120</v>
      </c>
      <c r="AN92" s="16">
        <v>130</v>
      </c>
      <c r="AO92" s="16">
        <v>140</v>
      </c>
      <c r="AP92" s="151">
        <v>150</v>
      </c>
      <c r="AQ92" s="16">
        <v>160</v>
      </c>
      <c r="AR92" s="16">
        <v>170</v>
      </c>
      <c r="AS92" s="16">
        <v>180</v>
      </c>
      <c r="AT92" s="16">
        <v>190</v>
      </c>
      <c r="AU92" s="16" t="s">
        <v>90</v>
      </c>
    </row>
    <row r="93" spans="1:73" ht="12.75">
      <c r="A93" s="178" t="s">
        <v>337</v>
      </c>
      <c r="B93" s="155">
        <f t="array" ref="B93:W93">INT($Z$93:$AU$93*1.3)</f>
        <v>133</v>
      </c>
      <c r="C93" s="155">
        <v>133</v>
      </c>
      <c r="D93" s="155">
        <v>133</v>
      </c>
      <c r="E93" s="155">
        <v>133</v>
      </c>
      <c r="F93" s="155">
        <v>133</v>
      </c>
      <c r="G93" s="155">
        <v>122</v>
      </c>
      <c r="H93" s="155">
        <v>110</v>
      </c>
      <c r="I93" s="155">
        <v>87</v>
      </c>
      <c r="J93" s="155">
        <v>63</v>
      </c>
      <c r="K93" s="155">
        <v>59</v>
      </c>
      <c r="L93" s="155">
        <v>55</v>
      </c>
      <c r="M93" s="155">
        <v>55</v>
      </c>
      <c r="N93" s="155">
        <v>55</v>
      </c>
      <c r="O93" s="155">
        <v>55</v>
      </c>
      <c r="P93" s="155">
        <v>55</v>
      </c>
      <c r="Q93" s="155">
        <v>55</v>
      </c>
      <c r="R93" s="155">
        <v>55</v>
      </c>
      <c r="S93" s="155">
        <v>55</v>
      </c>
      <c r="T93" s="155">
        <v>55</v>
      </c>
      <c r="U93" s="155">
        <v>55</v>
      </c>
      <c r="V93" s="155">
        <v>55</v>
      </c>
      <c r="W93" s="155">
        <v>55</v>
      </c>
      <c r="Y93" s="179" t="s">
        <v>337</v>
      </c>
      <c r="Z93" s="158">
        <v>103</v>
      </c>
      <c r="AA93" s="158">
        <v>103</v>
      </c>
      <c r="AB93" s="158">
        <v>103</v>
      </c>
      <c r="AC93" s="158">
        <v>103</v>
      </c>
      <c r="AD93" s="158">
        <v>103</v>
      </c>
      <c r="AE93" s="159">
        <v>94</v>
      </c>
      <c r="AF93" s="159">
        <v>85</v>
      </c>
      <c r="AG93" s="159">
        <v>67</v>
      </c>
      <c r="AH93" s="160">
        <v>49</v>
      </c>
      <c r="AI93" s="161">
        <v>46</v>
      </c>
      <c r="AJ93" s="162">
        <v>43</v>
      </c>
      <c r="AK93" s="162">
        <v>43</v>
      </c>
      <c r="AL93" s="162">
        <v>43</v>
      </c>
      <c r="AM93" s="162">
        <v>43</v>
      </c>
      <c r="AN93" s="162">
        <v>43</v>
      </c>
      <c r="AO93" s="162">
        <v>43</v>
      </c>
      <c r="AP93" s="162">
        <v>43</v>
      </c>
      <c r="AQ93" s="162">
        <v>43</v>
      </c>
      <c r="AR93" s="162">
        <v>43</v>
      </c>
      <c r="AS93" s="162">
        <v>43</v>
      </c>
      <c r="AT93" s="162">
        <v>43</v>
      </c>
      <c r="AU93" s="162">
        <v>43</v>
      </c>
    </row>
    <row r="94" spans="1:73" ht="15">
      <c r="A94" s="145" t="s">
        <v>338</v>
      </c>
      <c r="B94" s="180"/>
      <c r="C94" s="180"/>
      <c r="D94" s="180"/>
      <c r="E94" s="180"/>
      <c r="F94" s="180"/>
      <c r="G94" s="180"/>
      <c r="H94" s="180"/>
      <c r="I94" s="180"/>
      <c r="J94" s="180"/>
      <c r="K94" s="180"/>
      <c r="L94" s="180"/>
      <c r="M94" s="180"/>
      <c r="N94" s="180"/>
      <c r="O94" s="180"/>
      <c r="P94" s="180"/>
      <c r="Q94" s="180"/>
      <c r="R94" s="180"/>
      <c r="S94" s="180"/>
      <c r="T94" s="180"/>
      <c r="U94" s="180"/>
      <c r="V94" s="180"/>
      <c r="W94" s="180"/>
      <c r="Y94" s="145" t="s">
        <v>338</v>
      </c>
      <c r="AX94" s="181"/>
    </row>
    <row r="95" spans="1:73" ht="15">
      <c r="A95" s="150" t="s">
        <v>323</v>
      </c>
      <c r="B95" s="151" t="s">
        <v>24</v>
      </c>
      <c r="C95" s="151" t="s">
        <v>25</v>
      </c>
      <c r="D95" s="151" t="s">
        <v>26</v>
      </c>
      <c r="E95" s="151" t="s">
        <v>27</v>
      </c>
      <c r="F95" s="151" t="s">
        <v>28</v>
      </c>
      <c r="G95" s="151" t="s">
        <v>74</v>
      </c>
      <c r="H95" s="151" t="s">
        <v>75</v>
      </c>
      <c r="I95" s="151" t="s">
        <v>76</v>
      </c>
      <c r="J95" s="151" t="s">
        <v>77</v>
      </c>
      <c r="K95" s="151" t="s">
        <v>78</v>
      </c>
      <c r="L95" s="151" t="s">
        <v>79</v>
      </c>
      <c r="M95" s="151" t="s">
        <v>80</v>
      </c>
      <c r="N95" s="16" t="s">
        <v>81</v>
      </c>
      <c r="O95" s="16" t="s">
        <v>82</v>
      </c>
      <c r="P95" s="16" t="s">
        <v>83</v>
      </c>
      <c r="Q95" s="16" t="s">
        <v>84</v>
      </c>
      <c r="R95" s="151" t="s">
        <v>85</v>
      </c>
      <c r="S95" s="16" t="s">
        <v>86</v>
      </c>
      <c r="T95" s="16" t="s">
        <v>87</v>
      </c>
      <c r="U95" s="16" t="s">
        <v>88</v>
      </c>
      <c r="V95" s="16" t="s">
        <v>89</v>
      </c>
      <c r="W95" s="151" t="s">
        <v>90</v>
      </c>
      <c r="Y95" s="150" t="s">
        <v>323</v>
      </c>
      <c r="Z95" s="151" t="s">
        <v>24</v>
      </c>
      <c r="AA95" s="151" t="s">
        <v>25</v>
      </c>
      <c r="AB95" s="151" t="s">
        <v>26</v>
      </c>
      <c r="AC95" s="16">
        <v>35</v>
      </c>
      <c r="AD95" s="16">
        <v>40</v>
      </c>
      <c r="AE95" s="16">
        <v>45</v>
      </c>
      <c r="AF95" s="16">
        <v>50</v>
      </c>
      <c r="AG95" s="16">
        <v>60</v>
      </c>
      <c r="AH95" s="16">
        <v>70</v>
      </c>
      <c r="AI95" s="152">
        <v>80</v>
      </c>
      <c r="AJ95" s="16">
        <v>90</v>
      </c>
      <c r="AK95" s="151">
        <v>100</v>
      </c>
      <c r="AL95" s="16">
        <v>110</v>
      </c>
      <c r="AM95" s="16">
        <v>120</v>
      </c>
      <c r="AN95" s="153">
        <v>130</v>
      </c>
      <c r="AO95" s="16">
        <v>140</v>
      </c>
      <c r="AP95" s="151">
        <v>150</v>
      </c>
      <c r="AQ95" s="16">
        <v>160</v>
      </c>
      <c r="AR95" s="16">
        <v>170</v>
      </c>
      <c r="AS95" s="16">
        <v>180</v>
      </c>
      <c r="AT95" s="16">
        <v>190</v>
      </c>
      <c r="AU95" s="16" t="s">
        <v>90</v>
      </c>
      <c r="AX95" s="181"/>
    </row>
    <row r="96" spans="1:73" ht="15">
      <c r="A96" s="8" t="s">
        <v>105</v>
      </c>
      <c r="B96" s="155">
        <f t="array" ref="B96:W111">INT($Z$96:$AU$111*1.3)</f>
        <v>145</v>
      </c>
      <c r="C96" s="155">
        <v>145</v>
      </c>
      <c r="D96" s="155">
        <v>145</v>
      </c>
      <c r="E96" s="155">
        <v>140</v>
      </c>
      <c r="F96" s="155">
        <v>135</v>
      </c>
      <c r="G96" s="155">
        <v>130</v>
      </c>
      <c r="H96" s="155">
        <v>124</v>
      </c>
      <c r="I96" s="155">
        <v>114</v>
      </c>
      <c r="J96" s="155">
        <v>104</v>
      </c>
      <c r="K96" s="155">
        <v>93</v>
      </c>
      <c r="L96" s="155">
        <v>88</v>
      </c>
      <c r="M96" s="155">
        <v>84</v>
      </c>
      <c r="N96" s="155">
        <v>81</v>
      </c>
      <c r="O96" s="155">
        <v>78</v>
      </c>
      <c r="P96" s="155">
        <v>74</v>
      </c>
      <c r="Q96" s="155">
        <v>74</v>
      </c>
      <c r="R96" s="155">
        <v>74</v>
      </c>
      <c r="S96" s="155">
        <v>74</v>
      </c>
      <c r="T96" s="155">
        <v>74</v>
      </c>
      <c r="U96" s="155">
        <v>74</v>
      </c>
      <c r="V96" s="155">
        <v>74</v>
      </c>
      <c r="W96" s="155">
        <v>74</v>
      </c>
      <c r="Y96" s="182" t="s">
        <v>105</v>
      </c>
      <c r="Z96" s="158">
        <v>112</v>
      </c>
      <c r="AA96" s="158">
        <v>112</v>
      </c>
      <c r="AB96" s="158">
        <v>112</v>
      </c>
      <c r="AC96" s="159">
        <v>108</v>
      </c>
      <c r="AD96" s="159">
        <v>104</v>
      </c>
      <c r="AE96" s="159">
        <v>100</v>
      </c>
      <c r="AF96" s="159">
        <v>96</v>
      </c>
      <c r="AG96" s="159">
        <v>88</v>
      </c>
      <c r="AH96" s="159">
        <v>80</v>
      </c>
      <c r="AI96" s="160">
        <v>72</v>
      </c>
      <c r="AJ96" s="161">
        <v>68</v>
      </c>
      <c r="AK96" s="161">
        <v>65</v>
      </c>
      <c r="AL96" s="161">
        <v>63</v>
      </c>
      <c r="AM96" s="161">
        <v>60</v>
      </c>
      <c r="AN96" s="162">
        <v>57</v>
      </c>
      <c r="AO96" s="162">
        <v>57</v>
      </c>
      <c r="AP96" s="162">
        <v>57</v>
      </c>
      <c r="AQ96" s="162">
        <v>57</v>
      </c>
      <c r="AR96" s="162">
        <v>57</v>
      </c>
      <c r="AS96" s="162">
        <v>57</v>
      </c>
      <c r="AT96" s="162">
        <v>57</v>
      </c>
      <c r="AU96" s="162">
        <v>57</v>
      </c>
    </row>
    <row r="97" spans="1:47" ht="15">
      <c r="A97" s="50" t="s">
        <v>107</v>
      </c>
      <c r="B97" s="164">
        <v>144</v>
      </c>
      <c r="C97" s="155">
        <v>144</v>
      </c>
      <c r="D97" s="155">
        <v>144</v>
      </c>
      <c r="E97" s="155">
        <v>139</v>
      </c>
      <c r="F97" s="155">
        <v>133</v>
      </c>
      <c r="G97" s="155">
        <v>128</v>
      </c>
      <c r="H97" s="155">
        <v>123</v>
      </c>
      <c r="I97" s="155">
        <v>113</v>
      </c>
      <c r="J97" s="155">
        <v>102</v>
      </c>
      <c r="K97" s="155">
        <v>92</v>
      </c>
      <c r="L97" s="155">
        <v>88</v>
      </c>
      <c r="M97" s="155">
        <v>84</v>
      </c>
      <c r="N97" s="155">
        <v>80</v>
      </c>
      <c r="O97" s="155">
        <v>76</v>
      </c>
      <c r="P97" s="155">
        <v>72</v>
      </c>
      <c r="Q97" s="155">
        <v>72</v>
      </c>
      <c r="R97" s="155">
        <v>72</v>
      </c>
      <c r="S97" s="155">
        <v>72</v>
      </c>
      <c r="T97" s="155">
        <v>72</v>
      </c>
      <c r="U97" s="155">
        <v>72</v>
      </c>
      <c r="V97" s="155">
        <v>72</v>
      </c>
      <c r="W97" s="155">
        <v>72</v>
      </c>
      <c r="Y97" s="183" t="s">
        <v>107</v>
      </c>
      <c r="Z97" s="158">
        <v>111</v>
      </c>
      <c r="AA97" s="158">
        <v>111</v>
      </c>
      <c r="AB97" s="158">
        <v>111</v>
      </c>
      <c r="AC97" s="159">
        <v>107</v>
      </c>
      <c r="AD97" s="159">
        <v>103</v>
      </c>
      <c r="AE97" s="159">
        <v>99</v>
      </c>
      <c r="AF97" s="159">
        <v>95</v>
      </c>
      <c r="AG97" s="159">
        <v>87</v>
      </c>
      <c r="AH97" s="159">
        <v>79</v>
      </c>
      <c r="AI97" s="160">
        <v>71</v>
      </c>
      <c r="AJ97" s="161">
        <v>68</v>
      </c>
      <c r="AK97" s="161">
        <v>65</v>
      </c>
      <c r="AL97" s="161">
        <v>62</v>
      </c>
      <c r="AM97" s="161">
        <v>59</v>
      </c>
      <c r="AN97" s="162">
        <v>56</v>
      </c>
      <c r="AO97" s="162">
        <v>56</v>
      </c>
      <c r="AP97" s="162">
        <v>56</v>
      </c>
      <c r="AQ97" s="162">
        <v>56</v>
      </c>
      <c r="AR97" s="162">
        <v>56</v>
      </c>
      <c r="AS97" s="162">
        <v>56</v>
      </c>
      <c r="AT97" s="162">
        <v>56</v>
      </c>
      <c r="AU97" s="162">
        <v>56</v>
      </c>
    </row>
    <row r="98" spans="1:47" ht="15">
      <c r="A98" s="38" t="s">
        <v>109</v>
      </c>
      <c r="B98" s="155">
        <v>139</v>
      </c>
      <c r="C98" s="155">
        <v>139</v>
      </c>
      <c r="D98" s="155">
        <v>139</v>
      </c>
      <c r="E98" s="155">
        <v>133</v>
      </c>
      <c r="F98" s="155">
        <v>128</v>
      </c>
      <c r="G98" s="155">
        <v>123</v>
      </c>
      <c r="H98" s="155">
        <v>118</v>
      </c>
      <c r="I98" s="155">
        <v>109</v>
      </c>
      <c r="J98" s="155">
        <v>98</v>
      </c>
      <c r="K98" s="155">
        <v>88</v>
      </c>
      <c r="L98" s="155">
        <v>84</v>
      </c>
      <c r="M98" s="155">
        <v>81</v>
      </c>
      <c r="N98" s="155">
        <v>78</v>
      </c>
      <c r="O98" s="155">
        <v>74</v>
      </c>
      <c r="P98" s="155">
        <v>70</v>
      </c>
      <c r="Q98" s="155">
        <v>70</v>
      </c>
      <c r="R98" s="155">
        <v>70</v>
      </c>
      <c r="S98" s="155">
        <v>70</v>
      </c>
      <c r="T98" s="155">
        <v>70</v>
      </c>
      <c r="U98" s="155">
        <v>70</v>
      </c>
      <c r="V98" s="155">
        <v>70</v>
      </c>
      <c r="W98" s="155">
        <v>70</v>
      </c>
      <c r="Y98" s="182" t="s">
        <v>109</v>
      </c>
      <c r="Z98" s="158">
        <v>107</v>
      </c>
      <c r="AA98" s="158">
        <v>107</v>
      </c>
      <c r="AB98" s="158">
        <v>107</v>
      </c>
      <c r="AC98" s="159">
        <v>103</v>
      </c>
      <c r="AD98" s="159">
        <v>99</v>
      </c>
      <c r="AE98" s="159">
        <v>95</v>
      </c>
      <c r="AF98" s="159">
        <v>91</v>
      </c>
      <c r="AG98" s="159">
        <v>84</v>
      </c>
      <c r="AH98" s="159">
        <v>76</v>
      </c>
      <c r="AI98" s="160">
        <v>68</v>
      </c>
      <c r="AJ98" s="161">
        <v>65</v>
      </c>
      <c r="AK98" s="161">
        <v>63</v>
      </c>
      <c r="AL98" s="161">
        <v>60</v>
      </c>
      <c r="AM98" s="161">
        <v>57</v>
      </c>
      <c r="AN98" s="162">
        <v>54</v>
      </c>
      <c r="AO98" s="162">
        <v>54</v>
      </c>
      <c r="AP98" s="162">
        <v>54</v>
      </c>
      <c r="AQ98" s="162">
        <v>54</v>
      </c>
      <c r="AR98" s="162">
        <v>54</v>
      </c>
      <c r="AS98" s="162">
        <v>54</v>
      </c>
      <c r="AT98" s="162">
        <v>54</v>
      </c>
      <c r="AU98" s="162">
        <v>54</v>
      </c>
    </row>
    <row r="99" spans="1:47" ht="15">
      <c r="A99" s="41" t="s">
        <v>111</v>
      </c>
      <c r="B99" s="155">
        <v>137</v>
      </c>
      <c r="C99" s="155">
        <v>137</v>
      </c>
      <c r="D99" s="155">
        <v>137</v>
      </c>
      <c r="E99" s="155">
        <v>132</v>
      </c>
      <c r="F99" s="155">
        <v>127</v>
      </c>
      <c r="G99" s="155">
        <v>122</v>
      </c>
      <c r="H99" s="155">
        <v>118</v>
      </c>
      <c r="I99" s="155">
        <v>107</v>
      </c>
      <c r="J99" s="155">
        <v>97</v>
      </c>
      <c r="K99" s="155">
        <v>88</v>
      </c>
      <c r="L99" s="155">
        <v>84</v>
      </c>
      <c r="M99" s="155">
        <v>80</v>
      </c>
      <c r="N99" s="155">
        <v>76</v>
      </c>
      <c r="O99" s="155">
        <v>72</v>
      </c>
      <c r="P99" s="155">
        <v>70</v>
      </c>
      <c r="Q99" s="155">
        <v>70</v>
      </c>
      <c r="R99" s="156">
        <v>70</v>
      </c>
      <c r="S99" s="156">
        <v>70</v>
      </c>
      <c r="T99" s="156">
        <v>70</v>
      </c>
      <c r="U99" s="156">
        <v>70</v>
      </c>
      <c r="V99" s="156">
        <v>70</v>
      </c>
      <c r="W99" s="156">
        <v>70</v>
      </c>
      <c r="Y99" s="182" t="s">
        <v>111</v>
      </c>
      <c r="Z99" s="158">
        <v>106</v>
      </c>
      <c r="AA99" s="158">
        <v>106</v>
      </c>
      <c r="AB99" s="158">
        <v>106</v>
      </c>
      <c r="AC99" s="159">
        <v>102</v>
      </c>
      <c r="AD99" s="159">
        <v>98</v>
      </c>
      <c r="AE99" s="159">
        <v>94</v>
      </c>
      <c r="AF99" s="159">
        <v>91</v>
      </c>
      <c r="AG99" s="159">
        <v>83</v>
      </c>
      <c r="AH99" s="159">
        <v>75</v>
      </c>
      <c r="AI99" s="160">
        <v>68</v>
      </c>
      <c r="AJ99" s="161">
        <v>65</v>
      </c>
      <c r="AK99" s="161">
        <v>62</v>
      </c>
      <c r="AL99" s="161">
        <v>59</v>
      </c>
      <c r="AM99" s="161">
        <v>56</v>
      </c>
      <c r="AN99" s="162">
        <v>54</v>
      </c>
      <c r="AO99" s="162">
        <v>54</v>
      </c>
      <c r="AP99" s="162">
        <v>54</v>
      </c>
      <c r="AQ99" s="162">
        <v>54</v>
      </c>
      <c r="AR99" s="162">
        <v>54</v>
      </c>
      <c r="AS99" s="162">
        <v>54</v>
      </c>
      <c r="AT99" s="162">
        <v>54</v>
      </c>
      <c r="AU99" s="162">
        <v>54</v>
      </c>
    </row>
    <row r="100" spans="1:47" ht="12.75">
      <c r="A100" s="184" t="s">
        <v>113</v>
      </c>
      <c r="B100" s="155">
        <v>135</v>
      </c>
      <c r="C100" s="155">
        <v>135</v>
      </c>
      <c r="D100" s="155">
        <v>135</v>
      </c>
      <c r="E100" s="155">
        <v>130</v>
      </c>
      <c r="F100" s="155">
        <v>124</v>
      </c>
      <c r="G100" s="155">
        <v>120</v>
      </c>
      <c r="H100" s="155">
        <v>115</v>
      </c>
      <c r="I100" s="155">
        <v>105</v>
      </c>
      <c r="J100" s="155">
        <v>96</v>
      </c>
      <c r="K100" s="155">
        <v>85</v>
      </c>
      <c r="L100" s="155">
        <v>83</v>
      </c>
      <c r="M100" s="155">
        <v>79</v>
      </c>
      <c r="N100" s="155">
        <v>75</v>
      </c>
      <c r="O100" s="155">
        <v>71</v>
      </c>
      <c r="P100" s="155">
        <v>68</v>
      </c>
      <c r="Q100" s="155">
        <v>68</v>
      </c>
      <c r="R100" s="156">
        <v>68</v>
      </c>
      <c r="S100" s="156">
        <v>68</v>
      </c>
      <c r="T100" s="156">
        <v>68</v>
      </c>
      <c r="U100" s="156">
        <v>68</v>
      </c>
      <c r="V100" s="156">
        <v>68</v>
      </c>
      <c r="W100" s="156">
        <v>68</v>
      </c>
      <c r="Y100" s="185" t="s">
        <v>113</v>
      </c>
      <c r="Z100" s="158">
        <v>104</v>
      </c>
      <c r="AA100" s="158">
        <v>104</v>
      </c>
      <c r="AB100" s="158">
        <v>104</v>
      </c>
      <c r="AC100" s="159">
        <v>100</v>
      </c>
      <c r="AD100" s="159">
        <v>96</v>
      </c>
      <c r="AE100" s="159">
        <v>93</v>
      </c>
      <c r="AF100" s="159">
        <v>89</v>
      </c>
      <c r="AG100" s="159">
        <v>81</v>
      </c>
      <c r="AH100" s="159">
        <v>74</v>
      </c>
      <c r="AI100" s="160">
        <v>66</v>
      </c>
      <c r="AJ100" s="161">
        <v>64</v>
      </c>
      <c r="AK100" s="161">
        <v>61</v>
      </c>
      <c r="AL100" s="161">
        <v>58</v>
      </c>
      <c r="AM100" s="161">
        <v>55</v>
      </c>
      <c r="AN100" s="162">
        <v>53</v>
      </c>
      <c r="AO100" s="162">
        <v>53</v>
      </c>
      <c r="AP100" s="162">
        <v>53</v>
      </c>
      <c r="AQ100" s="162">
        <v>53</v>
      </c>
      <c r="AR100" s="162">
        <v>53</v>
      </c>
      <c r="AS100" s="162">
        <v>53</v>
      </c>
      <c r="AT100" s="162">
        <v>53</v>
      </c>
      <c r="AU100" s="162">
        <v>53</v>
      </c>
    </row>
    <row r="101" spans="1:47" ht="15">
      <c r="A101" s="8" t="s">
        <v>115</v>
      </c>
      <c r="B101" s="155">
        <v>132</v>
      </c>
      <c r="C101" s="155">
        <v>132</v>
      </c>
      <c r="D101" s="155">
        <v>132</v>
      </c>
      <c r="E101" s="155">
        <v>127</v>
      </c>
      <c r="F101" s="155">
        <v>122</v>
      </c>
      <c r="G101" s="155">
        <v>118</v>
      </c>
      <c r="H101" s="155">
        <v>113</v>
      </c>
      <c r="I101" s="155">
        <v>104</v>
      </c>
      <c r="J101" s="155">
        <v>93</v>
      </c>
      <c r="K101" s="155">
        <v>84</v>
      </c>
      <c r="L101" s="155">
        <v>80</v>
      </c>
      <c r="M101" s="155">
        <v>78</v>
      </c>
      <c r="N101" s="155">
        <v>74</v>
      </c>
      <c r="O101" s="155">
        <v>70</v>
      </c>
      <c r="P101" s="155">
        <v>67</v>
      </c>
      <c r="Q101" s="155">
        <v>67</v>
      </c>
      <c r="R101" s="155">
        <v>67</v>
      </c>
      <c r="S101" s="155">
        <v>67</v>
      </c>
      <c r="T101" s="155">
        <v>67</v>
      </c>
      <c r="U101" s="155">
        <v>67</v>
      </c>
      <c r="V101" s="155">
        <v>67</v>
      </c>
      <c r="W101" s="155">
        <v>67</v>
      </c>
      <c r="Y101" s="182" t="s">
        <v>115</v>
      </c>
      <c r="Z101" s="158">
        <v>102</v>
      </c>
      <c r="AA101" s="158">
        <v>102</v>
      </c>
      <c r="AB101" s="158">
        <v>102</v>
      </c>
      <c r="AC101" s="159">
        <v>98</v>
      </c>
      <c r="AD101" s="159">
        <v>94</v>
      </c>
      <c r="AE101" s="159">
        <v>91</v>
      </c>
      <c r="AF101" s="159">
        <v>87</v>
      </c>
      <c r="AG101" s="159">
        <v>80</v>
      </c>
      <c r="AH101" s="159">
        <v>72</v>
      </c>
      <c r="AI101" s="160">
        <v>65</v>
      </c>
      <c r="AJ101" s="161">
        <v>62</v>
      </c>
      <c r="AK101" s="161">
        <v>60</v>
      </c>
      <c r="AL101" s="161">
        <v>57</v>
      </c>
      <c r="AM101" s="161">
        <v>54</v>
      </c>
      <c r="AN101" s="162">
        <v>52</v>
      </c>
      <c r="AO101" s="162">
        <v>52</v>
      </c>
      <c r="AP101" s="162">
        <v>52</v>
      </c>
      <c r="AQ101" s="162">
        <v>52</v>
      </c>
      <c r="AR101" s="162">
        <v>52</v>
      </c>
      <c r="AS101" s="162">
        <v>52</v>
      </c>
      <c r="AT101" s="162">
        <v>52</v>
      </c>
      <c r="AU101" s="162">
        <v>52</v>
      </c>
    </row>
    <row r="102" spans="1:47" ht="15">
      <c r="A102" s="8" t="s">
        <v>118</v>
      </c>
      <c r="B102" s="155">
        <v>130</v>
      </c>
      <c r="C102" s="155">
        <v>130</v>
      </c>
      <c r="D102" s="155">
        <v>130</v>
      </c>
      <c r="E102" s="155">
        <v>124</v>
      </c>
      <c r="F102" s="155">
        <v>120</v>
      </c>
      <c r="G102" s="155">
        <v>115</v>
      </c>
      <c r="H102" s="155">
        <v>110</v>
      </c>
      <c r="I102" s="155">
        <v>101</v>
      </c>
      <c r="J102" s="155">
        <v>92</v>
      </c>
      <c r="K102" s="155">
        <v>83</v>
      </c>
      <c r="L102" s="155">
        <v>79</v>
      </c>
      <c r="M102" s="155">
        <v>75</v>
      </c>
      <c r="N102" s="155">
        <v>72</v>
      </c>
      <c r="O102" s="155">
        <v>68</v>
      </c>
      <c r="P102" s="155">
        <v>66</v>
      </c>
      <c r="Q102" s="155">
        <v>66</v>
      </c>
      <c r="R102" s="155">
        <v>66</v>
      </c>
      <c r="S102" s="155">
        <v>66</v>
      </c>
      <c r="T102" s="155">
        <v>66</v>
      </c>
      <c r="U102" s="155">
        <v>66</v>
      </c>
      <c r="V102" s="155">
        <v>66</v>
      </c>
      <c r="W102" s="155">
        <v>66</v>
      </c>
      <c r="Y102" s="182" t="s">
        <v>118</v>
      </c>
      <c r="Z102" s="158">
        <v>100</v>
      </c>
      <c r="AA102" s="158">
        <v>100</v>
      </c>
      <c r="AB102" s="158">
        <v>100</v>
      </c>
      <c r="AC102" s="159">
        <v>96</v>
      </c>
      <c r="AD102" s="159">
        <v>93</v>
      </c>
      <c r="AE102" s="159">
        <v>89</v>
      </c>
      <c r="AF102" s="159">
        <v>85</v>
      </c>
      <c r="AG102" s="159">
        <v>78</v>
      </c>
      <c r="AH102" s="159">
        <v>71</v>
      </c>
      <c r="AI102" s="160">
        <v>64</v>
      </c>
      <c r="AJ102" s="161">
        <v>61</v>
      </c>
      <c r="AK102" s="161">
        <v>58</v>
      </c>
      <c r="AL102" s="161">
        <v>56</v>
      </c>
      <c r="AM102" s="161">
        <v>53</v>
      </c>
      <c r="AN102" s="162">
        <v>51</v>
      </c>
      <c r="AO102" s="162">
        <v>51</v>
      </c>
      <c r="AP102" s="162">
        <v>51</v>
      </c>
      <c r="AQ102" s="162">
        <v>51</v>
      </c>
      <c r="AR102" s="162">
        <v>51</v>
      </c>
      <c r="AS102" s="162">
        <v>51</v>
      </c>
      <c r="AT102" s="162">
        <v>51</v>
      </c>
      <c r="AU102" s="162">
        <v>51</v>
      </c>
    </row>
    <row r="103" spans="1:47" ht="15">
      <c r="A103" s="8" t="s">
        <v>135</v>
      </c>
      <c r="B103" s="155">
        <v>128</v>
      </c>
      <c r="C103" s="155">
        <v>128</v>
      </c>
      <c r="D103" s="155">
        <v>128</v>
      </c>
      <c r="E103" s="155">
        <v>123</v>
      </c>
      <c r="F103" s="155">
        <v>119</v>
      </c>
      <c r="G103" s="155">
        <v>114</v>
      </c>
      <c r="H103" s="155">
        <v>110</v>
      </c>
      <c r="I103" s="155">
        <v>100</v>
      </c>
      <c r="J103" s="155">
        <v>91</v>
      </c>
      <c r="K103" s="155">
        <v>81</v>
      </c>
      <c r="L103" s="155">
        <v>78</v>
      </c>
      <c r="M103" s="155">
        <v>75</v>
      </c>
      <c r="N103" s="155">
        <v>71</v>
      </c>
      <c r="O103" s="155">
        <v>68</v>
      </c>
      <c r="P103" s="155">
        <v>65</v>
      </c>
      <c r="Q103" s="155">
        <v>65</v>
      </c>
      <c r="R103" s="155">
        <v>65</v>
      </c>
      <c r="S103" s="155">
        <v>65</v>
      </c>
      <c r="T103" s="155">
        <v>65</v>
      </c>
      <c r="U103" s="155">
        <v>65</v>
      </c>
      <c r="V103" s="155">
        <v>65</v>
      </c>
      <c r="W103" s="155">
        <v>65</v>
      </c>
      <c r="Y103" s="182" t="s">
        <v>135</v>
      </c>
      <c r="Z103" s="158">
        <v>99</v>
      </c>
      <c r="AA103" s="158">
        <v>99</v>
      </c>
      <c r="AB103" s="158">
        <v>99</v>
      </c>
      <c r="AC103" s="159">
        <v>95</v>
      </c>
      <c r="AD103" s="159">
        <v>92</v>
      </c>
      <c r="AE103" s="159">
        <v>88</v>
      </c>
      <c r="AF103" s="159">
        <v>85</v>
      </c>
      <c r="AG103" s="159">
        <v>77</v>
      </c>
      <c r="AH103" s="159">
        <v>70</v>
      </c>
      <c r="AI103" s="160">
        <v>63</v>
      </c>
      <c r="AJ103" s="161">
        <v>60</v>
      </c>
      <c r="AK103" s="161">
        <v>58</v>
      </c>
      <c r="AL103" s="161">
        <v>55</v>
      </c>
      <c r="AM103" s="161">
        <v>53</v>
      </c>
      <c r="AN103" s="162">
        <v>50</v>
      </c>
      <c r="AO103" s="162">
        <v>50</v>
      </c>
      <c r="AP103" s="162">
        <v>50</v>
      </c>
      <c r="AQ103" s="162">
        <v>50</v>
      </c>
      <c r="AR103" s="162">
        <v>50</v>
      </c>
      <c r="AS103" s="162">
        <v>50</v>
      </c>
      <c r="AT103" s="162">
        <v>50</v>
      </c>
      <c r="AU103" s="162">
        <v>50</v>
      </c>
    </row>
    <row r="104" spans="1:47" ht="15">
      <c r="A104" s="8" t="s">
        <v>138</v>
      </c>
      <c r="B104" s="155">
        <v>126</v>
      </c>
      <c r="C104" s="155">
        <v>126</v>
      </c>
      <c r="D104" s="155">
        <v>126</v>
      </c>
      <c r="E104" s="155">
        <v>120</v>
      </c>
      <c r="F104" s="186">
        <v>117</v>
      </c>
      <c r="G104" s="155">
        <v>111</v>
      </c>
      <c r="H104" s="155">
        <v>107</v>
      </c>
      <c r="I104" s="155">
        <v>98</v>
      </c>
      <c r="J104" s="155">
        <v>89</v>
      </c>
      <c r="K104" s="155">
        <v>80</v>
      </c>
      <c r="L104" s="155">
        <v>76</v>
      </c>
      <c r="M104" s="155">
        <v>74</v>
      </c>
      <c r="N104" s="155">
        <v>70</v>
      </c>
      <c r="O104" s="155">
        <v>67</v>
      </c>
      <c r="P104" s="155">
        <v>63</v>
      </c>
      <c r="Q104" s="155">
        <v>63</v>
      </c>
      <c r="R104" s="155">
        <v>63</v>
      </c>
      <c r="S104" s="155">
        <v>63</v>
      </c>
      <c r="T104" s="155">
        <v>63</v>
      </c>
      <c r="U104" s="155">
        <v>63</v>
      </c>
      <c r="V104" s="155">
        <v>63</v>
      </c>
      <c r="W104" s="155">
        <v>63</v>
      </c>
      <c r="Y104" s="182" t="s">
        <v>138</v>
      </c>
      <c r="Z104" s="158">
        <v>97</v>
      </c>
      <c r="AA104" s="158">
        <v>97</v>
      </c>
      <c r="AB104" s="158">
        <v>97</v>
      </c>
      <c r="AC104" s="159">
        <v>93</v>
      </c>
      <c r="AD104" s="159">
        <v>90</v>
      </c>
      <c r="AE104" s="159">
        <v>86</v>
      </c>
      <c r="AF104" s="159">
        <v>83</v>
      </c>
      <c r="AG104" s="159">
        <v>76</v>
      </c>
      <c r="AH104" s="159">
        <v>69</v>
      </c>
      <c r="AI104" s="160">
        <v>62</v>
      </c>
      <c r="AJ104" s="161">
        <v>59</v>
      </c>
      <c r="AK104" s="161">
        <v>57</v>
      </c>
      <c r="AL104" s="161">
        <v>54</v>
      </c>
      <c r="AM104" s="161">
        <v>52</v>
      </c>
      <c r="AN104" s="162">
        <v>49</v>
      </c>
      <c r="AO104" s="162">
        <v>49</v>
      </c>
      <c r="AP104" s="162">
        <v>49</v>
      </c>
      <c r="AQ104" s="162">
        <v>49</v>
      </c>
      <c r="AR104" s="162">
        <v>49</v>
      </c>
      <c r="AS104" s="162">
        <v>49</v>
      </c>
      <c r="AT104" s="162">
        <v>49</v>
      </c>
      <c r="AU104" s="162">
        <v>49</v>
      </c>
    </row>
    <row r="105" spans="1:47" ht="15">
      <c r="A105" s="187" t="s">
        <v>141</v>
      </c>
      <c r="B105" s="155">
        <v>124</v>
      </c>
      <c r="C105" s="155">
        <v>124</v>
      </c>
      <c r="D105" s="155">
        <v>124</v>
      </c>
      <c r="E105" s="155">
        <v>119</v>
      </c>
      <c r="F105" s="155">
        <v>115</v>
      </c>
      <c r="G105" s="155">
        <v>110</v>
      </c>
      <c r="H105" s="155">
        <v>106</v>
      </c>
      <c r="I105" s="155">
        <v>97</v>
      </c>
      <c r="J105" s="155">
        <v>88</v>
      </c>
      <c r="K105" s="155">
        <v>79</v>
      </c>
      <c r="L105" s="155">
        <v>76</v>
      </c>
      <c r="M105" s="155">
        <v>72</v>
      </c>
      <c r="N105" s="155">
        <v>70</v>
      </c>
      <c r="O105" s="155">
        <v>66</v>
      </c>
      <c r="P105" s="155">
        <v>62</v>
      </c>
      <c r="Q105" s="155">
        <v>62</v>
      </c>
      <c r="R105" s="155">
        <v>62</v>
      </c>
      <c r="S105" s="155">
        <v>62</v>
      </c>
      <c r="T105" s="155">
        <v>62</v>
      </c>
      <c r="U105" s="155">
        <v>62</v>
      </c>
      <c r="V105" s="155">
        <v>62</v>
      </c>
      <c r="W105" s="155">
        <v>62</v>
      </c>
      <c r="Y105" s="188" t="s">
        <v>141</v>
      </c>
      <c r="Z105" s="158">
        <v>96</v>
      </c>
      <c r="AA105" s="158">
        <v>96</v>
      </c>
      <c r="AB105" s="158">
        <v>96</v>
      </c>
      <c r="AC105" s="159">
        <v>92</v>
      </c>
      <c r="AD105" s="159">
        <v>89</v>
      </c>
      <c r="AE105" s="159">
        <v>85</v>
      </c>
      <c r="AF105" s="159">
        <v>82</v>
      </c>
      <c r="AG105" s="159">
        <v>75</v>
      </c>
      <c r="AH105" s="159">
        <v>68</v>
      </c>
      <c r="AI105" s="160">
        <v>61</v>
      </c>
      <c r="AJ105" s="161">
        <v>59</v>
      </c>
      <c r="AK105" s="161">
        <v>56</v>
      </c>
      <c r="AL105" s="161">
        <v>54</v>
      </c>
      <c r="AM105" s="161">
        <v>51</v>
      </c>
      <c r="AN105" s="162">
        <v>48</v>
      </c>
      <c r="AO105" s="162">
        <v>48</v>
      </c>
      <c r="AP105" s="162">
        <v>48</v>
      </c>
      <c r="AQ105" s="162">
        <v>48</v>
      </c>
      <c r="AR105" s="162">
        <v>48</v>
      </c>
      <c r="AS105" s="162">
        <v>48</v>
      </c>
      <c r="AT105" s="162">
        <v>48</v>
      </c>
      <c r="AU105" s="162">
        <v>48</v>
      </c>
    </row>
    <row r="106" spans="1:47" ht="15">
      <c r="A106" s="8" t="s">
        <v>144</v>
      </c>
      <c r="B106" s="155">
        <v>123</v>
      </c>
      <c r="C106" s="155">
        <v>123</v>
      </c>
      <c r="D106" s="155">
        <v>123</v>
      </c>
      <c r="E106" s="155">
        <v>118</v>
      </c>
      <c r="F106" s="155">
        <v>114</v>
      </c>
      <c r="G106" s="155">
        <v>110</v>
      </c>
      <c r="H106" s="155">
        <v>105</v>
      </c>
      <c r="I106" s="155">
        <v>96</v>
      </c>
      <c r="J106" s="155">
        <v>87</v>
      </c>
      <c r="K106" s="155">
        <v>78</v>
      </c>
      <c r="L106" s="155">
        <v>75</v>
      </c>
      <c r="M106" s="155">
        <v>71</v>
      </c>
      <c r="N106" s="155">
        <v>68</v>
      </c>
      <c r="O106" s="155">
        <v>66</v>
      </c>
      <c r="P106" s="155">
        <v>62</v>
      </c>
      <c r="Q106" s="155">
        <v>62</v>
      </c>
      <c r="R106" s="155">
        <v>62</v>
      </c>
      <c r="S106" s="155">
        <v>62</v>
      </c>
      <c r="T106" s="155">
        <v>62</v>
      </c>
      <c r="U106" s="155">
        <v>62</v>
      </c>
      <c r="V106" s="155">
        <v>62</v>
      </c>
      <c r="W106" s="155">
        <v>62</v>
      </c>
      <c r="Y106" s="182" t="s">
        <v>144</v>
      </c>
      <c r="Z106" s="158">
        <v>95</v>
      </c>
      <c r="AA106" s="158">
        <v>95</v>
      </c>
      <c r="AB106" s="158">
        <v>95</v>
      </c>
      <c r="AC106" s="159">
        <v>91</v>
      </c>
      <c r="AD106" s="159">
        <v>88</v>
      </c>
      <c r="AE106" s="159">
        <v>85</v>
      </c>
      <c r="AF106" s="159">
        <v>81</v>
      </c>
      <c r="AG106" s="159">
        <v>74</v>
      </c>
      <c r="AH106" s="159">
        <v>67</v>
      </c>
      <c r="AI106" s="160">
        <v>60</v>
      </c>
      <c r="AJ106" s="161">
        <v>58</v>
      </c>
      <c r="AK106" s="161">
        <v>55</v>
      </c>
      <c r="AL106" s="161">
        <v>53</v>
      </c>
      <c r="AM106" s="161">
        <v>51</v>
      </c>
      <c r="AN106" s="162">
        <v>48</v>
      </c>
      <c r="AO106" s="162">
        <v>48</v>
      </c>
      <c r="AP106" s="162">
        <v>48</v>
      </c>
      <c r="AQ106" s="162">
        <v>48</v>
      </c>
      <c r="AR106" s="162">
        <v>48</v>
      </c>
      <c r="AS106" s="162">
        <v>48</v>
      </c>
      <c r="AT106" s="162">
        <v>48</v>
      </c>
      <c r="AU106" s="162">
        <v>48</v>
      </c>
    </row>
    <row r="107" spans="1:47" ht="15">
      <c r="A107" s="189" t="s">
        <v>146</v>
      </c>
      <c r="B107" s="155">
        <v>120</v>
      </c>
      <c r="C107" s="155">
        <v>120</v>
      </c>
      <c r="D107" s="155">
        <v>120</v>
      </c>
      <c r="E107" s="155">
        <v>115</v>
      </c>
      <c r="F107" s="155">
        <v>111</v>
      </c>
      <c r="G107" s="155">
        <v>107</v>
      </c>
      <c r="H107" s="155">
        <v>102</v>
      </c>
      <c r="I107" s="155">
        <v>94</v>
      </c>
      <c r="J107" s="155">
        <v>85</v>
      </c>
      <c r="K107" s="155">
        <v>76</v>
      </c>
      <c r="L107" s="155">
        <v>74</v>
      </c>
      <c r="M107" s="155">
        <v>70</v>
      </c>
      <c r="N107" s="155">
        <v>67</v>
      </c>
      <c r="O107" s="155">
        <v>63</v>
      </c>
      <c r="P107" s="155">
        <v>61</v>
      </c>
      <c r="Q107" s="155">
        <v>61</v>
      </c>
      <c r="R107" s="155">
        <v>61</v>
      </c>
      <c r="S107" s="155">
        <v>61</v>
      </c>
      <c r="T107" s="155">
        <v>61</v>
      </c>
      <c r="U107" s="155">
        <v>61</v>
      </c>
      <c r="V107" s="155">
        <v>61</v>
      </c>
      <c r="W107" s="155">
        <v>61</v>
      </c>
      <c r="Y107" s="182" t="s">
        <v>146</v>
      </c>
      <c r="Z107" s="158">
        <v>93</v>
      </c>
      <c r="AA107" s="158">
        <v>93</v>
      </c>
      <c r="AB107" s="158">
        <v>93</v>
      </c>
      <c r="AC107" s="159">
        <v>89</v>
      </c>
      <c r="AD107" s="159">
        <v>86</v>
      </c>
      <c r="AE107" s="159">
        <v>83</v>
      </c>
      <c r="AF107" s="159">
        <v>79</v>
      </c>
      <c r="AG107" s="159">
        <v>73</v>
      </c>
      <c r="AH107" s="159">
        <v>66</v>
      </c>
      <c r="AI107" s="160">
        <v>59</v>
      </c>
      <c r="AJ107" s="161">
        <v>57</v>
      </c>
      <c r="AK107" s="161">
        <v>54</v>
      </c>
      <c r="AL107" s="161">
        <v>52</v>
      </c>
      <c r="AM107" s="161">
        <v>49</v>
      </c>
      <c r="AN107" s="162">
        <v>47</v>
      </c>
      <c r="AO107" s="162">
        <v>47</v>
      </c>
      <c r="AP107" s="162">
        <v>47</v>
      </c>
      <c r="AQ107" s="162">
        <v>47</v>
      </c>
      <c r="AR107" s="162">
        <v>47</v>
      </c>
      <c r="AS107" s="162">
        <v>47</v>
      </c>
      <c r="AT107" s="162">
        <v>47</v>
      </c>
      <c r="AU107" s="162">
        <v>47</v>
      </c>
    </row>
    <row r="108" spans="1:47" ht="15">
      <c r="A108" s="8" t="s">
        <v>339</v>
      </c>
      <c r="B108" s="155">
        <v>118</v>
      </c>
      <c r="C108" s="155">
        <v>118</v>
      </c>
      <c r="D108" s="155">
        <v>118</v>
      </c>
      <c r="E108" s="155">
        <v>114</v>
      </c>
      <c r="F108" s="155">
        <v>109</v>
      </c>
      <c r="G108" s="155">
        <v>105</v>
      </c>
      <c r="H108" s="155">
        <v>101</v>
      </c>
      <c r="I108" s="155">
        <v>92</v>
      </c>
      <c r="J108" s="155">
        <v>83</v>
      </c>
      <c r="K108" s="155">
        <v>75</v>
      </c>
      <c r="L108" s="155">
        <v>71</v>
      </c>
      <c r="M108" s="155">
        <v>68</v>
      </c>
      <c r="N108" s="155">
        <v>66</v>
      </c>
      <c r="O108" s="155">
        <v>62</v>
      </c>
      <c r="P108" s="155">
        <v>59</v>
      </c>
      <c r="Q108" s="155">
        <v>59</v>
      </c>
      <c r="R108" s="155">
        <v>59</v>
      </c>
      <c r="S108" s="155">
        <v>59</v>
      </c>
      <c r="T108" s="155">
        <v>59</v>
      </c>
      <c r="U108" s="155">
        <v>59</v>
      </c>
      <c r="V108" s="155">
        <v>59</v>
      </c>
      <c r="W108" s="155">
        <v>59</v>
      </c>
      <c r="Y108" s="182" t="s">
        <v>339</v>
      </c>
      <c r="Z108" s="158">
        <v>91</v>
      </c>
      <c r="AA108" s="158">
        <v>91</v>
      </c>
      <c r="AB108" s="158">
        <v>91</v>
      </c>
      <c r="AC108" s="159">
        <v>88</v>
      </c>
      <c r="AD108" s="159">
        <v>84</v>
      </c>
      <c r="AE108" s="159">
        <v>81</v>
      </c>
      <c r="AF108" s="159">
        <v>78</v>
      </c>
      <c r="AG108" s="159">
        <v>71</v>
      </c>
      <c r="AH108" s="159">
        <v>64</v>
      </c>
      <c r="AI108" s="160">
        <v>58</v>
      </c>
      <c r="AJ108" s="161">
        <v>55</v>
      </c>
      <c r="AK108" s="161">
        <v>53</v>
      </c>
      <c r="AL108" s="161">
        <v>51</v>
      </c>
      <c r="AM108" s="161">
        <v>48</v>
      </c>
      <c r="AN108" s="162">
        <v>46</v>
      </c>
      <c r="AO108" s="162">
        <v>46</v>
      </c>
      <c r="AP108" s="162">
        <v>46</v>
      </c>
      <c r="AQ108" s="162">
        <v>46</v>
      </c>
      <c r="AR108" s="162">
        <v>46</v>
      </c>
      <c r="AS108" s="162">
        <v>46</v>
      </c>
      <c r="AT108" s="162">
        <v>46</v>
      </c>
      <c r="AU108" s="162">
        <v>46</v>
      </c>
    </row>
    <row r="109" spans="1:47" ht="15">
      <c r="A109" s="8" t="s">
        <v>150</v>
      </c>
      <c r="B109" s="186">
        <v>117</v>
      </c>
      <c r="C109" s="186">
        <v>117</v>
      </c>
      <c r="D109" s="186">
        <v>117</v>
      </c>
      <c r="E109" s="155">
        <v>113</v>
      </c>
      <c r="F109" s="155">
        <v>107</v>
      </c>
      <c r="G109" s="155">
        <v>104</v>
      </c>
      <c r="H109" s="155">
        <v>100</v>
      </c>
      <c r="I109" s="155">
        <v>91</v>
      </c>
      <c r="J109" s="155">
        <v>83</v>
      </c>
      <c r="K109" s="155">
        <v>74</v>
      </c>
      <c r="L109" s="155">
        <v>71</v>
      </c>
      <c r="M109" s="155">
        <v>68</v>
      </c>
      <c r="N109" s="155">
        <v>65</v>
      </c>
      <c r="O109" s="155">
        <v>62</v>
      </c>
      <c r="P109" s="155">
        <v>58</v>
      </c>
      <c r="Q109" s="155">
        <v>58</v>
      </c>
      <c r="R109" s="155">
        <v>58</v>
      </c>
      <c r="S109" s="155">
        <v>58</v>
      </c>
      <c r="T109" s="155">
        <v>58</v>
      </c>
      <c r="U109" s="155">
        <v>58</v>
      </c>
      <c r="V109" s="155">
        <v>58</v>
      </c>
      <c r="W109" s="155">
        <v>58</v>
      </c>
      <c r="Y109" s="182" t="s">
        <v>150</v>
      </c>
      <c r="Z109" s="158">
        <v>90</v>
      </c>
      <c r="AA109" s="158">
        <v>90</v>
      </c>
      <c r="AB109" s="158">
        <v>90</v>
      </c>
      <c r="AC109" s="159">
        <v>87</v>
      </c>
      <c r="AD109" s="159">
        <v>83</v>
      </c>
      <c r="AE109" s="159">
        <v>80</v>
      </c>
      <c r="AF109" s="159">
        <v>77</v>
      </c>
      <c r="AG109" s="159">
        <v>70</v>
      </c>
      <c r="AH109" s="159">
        <v>64</v>
      </c>
      <c r="AI109" s="160">
        <v>57</v>
      </c>
      <c r="AJ109" s="161">
        <v>55</v>
      </c>
      <c r="AK109" s="161">
        <v>53</v>
      </c>
      <c r="AL109" s="161">
        <v>50</v>
      </c>
      <c r="AM109" s="161">
        <v>48</v>
      </c>
      <c r="AN109" s="162">
        <v>45</v>
      </c>
      <c r="AO109" s="162">
        <v>45</v>
      </c>
      <c r="AP109" s="162">
        <v>45</v>
      </c>
      <c r="AQ109" s="162">
        <v>45</v>
      </c>
      <c r="AR109" s="162">
        <v>45</v>
      </c>
      <c r="AS109" s="162">
        <v>45</v>
      </c>
      <c r="AT109" s="162">
        <v>45</v>
      </c>
      <c r="AU109" s="162">
        <v>45</v>
      </c>
    </row>
    <row r="110" spans="1:47" ht="15">
      <c r="A110" s="189" t="s">
        <v>151</v>
      </c>
      <c r="B110" s="155">
        <v>114</v>
      </c>
      <c r="C110" s="155">
        <v>114</v>
      </c>
      <c r="D110" s="155">
        <v>114</v>
      </c>
      <c r="E110" s="155">
        <v>110</v>
      </c>
      <c r="F110" s="155">
        <v>106</v>
      </c>
      <c r="G110" s="155">
        <v>101</v>
      </c>
      <c r="H110" s="155">
        <v>97</v>
      </c>
      <c r="I110" s="155">
        <v>89</v>
      </c>
      <c r="J110" s="155">
        <v>80</v>
      </c>
      <c r="K110" s="155">
        <v>72</v>
      </c>
      <c r="L110" s="155">
        <v>70</v>
      </c>
      <c r="M110" s="155">
        <v>66</v>
      </c>
      <c r="N110" s="155">
        <v>63</v>
      </c>
      <c r="O110" s="155">
        <v>61</v>
      </c>
      <c r="P110" s="155">
        <v>57</v>
      </c>
      <c r="Q110" s="155">
        <v>57</v>
      </c>
      <c r="R110" s="155">
        <v>57</v>
      </c>
      <c r="S110" s="155">
        <v>57</v>
      </c>
      <c r="T110" s="155">
        <v>57</v>
      </c>
      <c r="U110" s="155">
        <v>57</v>
      </c>
      <c r="V110" s="155">
        <v>57</v>
      </c>
      <c r="W110" s="155">
        <v>57</v>
      </c>
      <c r="Y110" s="182" t="s">
        <v>151</v>
      </c>
      <c r="Z110" s="158">
        <v>88</v>
      </c>
      <c r="AA110" s="158">
        <v>88</v>
      </c>
      <c r="AB110" s="158">
        <v>88</v>
      </c>
      <c r="AC110" s="159">
        <v>85</v>
      </c>
      <c r="AD110" s="159">
        <v>82</v>
      </c>
      <c r="AE110" s="159">
        <v>78</v>
      </c>
      <c r="AF110" s="159">
        <v>75</v>
      </c>
      <c r="AG110" s="159">
        <v>69</v>
      </c>
      <c r="AH110" s="159">
        <v>62</v>
      </c>
      <c r="AI110" s="160">
        <v>56</v>
      </c>
      <c r="AJ110" s="161">
        <v>54</v>
      </c>
      <c r="AK110" s="161">
        <v>51</v>
      </c>
      <c r="AL110" s="161">
        <v>49</v>
      </c>
      <c r="AM110" s="161">
        <v>47</v>
      </c>
      <c r="AN110" s="162">
        <v>44</v>
      </c>
      <c r="AO110" s="162">
        <v>44</v>
      </c>
      <c r="AP110" s="162">
        <v>44</v>
      </c>
      <c r="AQ110" s="162">
        <v>44</v>
      </c>
      <c r="AR110" s="162">
        <v>44</v>
      </c>
      <c r="AS110" s="162">
        <v>44</v>
      </c>
      <c r="AT110" s="162">
        <v>44</v>
      </c>
      <c r="AU110" s="162">
        <v>44</v>
      </c>
    </row>
    <row r="111" spans="1:47" ht="15">
      <c r="A111" s="8" t="s">
        <v>152</v>
      </c>
      <c r="B111" s="155">
        <v>113</v>
      </c>
      <c r="C111" s="155">
        <v>113</v>
      </c>
      <c r="D111" s="155">
        <v>113</v>
      </c>
      <c r="E111" s="155">
        <v>109</v>
      </c>
      <c r="F111" s="155">
        <v>105</v>
      </c>
      <c r="G111" s="155">
        <v>100</v>
      </c>
      <c r="H111" s="155">
        <v>96</v>
      </c>
      <c r="I111" s="155">
        <v>88</v>
      </c>
      <c r="J111" s="155">
        <v>80</v>
      </c>
      <c r="K111" s="155">
        <v>71</v>
      </c>
      <c r="L111" s="155">
        <v>68</v>
      </c>
      <c r="M111" s="155">
        <v>66</v>
      </c>
      <c r="N111" s="155">
        <v>63</v>
      </c>
      <c r="O111" s="155">
        <v>59</v>
      </c>
      <c r="P111" s="155">
        <v>57</v>
      </c>
      <c r="Q111" s="155">
        <v>57</v>
      </c>
      <c r="R111" s="155">
        <v>57</v>
      </c>
      <c r="S111" s="155">
        <v>57</v>
      </c>
      <c r="T111" s="155">
        <v>57</v>
      </c>
      <c r="U111" s="155">
        <v>57</v>
      </c>
      <c r="V111" s="155">
        <v>57</v>
      </c>
      <c r="W111" s="155">
        <v>57</v>
      </c>
      <c r="Y111" s="182" t="s">
        <v>152</v>
      </c>
      <c r="Z111" s="158">
        <v>87</v>
      </c>
      <c r="AA111" s="158">
        <v>87</v>
      </c>
      <c r="AB111" s="158">
        <v>87</v>
      </c>
      <c r="AC111" s="159">
        <v>84</v>
      </c>
      <c r="AD111" s="159">
        <v>81</v>
      </c>
      <c r="AE111" s="159">
        <v>77</v>
      </c>
      <c r="AF111" s="159">
        <v>74</v>
      </c>
      <c r="AG111" s="159">
        <v>68</v>
      </c>
      <c r="AH111" s="159">
        <v>62</v>
      </c>
      <c r="AI111" s="160">
        <v>55</v>
      </c>
      <c r="AJ111" s="161">
        <v>53</v>
      </c>
      <c r="AK111" s="161">
        <v>51</v>
      </c>
      <c r="AL111" s="161">
        <v>49</v>
      </c>
      <c r="AM111" s="161">
        <v>46</v>
      </c>
      <c r="AN111" s="162">
        <v>44</v>
      </c>
      <c r="AO111" s="162">
        <v>44</v>
      </c>
      <c r="AP111" s="162">
        <v>44</v>
      </c>
      <c r="AQ111" s="162">
        <v>44</v>
      </c>
      <c r="AR111" s="162">
        <v>44</v>
      </c>
      <c r="AS111" s="162">
        <v>44</v>
      </c>
      <c r="AT111" s="162">
        <v>44</v>
      </c>
      <c r="AU111" s="162">
        <v>44</v>
      </c>
    </row>
    <row r="112" spans="1:47" ht="15">
      <c r="A112" s="150" t="s">
        <v>328</v>
      </c>
      <c r="B112" s="151" t="s">
        <v>24</v>
      </c>
      <c r="C112" s="151" t="s">
        <v>25</v>
      </c>
      <c r="D112" s="151" t="s">
        <v>26</v>
      </c>
      <c r="E112" s="151" t="s">
        <v>27</v>
      </c>
      <c r="F112" s="151" t="s">
        <v>28</v>
      </c>
      <c r="G112" s="151" t="s">
        <v>74</v>
      </c>
      <c r="H112" s="151" t="s">
        <v>75</v>
      </c>
      <c r="I112" s="151" t="s">
        <v>76</v>
      </c>
      <c r="J112" s="151" t="s">
        <v>77</v>
      </c>
      <c r="K112" s="151" t="s">
        <v>78</v>
      </c>
      <c r="L112" s="151" t="s">
        <v>79</v>
      </c>
      <c r="M112" s="151" t="s">
        <v>80</v>
      </c>
      <c r="N112" s="16" t="s">
        <v>81</v>
      </c>
      <c r="O112" s="16" t="s">
        <v>82</v>
      </c>
      <c r="P112" s="16" t="s">
        <v>83</v>
      </c>
      <c r="Q112" s="16" t="s">
        <v>84</v>
      </c>
      <c r="R112" s="151" t="s">
        <v>85</v>
      </c>
      <c r="S112" s="16" t="s">
        <v>86</v>
      </c>
      <c r="T112" s="16" t="s">
        <v>87</v>
      </c>
      <c r="U112" s="16" t="s">
        <v>88</v>
      </c>
      <c r="V112" s="16" t="s">
        <v>89</v>
      </c>
      <c r="W112" s="151" t="s">
        <v>90</v>
      </c>
      <c r="Y112" s="150" t="s">
        <v>328</v>
      </c>
      <c r="Z112" s="151" t="s">
        <v>24</v>
      </c>
      <c r="AA112" s="151" t="s">
        <v>25</v>
      </c>
      <c r="AB112" s="151" t="s">
        <v>26</v>
      </c>
      <c r="AC112" s="16">
        <v>35</v>
      </c>
      <c r="AD112" s="16">
        <v>40</v>
      </c>
      <c r="AE112" s="151">
        <v>45</v>
      </c>
      <c r="AF112" s="151">
        <v>50</v>
      </c>
      <c r="AG112" s="152">
        <v>60</v>
      </c>
      <c r="AH112" s="151">
        <v>70</v>
      </c>
      <c r="AI112" s="152">
        <v>80</v>
      </c>
      <c r="AJ112" s="16">
        <v>90</v>
      </c>
      <c r="AK112" s="151">
        <v>100</v>
      </c>
      <c r="AL112" s="16">
        <v>110</v>
      </c>
      <c r="AM112" s="16">
        <v>120</v>
      </c>
      <c r="AN112" s="16">
        <v>130</v>
      </c>
      <c r="AO112" s="16">
        <v>140</v>
      </c>
      <c r="AP112" s="151">
        <v>150</v>
      </c>
      <c r="AQ112" s="16">
        <v>160</v>
      </c>
      <c r="AR112" s="16">
        <v>170</v>
      </c>
      <c r="AS112" s="16">
        <v>180</v>
      </c>
      <c r="AT112" s="16">
        <v>190</v>
      </c>
      <c r="AU112" s="16" t="s">
        <v>90</v>
      </c>
    </row>
    <row r="113" spans="1:47" ht="15">
      <c r="A113" s="8" t="s">
        <v>106</v>
      </c>
      <c r="B113" s="155">
        <f t="array" ref="B113:W117">INT($Z$113:$AU$117*1.3)</f>
        <v>114</v>
      </c>
      <c r="C113" s="155">
        <v>114</v>
      </c>
      <c r="D113" s="155">
        <v>114</v>
      </c>
      <c r="E113" s="155">
        <v>106</v>
      </c>
      <c r="F113" s="155">
        <v>97</v>
      </c>
      <c r="G113" s="155">
        <v>88</v>
      </c>
      <c r="H113" s="155">
        <v>80</v>
      </c>
      <c r="I113" s="155">
        <v>63</v>
      </c>
      <c r="J113" s="155">
        <v>58</v>
      </c>
      <c r="K113" s="155">
        <v>54</v>
      </c>
      <c r="L113" s="155">
        <v>54</v>
      </c>
      <c r="M113" s="155">
        <v>54</v>
      </c>
      <c r="N113" s="155">
        <v>54</v>
      </c>
      <c r="O113" s="155">
        <v>54</v>
      </c>
      <c r="P113" s="155">
        <v>54</v>
      </c>
      <c r="Q113" s="155">
        <v>54</v>
      </c>
      <c r="R113" s="155">
        <v>54</v>
      </c>
      <c r="S113" s="155">
        <v>54</v>
      </c>
      <c r="T113" s="155">
        <v>54</v>
      </c>
      <c r="U113" s="155">
        <v>54</v>
      </c>
      <c r="V113" s="155">
        <v>54</v>
      </c>
      <c r="W113" s="155">
        <v>54</v>
      </c>
      <c r="Y113" s="182" t="s">
        <v>106</v>
      </c>
      <c r="Z113" s="158">
        <v>88</v>
      </c>
      <c r="AA113" s="158">
        <v>88</v>
      </c>
      <c r="AB113" s="158">
        <v>88</v>
      </c>
      <c r="AC113" s="159">
        <v>82</v>
      </c>
      <c r="AD113" s="159">
        <v>75</v>
      </c>
      <c r="AE113" s="159">
        <v>68</v>
      </c>
      <c r="AF113" s="159">
        <v>62</v>
      </c>
      <c r="AG113" s="160">
        <v>49</v>
      </c>
      <c r="AH113" s="161">
        <v>45</v>
      </c>
      <c r="AI113" s="162">
        <v>42</v>
      </c>
      <c r="AJ113" s="162">
        <v>42</v>
      </c>
      <c r="AK113" s="162">
        <v>42</v>
      </c>
      <c r="AL113" s="162">
        <v>42</v>
      </c>
      <c r="AM113" s="162">
        <v>42</v>
      </c>
      <c r="AN113" s="162">
        <v>42</v>
      </c>
      <c r="AO113" s="162">
        <v>42</v>
      </c>
      <c r="AP113" s="162">
        <v>42</v>
      </c>
      <c r="AQ113" s="162">
        <v>42</v>
      </c>
      <c r="AR113" s="162">
        <v>42</v>
      </c>
      <c r="AS113" s="162">
        <v>42</v>
      </c>
      <c r="AT113" s="162">
        <v>42</v>
      </c>
      <c r="AU113" s="162">
        <v>42</v>
      </c>
    </row>
    <row r="114" spans="1:47" ht="15">
      <c r="A114" s="52" t="s">
        <v>108</v>
      </c>
      <c r="B114" s="155">
        <v>110</v>
      </c>
      <c r="C114" s="155">
        <v>110</v>
      </c>
      <c r="D114" s="155">
        <v>110</v>
      </c>
      <c r="E114" s="155">
        <v>101</v>
      </c>
      <c r="F114" s="155">
        <v>93</v>
      </c>
      <c r="G114" s="155">
        <v>85</v>
      </c>
      <c r="H114" s="155">
        <v>76</v>
      </c>
      <c r="I114" s="155">
        <v>61</v>
      </c>
      <c r="J114" s="155">
        <v>55</v>
      </c>
      <c r="K114" s="155">
        <v>52</v>
      </c>
      <c r="L114" s="155">
        <v>52</v>
      </c>
      <c r="M114" s="155">
        <v>52</v>
      </c>
      <c r="N114" s="155">
        <v>52</v>
      </c>
      <c r="O114" s="155">
        <v>52</v>
      </c>
      <c r="P114" s="155">
        <v>52</v>
      </c>
      <c r="Q114" s="155">
        <v>52</v>
      </c>
      <c r="R114" s="155">
        <v>52</v>
      </c>
      <c r="S114" s="155">
        <v>52</v>
      </c>
      <c r="T114" s="155">
        <v>52</v>
      </c>
      <c r="U114" s="155">
        <v>52</v>
      </c>
      <c r="V114" s="155">
        <v>52</v>
      </c>
      <c r="W114" s="155">
        <v>52</v>
      </c>
      <c r="Y114" s="183" t="s">
        <v>108</v>
      </c>
      <c r="Z114" s="158">
        <v>85</v>
      </c>
      <c r="AA114" s="158">
        <v>85</v>
      </c>
      <c r="AB114" s="158">
        <v>85</v>
      </c>
      <c r="AC114" s="159">
        <v>78</v>
      </c>
      <c r="AD114" s="159">
        <v>72</v>
      </c>
      <c r="AE114" s="159">
        <v>66</v>
      </c>
      <c r="AF114" s="159">
        <v>59</v>
      </c>
      <c r="AG114" s="160">
        <v>47</v>
      </c>
      <c r="AH114" s="161">
        <v>43</v>
      </c>
      <c r="AI114" s="162">
        <v>40</v>
      </c>
      <c r="AJ114" s="162">
        <v>40</v>
      </c>
      <c r="AK114" s="162">
        <v>40</v>
      </c>
      <c r="AL114" s="162">
        <v>40</v>
      </c>
      <c r="AM114" s="162">
        <v>40</v>
      </c>
      <c r="AN114" s="162">
        <v>40</v>
      </c>
      <c r="AO114" s="162">
        <v>40</v>
      </c>
      <c r="AP114" s="162">
        <v>40</v>
      </c>
      <c r="AQ114" s="162">
        <v>40</v>
      </c>
      <c r="AR114" s="162">
        <v>40</v>
      </c>
      <c r="AS114" s="162">
        <v>40</v>
      </c>
      <c r="AT114" s="162">
        <v>40</v>
      </c>
      <c r="AU114" s="162">
        <v>40</v>
      </c>
    </row>
    <row r="115" spans="1:47" ht="15">
      <c r="A115" s="50" t="s">
        <v>110</v>
      </c>
      <c r="B115" s="155">
        <v>107</v>
      </c>
      <c r="C115" s="155">
        <v>107</v>
      </c>
      <c r="D115" s="155">
        <v>107</v>
      </c>
      <c r="E115" s="155">
        <v>100</v>
      </c>
      <c r="F115" s="155">
        <v>92</v>
      </c>
      <c r="G115" s="155">
        <v>83</v>
      </c>
      <c r="H115" s="155">
        <v>75</v>
      </c>
      <c r="I115" s="155">
        <v>58</v>
      </c>
      <c r="J115" s="155">
        <v>54</v>
      </c>
      <c r="K115" s="155">
        <v>50</v>
      </c>
      <c r="L115" s="155">
        <v>50</v>
      </c>
      <c r="M115" s="155">
        <v>50</v>
      </c>
      <c r="N115" s="155">
        <v>50</v>
      </c>
      <c r="O115" s="155">
        <v>50</v>
      </c>
      <c r="P115" s="155">
        <v>50</v>
      </c>
      <c r="Q115" s="155">
        <v>50</v>
      </c>
      <c r="R115" s="155">
        <v>50</v>
      </c>
      <c r="S115" s="155">
        <v>50</v>
      </c>
      <c r="T115" s="155">
        <v>50</v>
      </c>
      <c r="U115" s="155">
        <v>50</v>
      </c>
      <c r="V115" s="155">
        <v>50</v>
      </c>
      <c r="W115" s="155">
        <v>50</v>
      </c>
      <c r="Y115" s="190" t="s">
        <v>110</v>
      </c>
      <c r="Z115" s="158">
        <v>83</v>
      </c>
      <c r="AA115" s="158">
        <v>83</v>
      </c>
      <c r="AB115" s="158">
        <v>83</v>
      </c>
      <c r="AC115" s="159">
        <v>77</v>
      </c>
      <c r="AD115" s="159">
        <v>71</v>
      </c>
      <c r="AE115" s="159">
        <v>64</v>
      </c>
      <c r="AF115" s="159">
        <v>58</v>
      </c>
      <c r="AG115" s="160">
        <v>45</v>
      </c>
      <c r="AH115" s="161">
        <v>42</v>
      </c>
      <c r="AI115" s="162">
        <v>39</v>
      </c>
      <c r="AJ115" s="162">
        <v>39</v>
      </c>
      <c r="AK115" s="162">
        <v>39</v>
      </c>
      <c r="AL115" s="162">
        <v>39</v>
      </c>
      <c r="AM115" s="162">
        <v>39</v>
      </c>
      <c r="AN115" s="162">
        <v>39</v>
      </c>
      <c r="AO115" s="162">
        <v>39</v>
      </c>
      <c r="AP115" s="162">
        <v>39</v>
      </c>
      <c r="AQ115" s="162">
        <v>39</v>
      </c>
      <c r="AR115" s="162">
        <v>39</v>
      </c>
      <c r="AS115" s="162">
        <v>39</v>
      </c>
      <c r="AT115" s="162">
        <v>39</v>
      </c>
      <c r="AU115" s="162">
        <v>39</v>
      </c>
    </row>
    <row r="116" spans="1:47" ht="15">
      <c r="A116" s="50" t="s">
        <v>112</v>
      </c>
      <c r="B116" s="164">
        <v>104</v>
      </c>
      <c r="C116" s="155">
        <v>104</v>
      </c>
      <c r="D116" s="155">
        <v>104</v>
      </c>
      <c r="E116" s="155">
        <v>96</v>
      </c>
      <c r="F116" s="155">
        <v>88</v>
      </c>
      <c r="G116" s="155">
        <v>80</v>
      </c>
      <c r="H116" s="155">
        <v>72</v>
      </c>
      <c r="I116" s="155">
        <v>57</v>
      </c>
      <c r="J116" s="155">
        <v>53</v>
      </c>
      <c r="K116" s="155">
        <v>49</v>
      </c>
      <c r="L116" s="155">
        <v>49</v>
      </c>
      <c r="M116" s="155">
        <v>49</v>
      </c>
      <c r="N116" s="155">
        <v>49</v>
      </c>
      <c r="O116" s="155">
        <v>49</v>
      </c>
      <c r="P116" s="155">
        <v>49</v>
      </c>
      <c r="Q116" s="155">
        <v>49</v>
      </c>
      <c r="R116" s="155">
        <v>49</v>
      </c>
      <c r="S116" s="155">
        <v>49</v>
      </c>
      <c r="T116" s="155">
        <v>49</v>
      </c>
      <c r="U116" s="155">
        <v>49</v>
      </c>
      <c r="V116" s="155">
        <v>49</v>
      </c>
      <c r="W116" s="155">
        <v>49</v>
      </c>
      <c r="Y116" s="183" t="s">
        <v>112</v>
      </c>
      <c r="Z116" s="158">
        <v>80</v>
      </c>
      <c r="AA116" s="158">
        <v>80</v>
      </c>
      <c r="AB116" s="158">
        <v>80</v>
      </c>
      <c r="AC116" s="159">
        <v>74</v>
      </c>
      <c r="AD116" s="159">
        <v>68</v>
      </c>
      <c r="AE116" s="159">
        <v>62</v>
      </c>
      <c r="AF116" s="159">
        <v>56</v>
      </c>
      <c r="AG116" s="160">
        <v>44</v>
      </c>
      <c r="AH116" s="161">
        <v>41</v>
      </c>
      <c r="AI116" s="162">
        <v>38</v>
      </c>
      <c r="AJ116" s="162">
        <v>38</v>
      </c>
      <c r="AK116" s="162">
        <v>38</v>
      </c>
      <c r="AL116" s="162">
        <v>38</v>
      </c>
      <c r="AM116" s="162">
        <v>38</v>
      </c>
      <c r="AN116" s="162">
        <v>38</v>
      </c>
      <c r="AO116" s="162">
        <v>38</v>
      </c>
      <c r="AP116" s="162">
        <v>38</v>
      </c>
      <c r="AQ116" s="162">
        <v>38</v>
      </c>
      <c r="AR116" s="162">
        <v>38</v>
      </c>
      <c r="AS116" s="162">
        <v>38</v>
      </c>
      <c r="AT116" s="162">
        <v>38</v>
      </c>
      <c r="AU116" s="162">
        <v>38</v>
      </c>
    </row>
    <row r="117" spans="1:47" ht="15">
      <c r="A117" s="50" t="s">
        <v>114</v>
      </c>
      <c r="B117" s="164">
        <v>101</v>
      </c>
      <c r="C117" s="155">
        <v>101</v>
      </c>
      <c r="D117" s="155">
        <v>101</v>
      </c>
      <c r="E117" s="155">
        <v>93</v>
      </c>
      <c r="F117" s="155">
        <v>85</v>
      </c>
      <c r="G117" s="155">
        <v>79</v>
      </c>
      <c r="H117" s="155">
        <v>71</v>
      </c>
      <c r="I117" s="155">
        <v>55</v>
      </c>
      <c r="J117" s="155">
        <v>52</v>
      </c>
      <c r="K117" s="155">
        <v>48</v>
      </c>
      <c r="L117" s="155">
        <v>48</v>
      </c>
      <c r="M117" s="155">
        <v>48</v>
      </c>
      <c r="N117" s="155">
        <v>48</v>
      </c>
      <c r="O117" s="155">
        <v>48</v>
      </c>
      <c r="P117" s="155">
        <v>48</v>
      </c>
      <c r="Q117" s="155">
        <v>48</v>
      </c>
      <c r="R117" s="155">
        <v>48</v>
      </c>
      <c r="S117" s="155">
        <v>48</v>
      </c>
      <c r="T117" s="155">
        <v>48</v>
      </c>
      <c r="U117" s="155">
        <v>48</v>
      </c>
      <c r="V117" s="155">
        <v>48</v>
      </c>
      <c r="W117" s="155">
        <v>48</v>
      </c>
      <c r="Y117" s="183" t="s">
        <v>114</v>
      </c>
      <c r="Z117" s="158">
        <v>78</v>
      </c>
      <c r="AA117" s="158">
        <v>78</v>
      </c>
      <c r="AB117" s="158">
        <v>78</v>
      </c>
      <c r="AC117" s="159">
        <v>72</v>
      </c>
      <c r="AD117" s="159">
        <v>66</v>
      </c>
      <c r="AE117" s="159">
        <v>61</v>
      </c>
      <c r="AF117" s="159">
        <v>55</v>
      </c>
      <c r="AG117" s="160">
        <v>43</v>
      </c>
      <c r="AH117" s="161">
        <v>40</v>
      </c>
      <c r="AI117" s="162">
        <v>37</v>
      </c>
      <c r="AJ117" s="162">
        <v>37</v>
      </c>
      <c r="AK117" s="162">
        <v>37</v>
      </c>
      <c r="AL117" s="162">
        <v>37</v>
      </c>
      <c r="AM117" s="162">
        <v>37</v>
      </c>
      <c r="AN117" s="162">
        <v>37</v>
      </c>
      <c r="AO117" s="162">
        <v>37</v>
      </c>
      <c r="AP117" s="162">
        <v>37</v>
      </c>
      <c r="AQ117" s="162">
        <v>37</v>
      </c>
      <c r="AR117" s="162">
        <v>37</v>
      </c>
      <c r="AS117" s="162">
        <v>37</v>
      </c>
      <c r="AT117" s="162">
        <v>37</v>
      </c>
      <c r="AU117" s="162">
        <v>37</v>
      </c>
    </row>
    <row r="118" spans="1:47" ht="15">
      <c r="A118" s="150" t="s">
        <v>333</v>
      </c>
      <c r="B118" s="151" t="s">
        <v>24</v>
      </c>
      <c r="C118" s="151" t="s">
        <v>25</v>
      </c>
      <c r="D118" s="151" t="s">
        <v>26</v>
      </c>
      <c r="E118" s="151" t="s">
        <v>27</v>
      </c>
      <c r="F118" s="151" t="s">
        <v>28</v>
      </c>
      <c r="G118" s="151" t="s">
        <v>74</v>
      </c>
      <c r="H118" s="151" t="s">
        <v>75</v>
      </c>
      <c r="I118" s="151" t="s">
        <v>76</v>
      </c>
      <c r="J118" s="151" t="s">
        <v>77</v>
      </c>
      <c r="K118" s="151" t="s">
        <v>78</v>
      </c>
      <c r="L118" s="151" t="s">
        <v>79</v>
      </c>
      <c r="M118" s="151" t="s">
        <v>80</v>
      </c>
      <c r="N118" s="16" t="s">
        <v>81</v>
      </c>
      <c r="O118" s="16" t="s">
        <v>82</v>
      </c>
      <c r="P118" s="16" t="s">
        <v>83</v>
      </c>
      <c r="Q118" s="16" t="s">
        <v>84</v>
      </c>
      <c r="R118" s="151" t="s">
        <v>85</v>
      </c>
      <c r="S118" s="16" t="s">
        <v>86</v>
      </c>
      <c r="T118" s="16" t="s">
        <v>87</v>
      </c>
      <c r="U118" s="16" t="s">
        <v>88</v>
      </c>
      <c r="V118" s="16" t="s">
        <v>89</v>
      </c>
      <c r="W118" s="151" t="s">
        <v>90</v>
      </c>
      <c r="Y118" s="191" t="s">
        <v>333</v>
      </c>
      <c r="Z118" s="151" t="s">
        <v>24</v>
      </c>
      <c r="AA118" s="151" t="s">
        <v>25</v>
      </c>
      <c r="AB118" s="151" t="s">
        <v>26</v>
      </c>
      <c r="AC118" s="16">
        <v>35</v>
      </c>
      <c r="AD118" s="16">
        <v>40</v>
      </c>
      <c r="AE118" s="151">
        <v>45</v>
      </c>
      <c r="AF118" s="151">
        <v>50</v>
      </c>
      <c r="AG118" s="152">
        <v>60</v>
      </c>
      <c r="AH118" s="151">
        <v>70</v>
      </c>
      <c r="AI118" s="152">
        <v>80</v>
      </c>
      <c r="AJ118" s="16">
        <v>90</v>
      </c>
      <c r="AK118" s="151">
        <v>100</v>
      </c>
      <c r="AL118" s="16">
        <v>110</v>
      </c>
      <c r="AM118" s="16">
        <v>120</v>
      </c>
      <c r="AN118" s="16">
        <v>130</v>
      </c>
      <c r="AO118" s="16">
        <v>140</v>
      </c>
      <c r="AP118" s="151">
        <v>150</v>
      </c>
      <c r="AQ118" s="16">
        <v>160</v>
      </c>
      <c r="AR118" s="16">
        <v>170</v>
      </c>
      <c r="AS118" s="16">
        <v>180</v>
      </c>
      <c r="AT118" s="16">
        <v>190</v>
      </c>
      <c r="AU118" s="16" t="s">
        <v>90</v>
      </c>
    </row>
    <row r="119" spans="1:47" ht="12.75">
      <c r="A119" s="192" t="s">
        <v>119</v>
      </c>
      <c r="B119" s="155">
        <f t="array" ref="B119:W125">INT($Z$119:$AU$125*1.3)</f>
        <v>137</v>
      </c>
      <c r="C119" s="155">
        <v>137</v>
      </c>
      <c r="D119" s="155">
        <v>137</v>
      </c>
      <c r="E119" s="155">
        <v>126</v>
      </c>
      <c r="F119" s="155">
        <v>114</v>
      </c>
      <c r="G119" s="155">
        <v>102</v>
      </c>
      <c r="H119" s="155">
        <v>91</v>
      </c>
      <c r="I119" s="155">
        <v>67</v>
      </c>
      <c r="J119" s="155">
        <v>63</v>
      </c>
      <c r="K119" s="155">
        <v>59</v>
      </c>
      <c r="L119" s="155">
        <v>59</v>
      </c>
      <c r="M119" s="155">
        <v>59</v>
      </c>
      <c r="N119" s="155">
        <v>59</v>
      </c>
      <c r="O119" s="155">
        <v>59</v>
      </c>
      <c r="P119" s="155">
        <v>59</v>
      </c>
      <c r="Q119" s="155">
        <v>59</v>
      </c>
      <c r="R119" s="155">
        <v>59</v>
      </c>
      <c r="S119" s="155">
        <v>59</v>
      </c>
      <c r="T119" s="155">
        <v>59</v>
      </c>
      <c r="U119" s="155">
        <v>59</v>
      </c>
      <c r="V119" s="155">
        <v>59</v>
      </c>
      <c r="W119" s="155">
        <v>59</v>
      </c>
      <c r="Y119" s="193" t="s">
        <v>119</v>
      </c>
      <c r="Z119" s="158">
        <v>106</v>
      </c>
      <c r="AA119" s="158">
        <v>106</v>
      </c>
      <c r="AB119" s="158">
        <v>106</v>
      </c>
      <c r="AC119" s="159">
        <v>97</v>
      </c>
      <c r="AD119" s="159">
        <v>88</v>
      </c>
      <c r="AE119" s="159">
        <v>79</v>
      </c>
      <c r="AF119" s="159">
        <v>70</v>
      </c>
      <c r="AG119" s="160">
        <v>52</v>
      </c>
      <c r="AH119" s="161">
        <v>49</v>
      </c>
      <c r="AI119" s="162">
        <v>46</v>
      </c>
      <c r="AJ119" s="162">
        <v>46</v>
      </c>
      <c r="AK119" s="162">
        <v>46</v>
      </c>
      <c r="AL119" s="162">
        <v>46</v>
      </c>
      <c r="AM119" s="162">
        <v>46</v>
      </c>
      <c r="AN119" s="162">
        <v>46</v>
      </c>
      <c r="AO119" s="162">
        <v>46</v>
      </c>
      <c r="AP119" s="162">
        <v>46</v>
      </c>
      <c r="AQ119" s="162">
        <v>46</v>
      </c>
      <c r="AR119" s="162">
        <v>46</v>
      </c>
      <c r="AS119" s="162">
        <v>46</v>
      </c>
      <c r="AT119" s="162">
        <v>46</v>
      </c>
      <c r="AU119" s="162">
        <v>46</v>
      </c>
    </row>
    <row r="120" spans="1:47" ht="12.75">
      <c r="A120" s="194" t="s">
        <v>136</v>
      </c>
      <c r="B120" s="155">
        <v>136</v>
      </c>
      <c r="C120" s="155">
        <v>136</v>
      </c>
      <c r="D120" s="155">
        <v>136</v>
      </c>
      <c r="E120" s="155">
        <v>124</v>
      </c>
      <c r="F120" s="155">
        <v>114</v>
      </c>
      <c r="G120" s="155">
        <v>102</v>
      </c>
      <c r="H120" s="155">
        <v>91</v>
      </c>
      <c r="I120" s="155">
        <v>67</v>
      </c>
      <c r="J120" s="155">
        <v>62</v>
      </c>
      <c r="K120" s="155">
        <v>59</v>
      </c>
      <c r="L120" s="155">
        <v>59</v>
      </c>
      <c r="M120" s="155">
        <v>59</v>
      </c>
      <c r="N120" s="155">
        <v>59</v>
      </c>
      <c r="O120" s="155">
        <v>59</v>
      </c>
      <c r="P120" s="155">
        <v>59</v>
      </c>
      <c r="Q120" s="155">
        <v>59</v>
      </c>
      <c r="R120" s="155">
        <v>59</v>
      </c>
      <c r="S120" s="155">
        <v>59</v>
      </c>
      <c r="T120" s="155">
        <v>59</v>
      </c>
      <c r="U120" s="155">
        <v>59</v>
      </c>
      <c r="V120" s="155">
        <v>59</v>
      </c>
      <c r="W120" s="155">
        <v>59</v>
      </c>
      <c r="Y120" s="195" t="s">
        <v>136</v>
      </c>
      <c r="Z120" s="158">
        <v>105</v>
      </c>
      <c r="AA120" s="158">
        <v>105</v>
      </c>
      <c r="AB120" s="158">
        <v>105</v>
      </c>
      <c r="AC120" s="159">
        <v>96</v>
      </c>
      <c r="AD120" s="159">
        <v>88</v>
      </c>
      <c r="AE120" s="159">
        <v>79</v>
      </c>
      <c r="AF120" s="159">
        <v>70</v>
      </c>
      <c r="AG120" s="160">
        <v>52</v>
      </c>
      <c r="AH120" s="161">
        <v>48</v>
      </c>
      <c r="AI120" s="162">
        <v>46</v>
      </c>
      <c r="AJ120" s="162">
        <v>46</v>
      </c>
      <c r="AK120" s="162">
        <v>46</v>
      </c>
      <c r="AL120" s="162">
        <v>46</v>
      </c>
      <c r="AM120" s="162">
        <v>46</v>
      </c>
      <c r="AN120" s="162">
        <v>46</v>
      </c>
      <c r="AO120" s="162">
        <v>46</v>
      </c>
      <c r="AP120" s="162">
        <v>46</v>
      </c>
      <c r="AQ120" s="162">
        <v>46</v>
      </c>
      <c r="AR120" s="162">
        <v>46</v>
      </c>
      <c r="AS120" s="162">
        <v>46</v>
      </c>
      <c r="AT120" s="162">
        <v>46</v>
      </c>
      <c r="AU120" s="162">
        <v>46</v>
      </c>
    </row>
    <row r="121" spans="1:47" ht="12.75">
      <c r="A121" s="196" t="s">
        <v>139</v>
      </c>
      <c r="B121" s="155">
        <v>128</v>
      </c>
      <c r="C121" s="155">
        <v>128</v>
      </c>
      <c r="D121" s="155">
        <v>128</v>
      </c>
      <c r="E121" s="155">
        <v>118</v>
      </c>
      <c r="F121" s="155">
        <v>107</v>
      </c>
      <c r="G121" s="155">
        <v>96</v>
      </c>
      <c r="H121" s="155">
        <v>85</v>
      </c>
      <c r="I121" s="155">
        <v>63</v>
      </c>
      <c r="J121" s="155">
        <v>59</v>
      </c>
      <c r="K121" s="155">
        <v>55</v>
      </c>
      <c r="L121" s="155">
        <v>55</v>
      </c>
      <c r="M121" s="155">
        <v>55</v>
      </c>
      <c r="N121" s="155">
        <v>55</v>
      </c>
      <c r="O121" s="155">
        <v>55</v>
      </c>
      <c r="P121" s="155">
        <v>55</v>
      </c>
      <c r="Q121" s="155">
        <v>55</v>
      </c>
      <c r="R121" s="155">
        <v>55</v>
      </c>
      <c r="S121" s="155">
        <v>55</v>
      </c>
      <c r="T121" s="155">
        <v>55</v>
      </c>
      <c r="U121" s="155">
        <v>55</v>
      </c>
      <c r="V121" s="155">
        <v>55</v>
      </c>
      <c r="W121" s="155">
        <v>55</v>
      </c>
      <c r="Y121" s="185" t="s">
        <v>139</v>
      </c>
      <c r="Z121" s="158">
        <v>99</v>
      </c>
      <c r="AA121" s="158">
        <v>99</v>
      </c>
      <c r="AB121" s="158">
        <v>99</v>
      </c>
      <c r="AC121" s="159">
        <v>91</v>
      </c>
      <c r="AD121" s="159">
        <v>83</v>
      </c>
      <c r="AE121" s="159">
        <v>74</v>
      </c>
      <c r="AF121" s="159">
        <v>66</v>
      </c>
      <c r="AG121" s="160">
        <v>49</v>
      </c>
      <c r="AH121" s="161">
        <v>46</v>
      </c>
      <c r="AI121" s="162">
        <v>43</v>
      </c>
      <c r="AJ121" s="162">
        <v>43</v>
      </c>
      <c r="AK121" s="162">
        <v>43</v>
      </c>
      <c r="AL121" s="162">
        <v>43</v>
      </c>
      <c r="AM121" s="162">
        <v>43</v>
      </c>
      <c r="AN121" s="162">
        <v>43</v>
      </c>
      <c r="AO121" s="162">
        <v>43</v>
      </c>
      <c r="AP121" s="162">
        <v>43</v>
      </c>
      <c r="AQ121" s="162">
        <v>43</v>
      </c>
      <c r="AR121" s="162">
        <v>43</v>
      </c>
      <c r="AS121" s="162">
        <v>43</v>
      </c>
      <c r="AT121" s="162">
        <v>43</v>
      </c>
      <c r="AU121" s="162">
        <v>43</v>
      </c>
    </row>
    <row r="122" spans="1:47" ht="12.75">
      <c r="A122" s="197" t="s">
        <v>142</v>
      </c>
      <c r="B122" s="155">
        <v>123</v>
      </c>
      <c r="C122" s="155">
        <v>123</v>
      </c>
      <c r="D122" s="155">
        <v>123</v>
      </c>
      <c r="E122" s="155">
        <v>113</v>
      </c>
      <c r="F122" s="155">
        <v>102</v>
      </c>
      <c r="G122" s="155">
        <v>92</v>
      </c>
      <c r="H122" s="155">
        <v>81</v>
      </c>
      <c r="I122" s="155">
        <v>61</v>
      </c>
      <c r="J122" s="155">
        <v>57</v>
      </c>
      <c r="K122" s="155">
        <v>53</v>
      </c>
      <c r="L122" s="155">
        <v>53</v>
      </c>
      <c r="M122" s="155">
        <v>53</v>
      </c>
      <c r="N122" s="155">
        <v>53</v>
      </c>
      <c r="O122" s="155">
        <v>53</v>
      </c>
      <c r="P122" s="155">
        <v>53</v>
      </c>
      <c r="Q122" s="155">
        <v>53</v>
      </c>
      <c r="R122" s="155">
        <v>53</v>
      </c>
      <c r="S122" s="155">
        <v>53</v>
      </c>
      <c r="T122" s="155">
        <v>53</v>
      </c>
      <c r="U122" s="155">
        <v>53</v>
      </c>
      <c r="V122" s="155">
        <v>53</v>
      </c>
      <c r="W122" s="155">
        <v>53</v>
      </c>
      <c r="Y122" s="198" t="s">
        <v>142</v>
      </c>
      <c r="Z122" s="158">
        <v>95</v>
      </c>
      <c r="AA122" s="158">
        <v>95</v>
      </c>
      <c r="AB122" s="158">
        <v>95</v>
      </c>
      <c r="AC122" s="159">
        <v>87</v>
      </c>
      <c r="AD122" s="159">
        <v>79</v>
      </c>
      <c r="AE122" s="159">
        <v>71</v>
      </c>
      <c r="AF122" s="159">
        <v>63</v>
      </c>
      <c r="AG122" s="160">
        <v>47</v>
      </c>
      <c r="AH122" s="161">
        <v>44</v>
      </c>
      <c r="AI122" s="162">
        <v>41</v>
      </c>
      <c r="AJ122" s="162">
        <v>41</v>
      </c>
      <c r="AK122" s="162">
        <v>41</v>
      </c>
      <c r="AL122" s="162">
        <v>41</v>
      </c>
      <c r="AM122" s="162">
        <v>41</v>
      </c>
      <c r="AN122" s="162">
        <v>41</v>
      </c>
      <c r="AO122" s="162">
        <v>41</v>
      </c>
      <c r="AP122" s="162">
        <v>41</v>
      </c>
      <c r="AQ122" s="162">
        <v>41</v>
      </c>
      <c r="AR122" s="162">
        <v>41</v>
      </c>
      <c r="AS122" s="162">
        <v>41</v>
      </c>
      <c r="AT122" s="162">
        <v>41</v>
      </c>
      <c r="AU122" s="162">
        <v>41</v>
      </c>
    </row>
    <row r="123" spans="1:47" ht="15">
      <c r="A123" s="199" t="s">
        <v>145</v>
      </c>
      <c r="B123" s="186">
        <v>117</v>
      </c>
      <c r="C123" s="186">
        <v>117</v>
      </c>
      <c r="D123" s="186">
        <v>117</v>
      </c>
      <c r="E123" s="155">
        <v>107</v>
      </c>
      <c r="F123" s="155">
        <v>97</v>
      </c>
      <c r="G123" s="155">
        <v>87</v>
      </c>
      <c r="H123" s="155">
        <v>78</v>
      </c>
      <c r="I123" s="155">
        <v>57</v>
      </c>
      <c r="J123" s="155">
        <v>53</v>
      </c>
      <c r="K123" s="155">
        <v>50</v>
      </c>
      <c r="L123" s="155">
        <v>50</v>
      </c>
      <c r="M123" s="155">
        <v>50</v>
      </c>
      <c r="N123" s="155">
        <v>50</v>
      </c>
      <c r="O123" s="155">
        <v>50</v>
      </c>
      <c r="P123" s="155">
        <v>50</v>
      </c>
      <c r="Q123" s="155">
        <v>50</v>
      </c>
      <c r="R123" s="155">
        <v>50</v>
      </c>
      <c r="S123" s="155">
        <v>50</v>
      </c>
      <c r="T123" s="155">
        <v>50</v>
      </c>
      <c r="U123" s="155">
        <v>50</v>
      </c>
      <c r="V123" s="155">
        <v>50</v>
      </c>
      <c r="W123" s="155">
        <v>50</v>
      </c>
      <c r="Y123" s="182" t="s">
        <v>145</v>
      </c>
      <c r="Z123" s="158">
        <v>90</v>
      </c>
      <c r="AA123" s="158">
        <v>90</v>
      </c>
      <c r="AB123" s="158">
        <v>90</v>
      </c>
      <c r="AC123" s="159">
        <v>83</v>
      </c>
      <c r="AD123" s="159">
        <v>75</v>
      </c>
      <c r="AE123" s="159">
        <v>67</v>
      </c>
      <c r="AF123" s="159">
        <v>60</v>
      </c>
      <c r="AG123" s="160">
        <v>44</v>
      </c>
      <c r="AH123" s="161">
        <v>41</v>
      </c>
      <c r="AI123" s="162">
        <v>39</v>
      </c>
      <c r="AJ123" s="162">
        <v>39</v>
      </c>
      <c r="AK123" s="162">
        <v>39</v>
      </c>
      <c r="AL123" s="162">
        <v>39</v>
      </c>
      <c r="AM123" s="162">
        <v>39</v>
      </c>
      <c r="AN123" s="162">
        <v>39</v>
      </c>
      <c r="AO123" s="162">
        <v>39</v>
      </c>
      <c r="AP123" s="162">
        <v>39</v>
      </c>
      <c r="AQ123" s="162">
        <v>39</v>
      </c>
      <c r="AR123" s="162">
        <v>39</v>
      </c>
      <c r="AS123" s="162">
        <v>39</v>
      </c>
      <c r="AT123" s="162">
        <v>39</v>
      </c>
      <c r="AU123" s="162">
        <v>39</v>
      </c>
    </row>
    <row r="124" spans="1:47" ht="12.75">
      <c r="A124" s="200" t="s">
        <v>147</v>
      </c>
      <c r="B124" s="164">
        <v>114</v>
      </c>
      <c r="C124" s="164">
        <v>114</v>
      </c>
      <c r="D124" s="155">
        <v>114</v>
      </c>
      <c r="E124" s="155">
        <v>104</v>
      </c>
      <c r="F124" s="155">
        <v>94</v>
      </c>
      <c r="G124" s="155">
        <v>85</v>
      </c>
      <c r="H124" s="155">
        <v>75</v>
      </c>
      <c r="I124" s="155">
        <v>55</v>
      </c>
      <c r="J124" s="155">
        <v>53</v>
      </c>
      <c r="K124" s="155">
        <v>49</v>
      </c>
      <c r="L124" s="155">
        <v>49</v>
      </c>
      <c r="M124" s="155">
        <v>49</v>
      </c>
      <c r="N124" s="155">
        <v>49</v>
      </c>
      <c r="O124" s="155">
        <v>49</v>
      </c>
      <c r="P124" s="155">
        <v>49</v>
      </c>
      <c r="Q124" s="155">
        <v>49</v>
      </c>
      <c r="R124" s="155">
        <v>49</v>
      </c>
      <c r="S124" s="155">
        <v>49</v>
      </c>
      <c r="T124" s="155">
        <v>49</v>
      </c>
      <c r="U124" s="155">
        <v>49</v>
      </c>
      <c r="V124" s="155">
        <v>49</v>
      </c>
      <c r="W124" s="155">
        <v>49</v>
      </c>
      <c r="Y124" s="201" t="s">
        <v>147</v>
      </c>
      <c r="Z124" s="158">
        <v>88</v>
      </c>
      <c r="AA124" s="158">
        <v>88</v>
      </c>
      <c r="AB124" s="158">
        <v>88</v>
      </c>
      <c r="AC124" s="159">
        <v>80</v>
      </c>
      <c r="AD124" s="159">
        <v>73</v>
      </c>
      <c r="AE124" s="159">
        <v>66</v>
      </c>
      <c r="AF124" s="159">
        <v>58</v>
      </c>
      <c r="AG124" s="160">
        <v>43</v>
      </c>
      <c r="AH124" s="161">
        <v>41</v>
      </c>
      <c r="AI124" s="162">
        <v>38</v>
      </c>
      <c r="AJ124" s="162">
        <v>38</v>
      </c>
      <c r="AK124" s="162">
        <v>38</v>
      </c>
      <c r="AL124" s="162">
        <v>38</v>
      </c>
      <c r="AM124" s="162">
        <v>38</v>
      </c>
      <c r="AN124" s="162">
        <v>38</v>
      </c>
      <c r="AO124" s="162">
        <v>38</v>
      </c>
      <c r="AP124" s="162">
        <v>38</v>
      </c>
      <c r="AQ124" s="162">
        <v>38</v>
      </c>
      <c r="AR124" s="162">
        <v>38</v>
      </c>
      <c r="AS124" s="162">
        <v>38</v>
      </c>
      <c r="AT124" s="162">
        <v>38</v>
      </c>
      <c r="AU124" s="162">
        <v>38</v>
      </c>
    </row>
    <row r="125" spans="1:47" ht="12.75">
      <c r="A125" s="202" t="s">
        <v>149</v>
      </c>
      <c r="B125" s="164">
        <v>107</v>
      </c>
      <c r="C125" s="164">
        <v>107</v>
      </c>
      <c r="D125" s="155">
        <v>107</v>
      </c>
      <c r="E125" s="155">
        <v>98</v>
      </c>
      <c r="F125" s="155">
        <v>89</v>
      </c>
      <c r="G125" s="155">
        <v>80</v>
      </c>
      <c r="H125" s="155">
        <v>71</v>
      </c>
      <c r="I125" s="155">
        <v>53</v>
      </c>
      <c r="J125" s="155">
        <v>49</v>
      </c>
      <c r="K125" s="155">
        <v>46</v>
      </c>
      <c r="L125" s="155">
        <v>46</v>
      </c>
      <c r="M125" s="155">
        <v>46</v>
      </c>
      <c r="N125" s="155">
        <v>46</v>
      </c>
      <c r="O125" s="155">
        <v>46</v>
      </c>
      <c r="P125" s="155">
        <v>46</v>
      </c>
      <c r="Q125" s="155">
        <v>46</v>
      </c>
      <c r="R125" s="155">
        <v>46</v>
      </c>
      <c r="S125" s="155">
        <v>46</v>
      </c>
      <c r="T125" s="155">
        <v>46</v>
      </c>
      <c r="U125" s="155">
        <v>46</v>
      </c>
      <c r="V125" s="155">
        <v>46</v>
      </c>
      <c r="W125" s="155">
        <v>46</v>
      </c>
      <c r="Y125" s="203" t="s">
        <v>149</v>
      </c>
      <c r="Z125" s="158">
        <v>83</v>
      </c>
      <c r="AA125" s="158">
        <v>83</v>
      </c>
      <c r="AB125" s="158">
        <v>83</v>
      </c>
      <c r="AC125" s="159">
        <v>76</v>
      </c>
      <c r="AD125" s="159">
        <v>69</v>
      </c>
      <c r="AE125" s="159">
        <v>62</v>
      </c>
      <c r="AF125" s="159">
        <v>55</v>
      </c>
      <c r="AG125" s="160">
        <v>41</v>
      </c>
      <c r="AH125" s="161">
        <v>38</v>
      </c>
      <c r="AI125" s="162">
        <v>36</v>
      </c>
      <c r="AJ125" s="162">
        <v>36</v>
      </c>
      <c r="AK125" s="162">
        <v>36</v>
      </c>
      <c r="AL125" s="162">
        <v>36</v>
      </c>
      <c r="AM125" s="162">
        <v>36</v>
      </c>
      <c r="AN125" s="162">
        <v>36</v>
      </c>
      <c r="AO125" s="162">
        <v>36</v>
      </c>
      <c r="AP125" s="162">
        <v>36</v>
      </c>
      <c r="AQ125" s="162">
        <v>36</v>
      </c>
      <c r="AR125" s="162">
        <v>36</v>
      </c>
      <c r="AS125" s="162">
        <v>36</v>
      </c>
      <c r="AT125" s="162">
        <v>36</v>
      </c>
      <c r="AU125" s="162">
        <v>36</v>
      </c>
    </row>
    <row r="126" spans="1:47" ht="15">
      <c r="A126" s="145" t="s">
        <v>340</v>
      </c>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c r="Y126" s="145" t="s">
        <v>340</v>
      </c>
    </row>
    <row r="127" spans="1:47" ht="15">
      <c r="A127" s="150" t="s">
        <v>323</v>
      </c>
      <c r="B127" s="151" t="s">
        <v>24</v>
      </c>
      <c r="C127" s="151" t="s">
        <v>25</v>
      </c>
      <c r="D127" s="151" t="s">
        <v>26</v>
      </c>
      <c r="E127" s="151" t="s">
        <v>27</v>
      </c>
      <c r="F127" s="151" t="s">
        <v>28</v>
      </c>
      <c r="G127" s="151" t="s">
        <v>74</v>
      </c>
      <c r="H127" s="151" t="s">
        <v>75</v>
      </c>
      <c r="I127" s="151" t="s">
        <v>76</v>
      </c>
      <c r="J127" s="151" t="s">
        <v>77</v>
      </c>
      <c r="K127" s="151" t="s">
        <v>78</v>
      </c>
      <c r="L127" s="151" t="s">
        <v>79</v>
      </c>
      <c r="M127" s="151" t="s">
        <v>80</v>
      </c>
      <c r="N127" s="16" t="s">
        <v>81</v>
      </c>
      <c r="O127" s="16" t="s">
        <v>82</v>
      </c>
      <c r="P127" s="16" t="s">
        <v>83</v>
      </c>
      <c r="Q127" s="16" t="s">
        <v>84</v>
      </c>
      <c r="R127" s="151" t="s">
        <v>85</v>
      </c>
      <c r="S127" s="16" t="s">
        <v>86</v>
      </c>
      <c r="T127" s="16" t="s">
        <v>87</v>
      </c>
      <c r="U127" s="16" t="s">
        <v>88</v>
      </c>
      <c r="V127" s="16" t="s">
        <v>89</v>
      </c>
      <c r="W127" s="151" t="s">
        <v>90</v>
      </c>
      <c r="Y127" s="191" t="s">
        <v>323</v>
      </c>
      <c r="Z127" s="151" t="s">
        <v>24</v>
      </c>
      <c r="AA127" s="151" t="s">
        <v>25</v>
      </c>
      <c r="AB127" s="151" t="s">
        <v>26</v>
      </c>
      <c r="AC127" s="16">
        <v>35</v>
      </c>
      <c r="AD127" s="16">
        <v>40</v>
      </c>
      <c r="AE127" s="151">
        <v>45</v>
      </c>
      <c r="AF127" s="152">
        <v>50</v>
      </c>
      <c r="AG127" s="151">
        <v>60</v>
      </c>
      <c r="AH127" s="151">
        <v>70</v>
      </c>
      <c r="AI127" s="151">
        <v>80</v>
      </c>
      <c r="AJ127" s="16">
        <v>90</v>
      </c>
      <c r="AK127" s="152">
        <v>100</v>
      </c>
      <c r="AL127" s="16">
        <v>110</v>
      </c>
      <c r="AM127" s="16">
        <v>120</v>
      </c>
      <c r="AN127" s="16">
        <v>130</v>
      </c>
      <c r="AO127" s="16">
        <v>140</v>
      </c>
      <c r="AP127" s="151">
        <v>150</v>
      </c>
      <c r="AQ127" s="16">
        <v>160</v>
      </c>
      <c r="AR127" s="16">
        <v>170</v>
      </c>
      <c r="AS127" s="16">
        <v>180</v>
      </c>
      <c r="AT127" s="16">
        <v>190</v>
      </c>
      <c r="AU127" s="16" t="s">
        <v>90</v>
      </c>
    </row>
    <row r="128" spans="1:47" ht="15">
      <c r="A128" s="50" t="s">
        <v>341</v>
      </c>
      <c r="B128" s="155">
        <f t="array" ref="B128:W134">INT($Z$128:$AU$134*1.3)</f>
        <v>113</v>
      </c>
      <c r="C128" s="155">
        <v>105</v>
      </c>
      <c r="D128" s="155">
        <v>98</v>
      </c>
      <c r="E128" s="155">
        <v>91</v>
      </c>
      <c r="F128" s="155">
        <v>84</v>
      </c>
      <c r="G128" s="155">
        <v>76</v>
      </c>
      <c r="H128" s="155">
        <v>70</v>
      </c>
      <c r="I128" s="155">
        <v>67</v>
      </c>
      <c r="J128" s="155">
        <v>65</v>
      </c>
      <c r="K128" s="155">
        <v>62</v>
      </c>
      <c r="L128" s="155">
        <v>59</v>
      </c>
      <c r="M128" s="155">
        <v>57</v>
      </c>
      <c r="N128" s="155">
        <v>57</v>
      </c>
      <c r="O128" s="155">
        <v>57</v>
      </c>
      <c r="P128" s="155">
        <v>57</v>
      </c>
      <c r="Q128" s="155">
        <v>57</v>
      </c>
      <c r="R128" s="155">
        <v>57</v>
      </c>
      <c r="S128" s="155">
        <v>57</v>
      </c>
      <c r="T128" s="155">
        <v>57</v>
      </c>
      <c r="U128" s="155">
        <v>57</v>
      </c>
      <c r="V128" s="155">
        <v>57</v>
      </c>
      <c r="W128" s="155">
        <v>57</v>
      </c>
      <c r="Y128" s="183" t="s">
        <v>341</v>
      </c>
      <c r="Z128" s="158">
        <v>87</v>
      </c>
      <c r="AA128" s="159">
        <v>81</v>
      </c>
      <c r="AB128" s="159">
        <v>76</v>
      </c>
      <c r="AC128" s="159">
        <v>70</v>
      </c>
      <c r="AD128" s="159">
        <v>65</v>
      </c>
      <c r="AE128" s="159">
        <v>59</v>
      </c>
      <c r="AF128" s="160">
        <v>54</v>
      </c>
      <c r="AG128" s="161">
        <v>52</v>
      </c>
      <c r="AH128" s="161">
        <v>50</v>
      </c>
      <c r="AI128" s="161">
        <v>48</v>
      </c>
      <c r="AJ128" s="161">
        <v>46</v>
      </c>
      <c r="AK128" s="162">
        <v>44</v>
      </c>
      <c r="AL128" s="162">
        <v>44</v>
      </c>
      <c r="AM128" s="162">
        <v>44</v>
      </c>
      <c r="AN128" s="162">
        <v>44</v>
      </c>
      <c r="AO128" s="162">
        <v>44</v>
      </c>
      <c r="AP128" s="162">
        <v>44</v>
      </c>
      <c r="AQ128" s="162">
        <v>44</v>
      </c>
      <c r="AR128" s="162">
        <v>44</v>
      </c>
      <c r="AS128" s="162">
        <v>44</v>
      </c>
      <c r="AT128" s="162">
        <v>44</v>
      </c>
      <c r="AU128" s="162">
        <v>44</v>
      </c>
    </row>
    <row r="129" spans="1:58" ht="12.75">
      <c r="A129" s="42" t="s">
        <v>342</v>
      </c>
      <c r="B129" s="155">
        <v>110</v>
      </c>
      <c r="C129" s="155">
        <v>102</v>
      </c>
      <c r="D129" s="155">
        <v>96</v>
      </c>
      <c r="E129" s="155">
        <v>88</v>
      </c>
      <c r="F129" s="155">
        <v>81</v>
      </c>
      <c r="G129" s="155">
        <v>75</v>
      </c>
      <c r="H129" s="155">
        <v>68</v>
      </c>
      <c r="I129" s="155">
        <v>65</v>
      </c>
      <c r="J129" s="155">
        <v>63</v>
      </c>
      <c r="K129" s="155">
        <v>61</v>
      </c>
      <c r="L129" s="155">
        <v>58</v>
      </c>
      <c r="M129" s="155">
        <v>55</v>
      </c>
      <c r="N129" s="155">
        <v>55</v>
      </c>
      <c r="O129" s="155">
        <v>55</v>
      </c>
      <c r="P129" s="155">
        <v>55</v>
      </c>
      <c r="Q129" s="155">
        <v>55</v>
      </c>
      <c r="R129" s="155">
        <v>55</v>
      </c>
      <c r="S129" s="155">
        <v>55</v>
      </c>
      <c r="T129" s="155">
        <v>55</v>
      </c>
      <c r="U129" s="155">
        <v>55</v>
      </c>
      <c r="V129" s="155">
        <v>55</v>
      </c>
      <c r="W129" s="155">
        <v>55</v>
      </c>
      <c r="Y129" s="190" t="s">
        <v>342</v>
      </c>
      <c r="Z129" s="158">
        <v>85</v>
      </c>
      <c r="AA129" s="159">
        <v>79</v>
      </c>
      <c r="AB129" s="159">
        <v>74</v>
      </c>
      <c r="AC129" s="159">
        <v>68</v>
      </c>
      <c r="AD129" s="159">
        <v>63</v>
      </c>
      <c r="AE129" s="159">
        <v>58</v>
      </c>
      <c r="AF129" s="160">
        <v>53</v>
      </c>
      <c r="AG129" s="161">
        <v>50</v>
      </c>
      <c r="AH129" s="161">
        <v>49</v>
      </c>
      <c r="AI129" s="161">
        <v>47</v>
      </c>
      <c r="AJ129" s="161">
        <v>45</v>
      </c>
      <c r="AK129" s="162">
        <v>43</v>
      </c>
      <c r="AL129" s="162">
        <v>43</v>
      </c>
      <c r="AM129" s="162">
        <v>43</v>
      </c>
      <c r="AN129" s="162">
        <v>43</v>
      </c>
      <c r="AO129" s="162">
        <v>43</v>
      </c>
      <c r="AP129" s="162">
        <v>43</v>
      </c>
      <c r="AQ129" s="162">
        <v>43</v>
      </c>
      <c r="AR129" s="162">
        <v>43</v>
      </c>
      <c r="AS129" s="162">
        <v>43</v>
      </c>
      <c r="AT129" s="162">
        <v>43</v>
      </c>
      <c r="AU129" s="162">
        <v>43</v>
      </c>
    </row>
    <row r="130" spans="1:58" ht="15">
      <c r="A130" s="184" t="s">
        <v>343</v>
      </c>
      <c r="B130" s="155">
        <v>107</v>
      </c>
      <c r="C130" s="155">
        <v>101</v>
      </c>
      <c r="D130" s="155">
        <v>93</v>
      </c>
      <c r="E130" s="155">
        <v>87</v>
      </c>
      <c r="F130" s="155">
        <v>80</v>
      </c>
      <c r="G130" s="155">
        <v>74</v>
      </c>
      <c r="H130" s="155">
        <v>66</v>
      </c>
      <c r="I130" s="155">
        <v>63</v>
      </c>
      <c r="J130" s="155">
        <v>61</v>
      </c>
      <c r="K130" s="155">
        <v>59</v>
      </c>
      <c r="L130" s="155">
        <v>57</v>
      </c>
      <c r="M130" s="155">
        <v>54</v>
      </c>
      <c r="N130" s="155">
        <v>54</v>
      </c>
      <c r="O130" s="155">
        <v>54</v>
      </c>
      <c r="P130" s="155">
        <v>54</v>
      </c>
      <c r="Q130" s="155">
        <v>54</v>
      </c>
      <c r="R130" s="155">
        <v>54</v>
      </c>
      <c r="S130" s="155">
        <v>54</v>
      </c>
      <c r="T130" s="155">
        <v>54</v>
      </c>
      <c r="U130" s="155">
        <v>54</v>
      </c>
      <c r="V130" s="155">
        <v>54</v>
      </c>
      <c r="W130" s="155">
        <v>54</v>
      </c>
      <c r="Y130" s="182" t="s">
        <v>343</v>
      </c>
      <c r="Z130" s="158">
        <v>83</v>
      </c>
      <c r="AA130" s="159">
        <v>78</v>
      </c>
      <c r="AB130" s="159">
        <v>72</v>
      </c>
      <c r="AC130" s="159">
        <v>67</v>
      </c>
      <c r="AD130" s="159">
        <v>62</v>
      </c>
      <c r="AE130" s="159">
        <v>57</v>
      </c>
      <c r="AF130" s="160">
        <v>51</v>
      </c>
      <c r="AG130" s="161">
        <v>49</v>
      </c>
      <c r="AH130" s="161">
        <v>47</v>
      </c>
      <c r="AI130" s="161">
        <v>46</v>
      </c>
      <c r="AJ130" s="161">
        <v>44</v>
      </c>
      <c r="AK130" s="162">
        <v>42</v>
      </c>
      <c r="AL130" s="162">
        <v>42</v>
      </c>
      <c r="AM130" s="162">
        <v>42</v>
      </c>
      <c r="AN130" s="162">
        <v>42</v>
      </c>
      <c r="AO130" s="162">
        <v>42</v>
      </c>
      <c r="AP130" s="162">
        <v>42</v>
      </c>
      <c r="AQ130" s="162">
        <v>42</v>
      </c>
      <c r="AR130" s="162">
        <v>42</v>
      </c>
      <c r="AS130" s="162">
        <v>42</v>
      </c>
      <c r="AT130" s="162">
        <v>42</v>
      </c>
      <c r="AU130" s="162">
        <v>42</v>
      </c>
    </row>
    <row r="131" spans="1:58" ht="12.75">
      <c r="A131" s="42" t="s">
        <v>344</v>
      </c>
      <c r="B131" s="155">
        <v>104</v>
      </c>
      <c r="C131" s="155">
        <v>97</v>
      </c>
      <c r="D131" s="155">
        <v>91</v>
      </c>
      <c r="E131" s="155">
        <v>84</v>
      </c>
      <c r="F131" s="155">
        <v>78</v>
      </c>
      <c r="G131" s="155">
        <v>71</v>
      </c>
      <c r="H131" s="155">
        <v>65</v>
      </c>
      <c r="I131" s="155">
        <v>61</v>
      </c>
      <c r="J131" s="155">
        <v>59</v>
      </c>
      <c r="K131" s="155">
        <v>57</v>
      </c>
      <c r="L131" s="155">
        <v>54</v>
      </c>
      <c r="M131" s="155">
        <v>52</v>
      </c>
      <c r="N131" s="155">
        <v>52</v>
      </c>
      <c r="O131" s="155">
        <v>52</v>
      </c>
      <c r="P131" s="155">
        <v>52</v>
      </c>
      <c r="Q131" s="155">
        <v>52</v>
      </c>
      <c r="R131" s="155">
        <v>52</v>
      </c>
      <c r="S131" s="155">
        <v>52</v>
      </c>
      <c r="T131" s="155">
        <v>52</v>
      </c>
      <c r="U131" s="155">
        <v>52</v>
      </c>
      <c r="V131" s="155">
        <v>52</v>
      </c>
      <c r="W131" s="155">
        <v>52</v>
      </c>
      <c r="Y131" s="190" t="s">
        <v>344</v>
      </c>
      <c r="Z131" s="158">
        <v>80</v>
      </c>
      <c r="AA131" s="159">
        <v>75</v>
      </c>
      <c r="AB131" s="159">
        <v>70</v>
      </c>
      <c r="AC131" s="159">
        <v>65</v>
      </c>
      <c r="AD131" s="159">
        <v>60</v>
      </c>
      <c r="AE131" s="159">
        <v>55</v>
      </c>
      <c r="AF131" s="160">
        <v>50</v>
      </c>
      <c r="AG131" s="161">
        <v>47</v>
      </c>
      <c r="AH131" s="161">
        <v>46</v>
      </c>
      <c r="AI131" s="161">
        <v>44</v>
      </c>
      <c r="AJ131" s="161">
        <v>42</v>
      </c>
      <c r="AK131" s="162">
        <v>40</v>
      </c>
      <c r="AL131" s="162">
        <v>40</v>
      </c>
      <c r="AM131" s="162">
        <v>40</v>
      </c>
      <c r="AN131" s="162">
        <v>40</v>
      </c>
      <c r="AO131" s="162">
        <v>40</v>
      </c>
      <c r="AP131" s="162">
        <v>40</v>
      </c>
      <c r="AQ131" s="162">
        <v>40</v>
      </c>
      <c r="AR131" s="162">
        <v>40</v>
      </c>
      <c r="AS131" s="162">
        <v>40</v>
      </c>
      <c r="AT131" s="162">
        <v>40</v>
      </c>
      <c r="AU131" s="162">
        <v>40</v>
      </c>
    </row>
    <row r="132" spans="1:58" ht="12.75">
      <c r="A132" s="42" t="s">
        <v>345</v>
      </c>
      <c r="B132" s="155">
        <v>101</v>
      </c>
      <c r="C132" s="155">
        <v>94</v>
      </c>
      <c r="D132" s="155">
        <v>88</v>
      </c>
      <c r="E132" s="155">
        <v>81</v>
      </c>
      <c r="F132" s="155">
        <v>75</v>
      </c>
      <c r="G132" s="155">
        <v>68</v>
      </c>
      <c r="H132" s="155">
        <v>62</v>
      </c>
      <c r="I132" s="155">
        <v>59</v>
      </c>
      <c r="J132" s="155">
        <v>58</v>
      </c>
      <c r="K132" s="155">
        <v>55</v>
      </c>
      <c r="L132" s="155">
        <v>53</v>
      </c>
      <c r="M132" s="155">
        <v>50</v>
      </c>
      <c r="N132" s="155">
        <v>50</v>
      </c>
      <c r="O132" s="155">
        <v>50</v>
      </c>
      <c r="P132" s="155">
        <v>50</v>
      </c>
      <c r="Q132" s="155">
        <v>50</v>
      </c>
      <c r="R132" s="155">
        <v>50</v>
      </c>
      <c r="S132" s="155">
        <v>50</v>
      </c>
      <c r="T132" s="155">
        <v>50</v>
      </c>
      <c r="U132" s="155">
        <v>50</v>
      </c>
      <c r="V132" s="155">
        <v>50</v>
      </c>
      <c r="W132" s="155">
        <v>50</v>
      </c>
      <c r="Y132" s="204" t="s">
        <v>345</v>
      </c>
      <c r="Z132" s="158">
        <v>78</v>
      </c>
      <c r="AA132" s="159">
        <v>73</v>
      </c>
      <c r="AB132" s="159">
        <v>68</v>
      </c>
      <c r="AC132" s="159">
        <v>63</v>
      </c>
      <c r="AD132" s="159">
        <v>58</v>
      </c>
      <c r="AE132" s="159">
        <v>53</v>
      </c>
      <c r="AF132" s="160">
        <v>48</v>
      </c>
      <c r="AG132" s="161">
        <v>46</v>
      </c>
      <c r="AH132" s="161">
        <v>45</v>
      </c>
      <c r="AI132" s="161">
        <v>43</v>
      </c>
      <c r="AJ132" s="161">
        <v>41</v>
      </c>
      <c r="AK132" s="162">
        <v>39</v>
      </c>
      <c r="AL132" s="162">
        <v>39</v>
      </c>
      <c r="AM132" s="162">
        <v>39</v>
      </c>
      <c r="AN132" s="162">
        <v>39</v>
      </c>
      <c r="AO132" s="162">
        <v>39</v>
      </c>
      <c r="AP132" s="162">
        <v>39</v>
      </c>
      <c r="AQ132" s="162">
        <v>39</v>
      </c>
      <c r="AR132" s="162">
        <v>39</v>
      </c>
      <c r="AS132" s="162">
        <v>39</v>
      </c>
      <c r="AT132" s="162">
        <v>39</v>
      </c>
      <c r="AU132" s="162">
        <v>39</v>
      </c>
    </row>
    <row r="133" spans="1:58" ht="15">
      <c r="A133" s="50" t="s">
        <v>346</v>
      </c>
      <c r="B133" s="155">
        <v>100</v>
      </c>
      <c r="C133" s="155">
        <v>93</v>
      </c>
      <c r="D133" s="155">
        <v>87</v>
      </c>
      <c r="E133" s="155">
        <v>80</v>
      </c>
      <c r="F133" s="155">
        <v>74</v>
      </c>
      <c r="G133" s="155">
        <v>68</v>
      </c>
      <c r="H133" s="155">
        <v>62</v>
      </c>
      <c r="I133" s="155">
        <v>59</v>
      </c>
      <c r="J133" s="155">
        <v>57</v>
      </c>
      <c r="K133" s="155">
        <v>54</v>
      </c>
      <c r="L133" s="155">
        <v>53</v>
      </c>
      <c r="M133" s="155">
        <v>50</v>
      </c>
      <c r="N133" s="155">
        <v>50</v>
      </c>
      <c r="O133" s="155">
        <v>50</v>
      </c>
      <c r="P133" s="155">
        <v>50</v>
      </c>
      <c r="Q133" s="155">
        <v>50</v>
      </c>
      <c r="R133" s="155">
        <v>50</v>
      </c>
      <c r="S133" s="155">
        <v>50</v>
      </c>
      <c r="T133" s="155">
        <v>50</v>
      </c>
      <c r="U133" s="155">
        <v>50</v>
      </c>
      <c r="V133" s="155">
        <v>50</v>
      </c>
      <c r="W133" s="155">
        <v>50</v>
      </c>
      <c r="Y133" s="195" t="s">
        <v>346</v>
      </c>
      <c r="Z133" s="158">
        <v>77</v>
      </c>
      <c r="AA133" s="159">
        <v>72</v>
      </c>
      <c r="AB133" s="159">
        <v>67</v>
      </c>
      <c r="AC133" s="159">
        <v>62</v>
      </c>
      <c r="AD133" s="159">
        <v>57</v>
      </c>
      <c r="AE133" s="159">
        <v>53</v>
      </c>
      <c r="AF133" s="160">
        <v>48</v>
      </c>
      <c r="AG133" s="161">
        <v>46</v>
      </c>
      <c r="AH133" s="161">
        <v>44</v>
      </c>
      <c r="AI133" s="161">
        <v>42</v>
      </c>
      <c r="AJ133" s="161">
        <v>41</v>
      </c>
      <c r="AK133" s="162">
        <v>39</v>
      </c>
      <c r="AL133" s="162">
        <v>39</v>
      </c>
      <c r="AM133" s="162">
        <v>39</v>
      </c>
      <c r="AN133" s="162">
        <v>39</v>
      </c>
      <c r="AO133" s="162">
        <v>39</v>
      </c>
      <c r="AP133" s="162">
        <v>39</v>
      </c>
      <c r="AQ133" s="162">
        <v>39</v>
      </c>
      <c r="AR133" s="162">
        <v>39</v>
      </c>
      <c r="AS133" s="162">
        <v>39</v>
      </c>
      <c r="AT133" s="162">
        <v>39</v>
      </c>
      <c r="AU133" s="162">
        <v>39</v>
      </c>
    </row>
    <row r="134" spans="1:58" ht="12.75">
      <c r="A134" s="205" t="s">
        <v>347</v>
      </c>
      <c r="B134" s="155">
        <v>98</v>
      </c>
      <c r="C134" s="155">
        <v>92</v>
      </c>
      <c r="D134" s="155">
        <v>85</v>
      </c>
      <c r="E134" s="155">
        <v>79</v>
      </c>
      <c r="F134" s="155">
        <v>74</v>
      </c>
      <c r="G134" s="155">
        <v>67</v>
      </c>
      <c r="H134" s="155">
        <v>61</v>
      </c>
      <c r="I134" s="155">
        <v>58</v>
      </c>
      <c r="J134" s="155">
        <v>55</v>
      </c>
      <c r="K134" s="155">
        <v>54</v>
      </c>
      <c r="L134" s="155">
        <v>52</v>
      </c>
      <c r="M134" s="155">
        <v>49</v>
      </c>
      <c r="N134" s="155">
        <v>49</v>
      </c>
      <c r="O134" s="155">
        <v>49</v>
      </c>
      <c r="P134" s="155">
        <v>49</v>
      </c>
      <c r="Q134" s="155">
        <v>49</v>
      </c>
      <c r="R134" s="155">
        <v>49</v>
      </c>
      <c r="S134" s="155">
        <v>49</v>
      </c>
      <c r="T134" s="155">
        <v>49</v>
      </c>
      <c r="U134" s="155">
        <v>49</v>
      </c>
      <c r="V134" s="155">
        <v>49</v>
      </c>
      <c r="W134" s="155">
        <v>49</v>
      </c>
      <c r="Y134" s="203" t="s">
        <v>347</v>
      </c>
      <c r="Z134" s="158">
        <v>76</v>
      </c>
      <c r="AA134" s="159">
        <v>71</v>
      </c>
      <c r="AB134" s="159">
        <v>66</v>
      </c>
      <c r="AC134" s="159">
        <v>61</v>
      </c>
      <c r="AD134" s="159">
        <v>57</v>
      </c>
      <c r="AE134" s="159">
        <v>52</v>
      </c>
      <c r="AF134" s="160">
        <v>47</v>
      </c>
      <c r="AG134" s="161">
        <v>45</v>
      </c>
      <c r="AH134" s="161">
        <v>43</v>
      </c>
      <c r="AI134" s="161">
        <v>42</v>
      </c>
      <c r="AJ134" s="161">
        <v>40</v>
      </c>
      <c r="AK134" s="162">
        <v>38</v>
      </c>
      <c r="AL134" s="162">
        <v>38</v>
      </c>
      <c r="AM134" s="162">
        <v>38</v>
      </c>
      <c r="AN134" s="162">
        <v>38</v>
      </c>
      <c r="AO134" s="162">
        <v>38</v>
      </c>
      <c r="AP134" s="162">
        <v>38</v>
      </c>
      <c r="AQ134" s="162">
        <v>38</v>
      </c>
      <c r="AR134" s="162">
        <v>38</v>
      </c>
      <c r="AS134" s="162">
        <v>38</v>
      </c>
      <c r="AT134" s="162">
        <v>38</v>
      </c>
      <c r="AU134" s="162">
        <v>38</v>
      </c>
    </row>
    <row r="135" spans="1:58" ht="15">
      <c r="A135" s="150" t="s">
        <v>328</v>
      </c>
      <c r="B135" s="151" t="s">
        <v>24</v>
      </c>
      <c r="C135" s="151" t="s">
        <v>25</v>
      </c>
      <c r="D135" s="151" t="s">
        <v>26</v>
      </c>
      <c r="E135" s="151" t="s">
        <v>27</v>
      </c>
      <c r="F135" s="151" t="s">
        <v>28</v>
      </c>
      <c r="G135" s="151" t="s">
        <v>74</v>
      </c>
      <c r="H135" s="151" t="s">
        <v>75</v>
      </c>
      <c r="I135" s="151" t="s">
        <v>76</v>
      </c>
      <c r="J135" s="151" t="s">
        <v>77</v>
      </c>
      <c r="K135" s="151" t="s">
        <v>78</v>
      </c>
      <c r="L135" s="151" t="s">
        <v>79</v>
      </c>
      <c r="M135" s="151" t="s">
        <v>80</v>
      </c>
      <c r="N135" s="16" t="s">
        <v>81</v>
      </c>
      <c r="O135" s="16" t="s">
        <v>82</v>
      </c>
      <c r="P135" s="16" t="s">
        <v>83</v>
      </c>
      <c r="Q135" s="16" t="s">
        <v>84</v>
      </c>
      <c r="R135" s="151" t="s">
        <v>85</v>
      </c>
      <c r="S135" s="16" t="s">
        <v>86</v>
      </c>
      <c r="T135" s="16" t="s">
        <v>87</v>
      </c>
      <c r="U135" s="16" t="s">
        <v>88</v>
      </c>
      <c r="V135" s="16" t="s">
        <v>89</v>
      </c>
      <c r="W135" s="151" t="s">
        <v>90</v>
      </c>
      <c r="Y135" s="191" t="s">
        <v>328</v>
      </c>
      <c r="Z135" s="151" t="s">
        <v>24</v>
      </c>
      <c r="AA135" s="151" t="s">
        <v>25</v>
      </c>
      <c r="AB135" s="151" t="s">
        <v>26</v>
      </c>
      <c r="AC135" s="16">
        <v>35</v>
      </c>
      <c r="AD135" s="16">
        <v>40</v>
      </c>
      <c r="AE135" s="151">
        <v>45</v>
      </c>
      <c r="AF135" s="152">
        <v>50</v>
      </c>
      <c r="AG135" s="152">
        <v>60</v>
      </c>
      <c r="AH135" s="151">
        <v>70</v>
      </c>
      <c r="AI135" s="151">
        <v>80</v>
      </c>
      <c r="AJ135" s="16">
        <v>90</v>
      </c>
      <c r="AK135" s="151">
        <v>100</v>
      </c>
      <c r="AL135" s="16">
        <v>110</v>
      </c>
      <c r="AM135" s="16">
        <v>120</v>
      </c>
      <c r="AN135" s="16">
        <v>130</v>
      </c>
      <c r="AO135" s="16">
        <v>140</v>
      </c>
      <c r="AP135" s="151">
        <v>150</v>
      </c>
      <c r="AQ135" s="16">
        <v>160</v>
      </c>
      <c r="AR135" s="16">
        <v>170</v>
      </c>
      <c r="AS135" s="16">
        <v>180</v>
      </c>
      <c r="AT135" s="16">
        <v>190</v>
      </c>
      <c r="AU135" s="16" t="s">
        <v>90</v>
      </c>
    </row>
    <row r="136" spans="1:58" ht="15">
      <c r="A136" s="35" t="s">
        <v>348</v>
      </c>
      <c r="B136" s="155">
        <f t="array" ref="B136:W144">INT($Z$136:$AU$144*1.3)</f>
        <v>104</v>
      </c>
      <c r="C136" s="155">
        <v>96</v>
      </c>
      <c r="D136" s="155">
        <v>88</v>
      </c>
      <c r="E136" s="155">
        <v>80</v>
      </c>
      <c r="F136" s="155">
        <v>72</v>
      </c>
      <c r="G136" s="155">
        <v>65</v>
      </c>
      <c r="H136" s="155">
        <v>57</v>
      </c>
      <c r="I136" s="155">
        <v>49</v>
      </c>
      <c r="J136" s="155">
        <v>49</v>
      </c>
      <c r="K136" s="155">
        <v>49</v>
      </c>
      <c r="L136" s="155">
        <v>49</v>
      </c>
      <c r="M136" s="155">
        <v>49</v>
      </c>
      <c r="N136" s="155">
        <v>49</v>
      </c>
      <c r="O136" s="155">
        <v>49</v>
      </c>
      <c r="P136" s="155">
        <v>49</v>
      </c>
      <c r="Q136" s="155">
        <v>49</v>
      </c>
      <c r="R136" s="155">
        <v>49</v>
      </c>
      <c r="S136" s="155">
        <v>49</v>
      </c>
      <c r="T136" s="155">
        <v>49</v>
      </c>
      <c r="U136" s="155">
        <v>49</v>
      </c>
      <c r="V136" s="155">
        <v>49</v>
      </c>
      <c r="W136" s="155">
        <v>49</v>
      </c>
      <c r="Y136" s="183" t="s">
        <v>348</v>
      </c>
      <c r="Z136" s="158">
        <v>80</v>
      </c>
      <c r="AA136" s="159">
        <v>74</v>
      </c>
      <c r="AB136" s="159">
        <v>68</v>
      </c>
      <c r="AC136" s="159">
        <v>62</v>
      </c>
      <c r="AD136" s="159">
        <v>56</v>
      </c>
      <c r="AE136" s="159">
        <v>50</v>
      </c>
      <c r="AF136" s="160">
        <v>44</v>
      </c>
      <c r="AG136" s="162">
        <v>38</v>
      </c>
      <c r="AH136" s="162">
        <v>38</v>
      </c>
      <c r="AI136" s="162">
        <v>38</v>
      </c>
      <c r="AJ136" s="162">
        <v>38</v>
      </c>
      <c r="AK136" s="162">
        <v>38</v>
      </c>
      <c r="AL136" s="162">
        <v>38</v>
      </c>
      <c r="AM136" s="162">
        <v>38</v>
      </c>
      <c r="AN136" s="162">
        <v>38</v>
      </c>
      <c r="AO136" s="162">
        <v>38</v>
      </c>
      <c r="AP136" s="162">
        <v>38</v>
      </c>
      <c r="AQ136" s="162">
        <v>38</v>
      </c>
      <c r="AR136" s="162">
        <v>38</v>
      </c>
      <c r="AS136" s="162">
        <v>38</v>
      </c>
      <c r="AT136" s="162">
        <v>38</v>
      </c>
      <c r="AU136" s="162">
        <v>38</v>
      </c>
      <c r="AW136" s="206" t="s">
        <v>349</v>
      </c>
      <c r="AX136" s="207"/>
      <c r="AY136" s="207"/>
      <c r="AZ136" s="207"/>
      <c r="BA136" s="207"/>
      <c r="BB136" s="207"/>
      <c r="BC136" s="207"/>
      <c r="BD136" s="207"/>
      <c r="BE136" s="207"/>
      <c r="BF136" s="207"/>
    </row>
    <row r="137" spans="1:58" ht="15">
      <c r="A137" s="165" t="s">
        <v>350</v>
      </c>
      <c r="B137" s="155">
        <v>97</v>
      </c>
      <c r="C137" s="155">
        <v>89</v>
      </c>
      <c r="D137" s="155">
        <v>83</v>
      </c>
      <c r="E137" s="155">
        <v>75</v>
      </c>
      <c r="F137" s="155">
        <v>67</v>
      </c>
      <c r="G137" s="155">
        <v>61</v>
      </c>
      <c r="H137" s="155">
        <v>53</v>
      </c>
      <c r="I137" s="155">
        <v>46</v>
      </c>
      <c r="J137" s="155">
        <v>46</v>
      </c>
      <c r="K137" s="155">
        <v>46</v>
      </c>
      <c r="L137" s="155">
        <v>46</v>
      </c>
      <c r="M137" s="155">
        <v>46</v>
      </c>
      <c r="N137" s="155">
        <v>46</v>
      </c>
      <c r="O137" s="155">
        <v>46</v>
      </c>
      <c r="P137" s="155">
        <v>46</v>
      </c>
      <c r="Q137" s="155">
        <v>46</v>
      </c>
      <c r="R137" s="155">
        <v>46</v>
      </c>
      <c r="S137" s="155">
        <v>46</v>
      </c>
      <c r="T137" s="155">
        <v>46</v>
      </c>
      <c r="U137" s="155">
        <v>46</v>
      </c>
      <c r="V137" s="155">
        <v>46</v>
      </c>
      <c r="W137" s="155">
        <v>46</v>
      </c>
      <c r="Y137" s="183" t="s">
        <v>350</v>
      </c>
      <c r="Z137" s="158">
        <v>75</v>
      </c>
      <c r="AA137" s="159">
        <v>69</v>
      </c>
      <c r="AB137" s="159">
        <v>64</v>
      </c>
      <c r="AC137" s="159">
        <v>58</v>
      </c>
      <c r="AD137" s="159">
        <v>52</v>
      </c>
      <c r="AE137" s="159">
        <v>47</v>
      </c>
      <c r="AF137" s="160">
        <v>41</v>
      </c>
      <c r="AG137" s="162">
        <v>36</v>
      </c>
      <c r="AH137" s="162">
        <v>36</v>
      </c>
      <c r="AI137" s="162">
        <v>36</v>
      </c>
      <c r="AJ137" s="162">
        <v>36</v>
      </c>
      <c r="AK137" s="162">
        <v>36</v>
      </c>
      <c r="AL137" s="162">
        <v>36</v>
      </c>
      <c r="AM137" s="162">
        <v>36</v>
      </c>
      <c r="AN137" s="162">
        <v>36</v>
      </c>
      <c r="AO137" s="162">
        <v>36</v>
      </c>
      <c r="AP137" s="162">
        <v>36</v>
      </c>
      <c r="AQ137" s="162">
        <v>36</v>
      </c>
      <c r="AR137" s="162">
        <v>36</v>
      </c>
      <c r="AS137" s="162">
        <v>36</v>
      </c>
      <c r="AT137" s="162">
        <v>36</v>
      </c>
      <c r="AU137" s="162">
        <v>36</v>
      </c>
    </row>
    <row r="138" spans="1:58" ht="15">
      <c r="A138" s="50" t="s">
        <v>351</v>
      </c>
      <c r="B138" s="155">
        <v>92</v>
      </c>
      <c r="C138" s="155">
        <v>85</v>
      </c>
      <c r="D138" s="155">
        <v>78</v>
      </c>
      <c r="E138" s="155">
        <v>71</v>
      </c>
      <c r="F138" s="155">
        <v>65</v>
      </c>
      <c r="G138" s="155">
        <v>57</v>
      </c>
      <c r="H138" s="155">
        <v>50</v>
      </c>
      <c r="I138" s="155">
        <v>44</v>
      </c>
      <c r="J138" s="155">
        <v>44</v>
      </c>
      <c r="K138" s="155">
        <v>44</v>
      </c>
      <c r="L138" s="155">
        <v>44</v>
      </c>
      <c r="M138" s="155">
        <v>44</v>
      </c>
      <c r="N138" s="155">
        <v>44</v>
      </c>
      <c r="O138" s="155">
        <v>44</v>
      </c>
      <c r="P138" s="155">
        <v>44</v>
      </c>
      <c r="Q138" s="155">
        <v>44</v>
      </c>
      <c r="R138" s="155">
        <v>44</v>
      </c>
      <c r="S138" s="155">
        <v>44</v>
      </c>
      <c r="T138" s="155">
        <v>44</v>
      </c>
      <c r="U138" s="155">
        <v>44</v>
      </c>
      <c r="V138" s="155">
        <v>44</v>
      </c>
      <c r="W138" s="155">
        <v>44</v>
      </c>
      <c r="Y138" s="183" t="s">
        <v>351</v>
      </c>
      <c r="Z138" s="158">
        <v>71</v>
      </c>
      <c r="AA138" s="159">
        <v>66</v>
      </c>
      <c r="AB138" s="159">
        <v>60</v>
      </c>
      <c r="AC138" s="159">
        <v>55</v>
      </c>
      <c r="AD138" s="159">
        <v>50</v>
      </c>
      <c r="AE138" s="159">
        <v>44</v>
      </c>
      <c r="AF138" s="160">
        <v>39</v>
      </c>
      <c r="AG138" s="162">
        <v>34</v>
      </c>
      <c r="AH138" s="162">
        <v>34</v>
      </c>
      <c r="AI138" s="162">
        <v>34</v>
      </c>
      <c r="AJ138" s="162">
        <v>34</v>
      </c>
      <c r="AK138" s="162">
        <v>34</v>
      </c>
      <c r="AL138" s="162">
        <v>34</v>
      </c>
      <c r="AM138" s="162">
        <v>34</v>
      </c>
      <c r="AN138" s="162">
        <v>34</v>
      </c>
      <c r="AO138" s="162">
        <v>34</v>
      </c>
      <c r="AP138" s="162">
        <v>34</v>
      </c>
      <c r="AQ138" s="162">
        <v>34</v>
      </c>
      <c r="AR138" s="162">
        <v>34</v>
      </c>
      <c r="AS138" s="162">
        <v>34</v>
      </c>
      <c r="AT138" s="162">
        <v>34</v>
      </c>
      <c r="AU138" s="162">
        <v>34</v>
      </c>
      <c r="AW138" s="208"/>
    </row>
    <row r="139" spans="1:58" ht="15">
      <c r="A139" s="8" t="s">
        <v>352</v>
      </c>
      <c r="B139" s="155">
        <v>91</v>
      </c>
      <c r="C139" s="155">
        <v>84</v>
      </c>
      <c r="D139" s="155">
        <v>76</v>
      </c>
      <c r="E139" s="155">
        <v>70</v>
      </c>
      <c r="F139" s="155">
        <v>63</v>
      </c>
      <c r="G139" s="155">
        <v>57</v>
      </c>
      <c r="H139" s="155">
        <v>49</v>
      </c>
      <c r="I139" s="155">
        <v>42</v>
      </c>
      <c r="J139" s="155">
        <v>42</v>
      </c>
      <c r="K139" s="155">
        <v>42</v>
      </c>
      <c r="L139" s="155">
        <v>42</v>
      </c>
      <c r="M139" s="155">
        <v>42</v>
      </c>
      <c r="N139" s="155">
        <v>42</v>
      </c>
      <c r="O139" s="155">
        <v>42</v>
      </c>
      <c r="P139" s="155">
        <v>42</v>
      </c>
      <c r="Q139" s="155">
        <v>42</v>
      </c>
      <c r="R139" s="155">
        <v>42</v>
      </c>
      <c r="S139" s="155">
        <v>42</v>
      </c>
      <c r="T139" s="155">
        <v>42</v>
      </c>
      <c r="U139" s="155">
        <v>42</v>
      </c>
      <c r="V139" s="155">
        <v>42</v>
      </c>
      <c r="W139" s="155">
        <v>42</v>
      </c>
      <c r="Y139" s="182" t="s">
        <v>352</v>
      </c>
      <c r="Z139" s="158">
        <v>70</v>
      </c>
      <c r="AA139" s="159">
        <v>65</v>
      </c>
      <c r="AB139" s="159">
        <v>59</v>
      </c>
      <c r="AC139" s="159">
        <v>54</v>
      </c>
      <c r="AD139" s="159">
        <v>49</v>
      </c>
      <c r="AE139" s="159">
        <v>44</v>
      </c>
      <c r="AF139" s="160">
        <v>38</v>
      </c>
      <c r="AG139" s="162">
        <v>33</v>
      </c>
      <c r="AH139" s="162">
        <v>33</v>
      </c>
      <c r="AI139" s="162">
        <v>33</v>
      </c>
      <c r="AJ139" s="162">
        <v>33</v>
      </c>
      <c r="AK139" s="162">
        <v>33</v>
      </c>
      <c r="AL139" s="162">
        <v>33</v>
      </c>
      <c r="AM139" s="162">
        <v>33</v>
      </c>
      <c r="AN139" s="162">
        <v>33</v>
      </c>
      <c r="AO139" s="162">
        <v>33</v>
      </c>
      <c r="AP139" s="162">
        <v>33</v>
      </c>
      <c r="AQ139" s="162">
        <v>33</v>
      </c>
      <c r="AR139" s="162">
        <v>33</v>
      </c>
      <c r="AS139" s="162">
        <v>33</v>
      </c>
      <c r="AT139" s="162">
        <v>33</v>
      </c>
      <c r="AU139" s="162">
        <v>33</v>
      </c>
      <c r="AW139" s="208" t="s">
        <v>353</v>
      </c>
    </row>
    <row r="140" spans="1:58" ht="12.75">
      <c r="A140" s="35" t="s">
        <v>354</v>
      </c>
      <c r="B140" s="155">
        <v>87</v>
      </c>
      <c r="C140" s="155">
        <v>80</v>
      </c>
      <c r="D140" s="155">
        <v>74</v>
      </c>
      <c r="E140" s="155">
        <v>67</v>
      </c>
      <c r="F140" s="155">
        <v>61</v>
      </c>
      <c r="G140" s="155">
        <v>54</v>
      </c>
      <c r="H140" s="155">
        <v>48</v>
      </c>
      <c r="I140" s="155">
        <v>41</v>
      </c>
      <c r="J140" s="155">
        <v>41</v>
      </c>
      <c r="K140" s="155">
        <v>41</v>
      </c>
      <c r="L140" s="155">
        <v>41</v>
      </c>
      <c r="M140" s="155">
        <v>41</v>
      </c>
      <c r="N140" s="155">
        <v>41</v>
      </c>
      <c r="O140" s="155">
        <v>41</v>
      </c>
      <c r="P140" s="155">
        <v>41</v>
      </c>
      <c r="Q140" s="155">
        <v>41</v>
      </c>
      <c r="R140" s="155">
        <v>41</v>
      </c>
      <c r="S140" s="155">
        <v>41</v>
      </c>
      <c r="T140" s="155">
        <v>41</v>
      </c>
      <c r="U140" s="155">
        <v>41</v>
      </c>
      <c r="V140" s="155">
        <v>41</v>
      </c>
      <c r="W140" s="155">
        <v>41</v>
      </c>
      <c r="Y140" s="190" t="s">
        <v>354</v>
      </c>
      <c r="Z140" s="158">
        <v>67</v>
      </c>
      <c r="AA140" s="159">
        <v>62</v>
      </c>
      <c r="AB140" s="159">
        <v>57</v>
      </c>
      <c r="AC140" s="159">
        <v>52</v>
      </c>
      <c r="AD140" s="159">
        <v>47</v>
      </c>
      <c r="AE140" s="159">
        <v>42</v>
      </c>
      <c r="AF140" s="160">
        <v>37</v>
      </c>
      <c r="AG140" s="162">
        <v>32</v>
      </c>
      <c r="AH140" s="162">
        <v>32</v>
      </c>
      <c r="AI140" s="162">
        <v>32</v>
      </c>
      <c r="AJ140" s="162">
        <v>32</v>
      </c>
      <c r="AK140" s="162">
        <v>32</v>
      </c>
      <c r="AL140" s="162">
        <v>32</v>
      </c>
      <c r="AM140" s="162">
        <v>32</v>
      </c>
      <c r="AN140" s="162">
        <v>32</v>
      </c>
      <c r="AO140" s="162">
        <v>32</v>
      </c>
      <c r="AP140" s="162">
        <v>32</v>
      </c>
      <c r="AQ140" s="162">
        <v>32</v>
      </c>
      <c r="AR140" s="162">
        <v>32</v>
      </c>
      <c r="AS140" s="162">
        <v>32</v>
      </c>
      <c r="AT140" s="162">
        <v>32</v>
      </c>
      <c r="AU140" s="162">
        <v>32</v>
      </c>
      <c r="AW140" s="13" t="s">
        <v>355</v>
      </c>
    </row>
    <row r="141" spans="1:58" ht="15">
      <c r="A141" s="35" t="s">
        <v>356</v>
      </c>
      <c r="B141" s="156">
        <v>80</v>
      </c>
      <c r="C141" s="155">
        <v>74</v>
      </c>
      <c r="D141" s="155">
        <v>68</v>
      </c>
      <c r="E141" s="155">
        <v>62</v>
      </c>
      <c r="F141" s="155">
        <v>55</v>
      </c>
      <c r="G141" s="155">
        <v>50</v>
      </c>
      <c r="H141" s="155">
        <v>44</v>
      </c>
      <c r="I141" s="155">
        <v>37</v>
      </c>
      <c r="J141" s="155">
        <v>37</v>
      </c>
      <c r="K141" s="155">
        <v>37</v>
      </c>
      <c r="L141" s="155">
        <v>37</v>
      </c>
      <c r="M141" s="155">
        <v>37</v>
      </c>
      <c r="N141" s="155">
        <v>37</v>
      </c>
      <c r="O141" s="155">
        <v>37</v>
      </c>
      <c r="P141" s="155">
        <v>37</v>
      </c>
      <c r="Q141" s="155">
        <v>37</v>
      </c>
      <c r="R141" s="155">
        <v>37</v>
      </c>
      <c r="S141" s="155">
        <v>37</v>
      </c>
      <c r="T141" s="155">
        <v>37</v>
      </c>
      <c r="U141" s="155">
        <v>37</v>
      </c>
      <c r="V141" s="155">
        <v>37</v>
      </c>
      <c r="W141" s="155">
        <v>37</v>
      </c>
      <c r="Y141" s="183" t="s">
        <v>356</v>
      </c>
      <c r="Z141" s="158">
        <v>62</v>
      </c>
      <c r="AA141" s="159">
        <v>57</v>
      </c>
      <c r="AB141" s="159">
        <v>53</v>
      </c>
      <c r="AC141" s="159">
        <v>48</v>
      </c>
      <c r="AD141" s="159">
        <v>43</v>
      </c>
      <c r="AE141" s="159">
        <v>39</v>
      </c>
      <c r="AF141" s="160">
        <v>34</v>
      </c>
      <c r="AG141" s="162">
        <v>29</v>
      </c>
      <c r="AH141" s="162">
        <v>29</v>
      </c>
      <c r="AI141" s="162">
        <v>29</v>
      </c>
      <c r="AJ141" s="162">
        <v>29</v>
      </c>
      <c r="AK141" s="162">
        <v>29</v>
      </c>
      <c r="AL141" s="162">
        <v>29</v>
      </c>
      <c r="AM141" s="162">
        <v>29</v>
      </c>
      <c r="AN141" s="162">
        <v>29</v>
      </c>
      <c r="AO141" s="162">
        <v>29</v>
      </c>
      <c r="AP141" s="162">
        <v>29</v>
      </c>
      <c r="AQ141" s="162">
        <v>29</v>
      </c>
      <c r="AR141" s="162">
        <v>29</v>
      </c>
      <c r="AS141" s="162">
        <v>29</v>
      </c>
      <c r="AT141" s="162">
        <v>29</v>
      </c>
      <c r="AU141" s="162">
        <v>29</v>
      </c>
      <c r="AW141" s="13"/>
      <c r="AX141" s="13"/>
      <c r="AY141" s="13"/>
      <c r="BA141" s="13"/>
      <c r="BB141" s="13"/>
      <c r="BC141" s="13"/>
      <c r="BE141" s="13"/>
    </row>
    <row r="142" spans="1:58" ht="15">
      <c r="A142" s="209" t="s">
        <v>357</v>
      </c>
      <c r="B142" s="156">
        <v>76</v>
      </c>
      <c r="C142" s="155">
        <v>71</v>
      </c>
      <c r="D142" s="155">
        <v>65</v>
      </c>
      <c r="E142" s="155">
        <v>59</v>
      </c>
      <c r="F142" s="155">
        <v>53</v>
      </c>
      <c r="G142" s="155">
        <v>48</v>
      </c>
      <c r="H142" s="155">
        <v>41</v>
      </c>
      <c r="I142" s="155">
        <v>36</v>
      </c>
      <c r="J142" s="155">
        <v>36</v>
      </c>
      <c r="K142" s="155">
        <v>36</v>
      </c>
      <c r="L142" s="155">
        <v>36</v>
      </c>
      <c r="M142" s="155">
        <v>36</v>
      </c>
      <c r="N142" s="155">
        <v>36</v>
      </c>
      <c r="O142" s="155">
        <v>36</v>
      </c>
      <c r="P142" s="155">
        <v>36</v>
      </c>
      <c r="Q142" s="155">
        <v>36</v>
      </c>
      <c r="R142" s="155">
        <v>36</v>
      </c>
      <c r="S142" s="155">
        <v>36</v>
      </c>
      <c r="T142" s="155">
        <v>36</v>
      </c>
      <c r="U142" s="155">
        <v>36</v>
      </c>
      <c r="V142" s="155">
        <v>36</v>
      </c>
      <c r="W142" s="155">
        <v>36</v>
      </c>
      <c r="Y142" s="183" t="s">
        <v>357</v>
      </c>
      <c r="Z142" s="158">
        <v>59</v>
      </c>
      <c r="AA142" s="159">
        <v>55</v>
      </c>
      <c r="AB142" s="159">
        <v>50</v>
      </c>
      <c r="AC142" s="159">
        <v>46</v>
      </c>
      <c r="AD142" s="159">
        <v>41</v>
      </c>
      <c r="AE142" s="159">
        <v>37</v>
      </c>
      <c r="AF142" s="160">
        <v>32</v>
      </c>
      <c r="AG142" s="162">
        <v>28</v>
      </c>
      <c r="AH142" s="162">
        <v>28</v>
      </c>
      <c r="AI142" s="162">
        <v>28</v>
      </c>
      <c r="AJ142" s="162">
        <v>28</v>
      </c>
      <c r="AK142" s="162">
        <v>28</v>
      </c>
      <c r="AL142" s="162">
        <v>28</v>
      </c>
      <c r="AM142" s="162">
        <v>28</v>
      </c>
      <c r="AN142" s="162">
        <v>28</v>
      </c>
      <c r="AO142" s="162">
        <v>28</v>
      </c>
      <c r="AP142" s="162">
        <v>28</v>
      </c>
      <c r="AQ142" s="162">
        <v>28</v>
      </c>
      <c r="AR142" s="162">
        <v>28</v>
      </c>
      <c r="AS142" s="162">
        <v>28</v>
      </c>
      <c r="AT142" s="162">
        <v>28</v>
      </c>
      <c r="AU142" s="162">
        <v>28</v>
      </c>
      <c r="AW142" s="13"/>
      <c r="AX142" s="13"/>
      <c r="AY142" s="13"/>
      <c r="BA142" s="13"/>
      <c r="BB142" s="13"/>
      <c r="BC142" s="13"/>
      <c r="BE142" s="13"/>
    </row>
    <row r="143" spans="1:58" ht="15">
      <c r="A143" s="8" t="s">
        <v>358</v>
      </c>
      <c r="B143" s="156">
        <v>74</v>
      </c>
      <c r="C143" s="155">
        <v>68</v>
      </c>
      <c r="D143" s="155">
        <v>62</v>
      </c>
      <c r="E143" s="155">
        <v>57</v>
      </c>
      <c r="F143" s="155">
        <v>52</v>
      </c>
      <c r="G143" s="155">
        <v>45</v>
      </c>
      <c r="H143" s="155">
        <v>40</v>
      </c>
      <c r="I143" s="155">
        <v>35</v>
      </c>
      <c r="J143" s="155">
        <v>35</v>
      </c>
      <c r="K143" s="155">
        <v>35</v>
      </c>
      <c r="L143" s="155">
        <v>35</v>
      </c>
      <c r="M143" s="155">
        <v>35</v>
      </c>
      <c r="N143" s="155">
        <v>35</v>
      </c>
      <c r="O143" s="155">
        <v>35</v>
      </c>
      <c r="P143" s="155">
        <v>35</v>
      </c>
      <c r="Q143" s="155">
        <v>35</v>
      </c>
      <c r="R143" s="155">
        <v>35</v>
      </c>
      <c r="S143" s="155">
        <v>35</v>
      </c>
      <c r="T143" s="155">
        <v>35</v>
      </c>
      <c r="U143" s="155">
        <v>35</v>
      </c>
      <c r="V143" s="155">
        <v>35</v>
      </c>
      <c r="W143" s="155">
        <v>35</v>
      </c>
      <c r="Y143" s="182" t="s">
        <v>358</v>
      </c>
      <c r="Z143" s="158">
        <v>57</v>
      </c>
      <c r="AA143" s="159">
        <v>53</v>
      </c>
      <c r="AB143" s="159">
        <v>48</v>
      </c>
      <c r="AC143" s="159">
        <v>44</v>
      </c>
      <c r="AD143" s="159">
        <v>40</v>
      </c>
      <c r="AE143" s="159">
        <v>35</v>
      </c>
      <c r="AF143" s="160">
        <v>31</v>
      </c>
      <c r="AG143" s="162">
        <v>27</v>
      </c>
      <c r="AH143" s="162">
        <v>27</v>
      </c>
      <c r="AI143" s="162">
        <v>27</v>
      </c>
      <c r="AJ143" s="162">
        <v>27</v>
      </c>
      <c r="AK143" s="162">
        <v>27</v>
      </c>
      <c r="AL143" s="162">
        <v>27</v>
      </c>
      <c r="AM143" s="162">
        <v>27</v>
      </c>
      <c r="AN143" s="162">
        <v>27</v>
      </c>
      <c r="AO143" s="162">
        <v>27</v>
      </c>
      <c r="AP143" s="162">
        <v>27</v>
      </c>
      <c r="AQ143" s="162">
        <v>27</v>
      </c>
      <c r="AR143" s="162">
        <v>27</v>
      </c>
      <c r="AS143" s="162">
        <v>27</v>
      </c>
      <c r="AT143" s="162">
        <v>27</v>
      </c>
      <c r="AU143" s="162">
        <v>27</v>
      </c>
      <c r="AW143" s="13"/>
      <c r="AX143" s="13"/>
      <c r="AY143" s="13"/>
      <c r="BA143" s="13"/>
      <c r="BB143" s="13"/>
      <c r="BC143" s="13"/>
      <c r="BE143" s="13"/>
    </row>
    <row r="144" spans="1:58" ht="15">
      <c r="A144" s="38" t="s">
        <v>359</v>
      </c>
      <c r="B144" s="156">
        <v>70</v>
      </c>
      <c r="C144" s="155">
        <v>65</v>
      </c>
      <c r="D144" s="155">
        <v>59</v>
      </c>
      <c r="E144" s="155">
        <v>54</v>
      </c>
      <c r="F144" s="155">
        <v>49</v>
      </c>
      <c r="G144" s="155">
        <v>44</v>
      </c>
      <c r="H144" s="155">
        <v>39</v>
      </c>
      <c r="I144" s="155">
        <v>33</v>
      </c>
      <c r="J144" s="155">
        <v>32</v>
      </c>
      <c r="K144" s="155">
        <v>32</v>
      </c>
      <c r="L144" s="155">
        <v>32</v>
      </c>
      <c r="M144" s="155">
        <v>32</v>
      </c>
      <c r="N144" s="155">
        <v>32</v>
      </c>
      <c r="O144" s="155">
        <v>32</v>
      </c>
      <c r="P144" s="155">
        <v>32</v>
      </c>
      <c r="Q144" s="155">
        <v>32</v>
      </c>
      <c r="R144" s="155">
        <v>32</v>
      </c>
      <c r="S144" s="155">
        <v>32</v>
      </c>
      <c r="T144" s="155">
        <v>32</v>
      </c>
      <c r="U144" s="155">
        <v>32</v>
      </c>
      <c r="V144" s="155">
        <v>32</v>
      </c>
      <c r="W144" s="155">
        <v>32</v>
      </c>
      <c r="Y144" s="182" t="s">
        <v>359</v>
      </c>
      <c r="Z144" s="158">
        <v>54</v>
      </c>
      <c r="AA144" s="159">
        <v>50</v>
      </c>
      <c r="AB144" s="159">
        <v>46</v>
      </c>
      <c r="AC144" s="159">
        <v>42</v>
      </c>
      <c r="AD144" s="159">
        <v>38</v>
      </c>
      <c r="AE144" s="159">
        <v>34</v>
      </c>
      <c r="AF144" s="160">
        <v>30</v>
      </c>
      <c r="AG144" s="162">
        <v>26</v>
      </c>
      <c r="AH144" s="162">
        <v>25</v>
      </c>
      <c r="AI144" s="162">
        <v>25</v>
      </c>
      <c r="AJ144" s="162">
        <v>25</v>
      </c>
      <c r="AK144" s="162">
        <v>25</v>
      </c>
      <c r="AL144" s="162">
        <v>25</v>
      </c>
      <c r="AM144" s="162">
        <v>25</v>
      </c>
      <c r="AN144" s="162">
        <v>25</v>
      </c>
      <c r="AO144" s="162">
        <v>25</v>
      </c>
      <c r="AP144" s="162">
        <v>25</v>
      </c>
      <c r="AQ144" s="162">
        <v>25</v>
      </c>
      <c r="AR144" s="162">
        <v>25</v>
      </c>
      <c r="AS144" s="162">
        <v>25</v>
      </c>
      <c r="AT144" s="162">
        <v>25</v>
      </c>
      <c r="AU144" s="162">
        <v>25</v>
      </c>
      <c r="AW144" s="13" t="s">
        <v>360</v>
      </c>
      <c r="AX144" s="13" t="s">
        <v>361</v>
      </c>
      <c r="AY144" s="13">
        <v>88</v>
      </c>
      <c r="BA144" s="13" t="s">
        <v>362</v>
      </c>
      <c r="BB144" s="13" t="s">
        <v>361</v>
      </c>
      <c r="BC144" s="13">
        <v>88</v>
      </c>
      <c r="BE144" s="13">
        <v>88</v>
      </c>
    </row>
    <row r="145" spans="1:58" ht="15">
      <c r="A145" s="150" t="s">
        <v>333</v>
      </c>
      <c r="B145" s="151" t="s">
        <v>24</v>
      </c>
      <c r="C145" s="151" t="s">
        <v>25</v>
      </c>
      <c r="D145" s="151" t="s">
        <v>26</v>
      </c>
      <c r="E145" s="151" t="s">
        <v>27</v>
      </c>
      <c r="F145" s="151" t="s">
        <v>28</v>
      </c>
      <c r="G145" s="151" t="s">
        <v>74</v>
      </c>
      <c r="H145" s="151" t="s">
        <v>75</v>
      </c>
      <c r="I145" s="151" t="s">
        <v>76</v>
      </c>
      <c r="J145" s="151" t="s">
        <v>77</v>
      </c>
      <c r="K145" s="151" t="s">
        <v>78</v>
      </c>
      <c r="L145" s="151" t="s">
        <v>79</v>
      </c>
      <c r="M145" s="151" t="s">
        <v>80</v>
      </c>
      <c r="N145" s="16" t="s">
        <v>81</v>
      </c>
      <c r="O145" s="16" t="s">
        <v>82</v>
      </c>
      <c r="P145" s="16" t="s">
        <v>83</v>
      </c>
      <c r="Q145" s="16" t="s">
        <v>84</v>
      </c>
      <c r="R145" s="151" t="s">
        <v>85</v>
      </c>
      <c r="S145" s="16" t="s">
        <v>86</v>
      </c>
      <c r="T145" s="16" t="s">
        <v>87</v>
      </c>
      <c r="U145" s="16" t="s">
        <v>88</v>
      </c>
      <c r="V145" s="16" t="s">
        <v>89</v>
      </c>
      <c r="W145" s="151" t="s">
        <v>90</v>
      </c>
      <c r="Y145" s="191" t="s">
        <v>363</v>
      </c>
      <c r="Z145" s="151" t="s">
        <v>24</v>
      </c>
      <c r="AA145" s="151" t="s">
        <v>25</v>
      </c>
      <c r="AB145" s="151" t="s">
        <v>26</v>
      </c>
      <c r="AC145" s="16">
        <v>35</v>
      </c>
      <c r="AD145" s="16">
        <v>40</v>
      </c>
      <c r="AE145" s="151">
        <v>45</v>
      </c>
      <c r="AF145" s="152">
        <v>50</v>
      </c>
      <c r="AG145" s="152">
        <v>60</v>
      </c>
      <c r="AH145" s="151">
        <v>70</v>
      </c>
      <c r="AI145" s="151">
        <v>80</v>
      </c>
      <c r="AJ145" s="16">
        <v>90</v>
      </c>
      <c r="AK145" s="151">
        <v>100</v>
      </c>
      <c r="AL145" s="16">
        <v>110</v>
      </c>
      <c r="AM145" s="16">
        <v>120</v>
      </c>
      <c r="AN145" s="16">
        <v>130</v>
      </c>
      <c r="AO145" s="16">
        <v>140</v>
      </c>
      <c r="AP145" s="151">
        <v>150</v>
      </c>
      <c r="AQ145" s="16">
        <v>160</v>
      </c>
      <c r="AR145" s="16">
        <v>170</v>
      </c>
      <c r="AS145" s="16">
        <v>180</v>
      </c>
      <c r="AT145" s="16">
        <v>190</v>
      </c>
      <c r="AU145" s="16" t="s">
        <v>90</v>
      </c>
      <c r="AX145" s="13" t="s">
        <v>189</v>
      </c>
      <c r="AY145" s="13">
        <v>81</v>
      </c>
      <c r="BB145" s="13" t="s">
        <v>189</v>
      </c>
      <c r="BC145" s="13">
        <v>81</v>
      </c>
      <c r="BE145" s="2">
        <f>BE144*(12/13)</f>
        <v>81.230769230769241</v>
      </c>
    </row>
    <row r="146" spans="1:58" ht="15">
      <c r="A146" s="210" t="s">
        <v>364</v>
      </c>
      <c r="B146" s="155">
        <f t="array" ref="B146:W147">INT($Z$146:$AU$147*1.3)</f>
        <v>104</v>
      </c>
      <c r="C146" s="155">
        <v>94</v>
      </c>
      <c r="D146" s="155">
        <v>85</v>
      </c>
      <c r="E146" s="155">
        <v>76</v>
      </c>
      <c r="F146" s="155">
        <v>68</v>
      </c>
      <c r="G146" s="155">
        <v>59</v>
      </c>
      <c r="H146" s="155">
        <v>50</v>
      </c>
      <c r="I146" s="155">
        <v>45</v>
      </c>
      <c r="J146" s="155">
        <v>45</v>
      </c>
      <c r="K146" s="155">
        <v>45</v>
      </c>
      <c r="L146" s="155">
        <v>45</v>
      </c>
      <c r="M146" s="155">
        <v>45</v>
      </c>
      <c r="N146" s="155">
        <v>45</v>
      </c>
      <c r="O146" s="155">
        <v>45</v>
      </c>
      <c r="P146" s="155">
        <v>45</v>
      </c>
      <c r="Q146" s="155">
        <v>45</v>
      </c>
      <c r="R146" s="155">
        <v>45</v>
      </c>
      <c r="S146" s="155">
        <v>45</v>
      </c>
      <c r="T146" s="155">
        <v>45</v>
      </c>
      <c r="U146" s="155">
        <v>45</v>
      </c>
      <c r="V146" s="155">
        <v>45</v>
      </c>
      <c r="W146" s="155">
        <v>45</v>
      </c>
      <c r="Y146" s="204" t="s">
        <v>364</v>
      </c>
      <c r="Z146" s="158">
        <v>80</v>
      </c>
      <c r="AA146" s="159">
        <v>73</v>
      </c>
      <c r="AB146" s="159">
        <v>66</v>
      </c>
      <c r="AC146" s="159">
        <v>59</v>
      </c>
      <c r="AD146" s="159">
        <v>53</v>
      </c>
      <c r="AE146" s="159">
        <v>46</v>
      </c>
      <c r="AF146" s="160">
        <v>39</v>
      </c>
      <c r="AG146" s="162">
        <v>35</v>
      </c>
      <c r="AH146" s="162">
        <v>35</v>
      </c>
      <c r="AI146" s="162">
        <v>35</v>
      </c>
      <c r="AJ146" s="162">
        <v>35</v>
      </c>
      <c r="AK146" s="162">
        <v>35</v>
      </c>
      <c r="AL146" s="162">
        <v>35</v>
      </c>
      <c r="AM146" s="162">
        <v>35</v>
      </c>
      <c r="AN146" s="162">
        <v>35</v>
      </c>
      <c r="AO146" s="162">
        <v>35</v>
      </c>
      <c r="AP146" s="162">
        <v>35</v>
      </c>
      <c r="AQ146" s="162">
        <v>35</v>
      </c>
      <c r="AR146" s="162">
        <v>35</v>
      </c>
      <c r="AS146" s="162">
        <v>35</v>
      </c>
      <c r="AT146" s="162">
        <v>35</v>
      </c>
      <c r="AU146" s="162">
        <v>35</v>
      </c>
      <c r="AX146" s="13"/>
      <c r="AY146" s="13"/>
      <c r="BB146" s="13"/>
      <c r="BC146" s="13"/>
    </row>
    <row r="147" spans="1:58" ht="15">
      <c r="A147" s="210" t="s">
        <v>365</v>
      </c>
      <c r="B147" s="155">
        <v>98</v>
      </c>
      <c r="C147" s="155">
        <v>91</v>
      </c>
      <c r="D147" s="155">
        <v>81</v>
      </c>
      <c r="E147" s="155">
        <v>74</v>
      </c>
      <c r="F147" s="155">
        <v>65</v>
      </c>
      <c r="G147" s="155">
        <v>57</v>
      </c>
      <c r="H147" s="155">
        <v>48</v>
      </c>
      <c r="I147" s="155">
        <v>42</v>
      </c>
      <c r="J147" s="155">
        <v>42</v>
      </c>
      <c r="K147" s="155">
        <v>42</v>
      </c>
      <c r="L147" s="155">
        <v>42</v>
      </c>
      <c r="M147" s="155">
        <v>42</v>
      </c>
      <c r="N147" s="155">
        <v>42</v>
      </c>
      <c r="O147" s="155">
        <v>42</v>
      </c>
      <c r="P147" s="155">
        <v>42</v>
      </c>
      <c r="Q147" s="155">
        <v>42</v>
      </c>
      <c r="R147" s="155">
        <v>42</v>
      </c>
      <c r="S147" s="155">
        <v>42</v>
      </c>
      <c r="T147" s="155">
        <v>42</v>
      </c>
      <c r="U147" s="155">
        <v>42</v>
      </c>
      <c r="V147" s="155">
        <v>42</v>
      </c>
      <c r="W147" s="155">
        <v>42</v>
      </c>
      <c r="Y147" s="183" t="s">
        <v>365</v>
      </c>
      <c r="Z147" s="158">
        <v>76</v>
      </c>
      <c r="AA147" s="159">
        <v>70</v>
      </c>
      <c r="AB147" s="159">
        <v>63</v>
      </c>
      <c r="AC147" s="159">
        <v>57</v>
      </c>
      <c r="AD147" s="159">
        <v>50</v>
      </c>
      <c r="AE147" s="159">
        <v>44</v>
      </c>
      <c r="AF147" s="160">
        <v>37</v>
      </c>
      <c r="AG147" s="162">
        <v>33</v>
      </c>
      <c r="AH147" s="162">
        <v>33</v>
      </c>
      <c r="AI147" s="162">
        <v>33</v>
      </c>
      <c r="AJ147" s="162">
        <v>33</v>
      </c>
      <c r="AK147" s="162">
        <v>33</v>
      </c>
      <c r="AL147" s="162">
        <v>33</v>
      </c>
      <c r="AM147" s="162">
        <v>33</v>
      </c>
      <c r="AN147" s="162">
        <v>33</v>
      </c>
      <c r="AO147" s="162">
        <v>33</v>
      </c>
      <c r="AP147" s="162">
        <v>33</v>
      </c>
      <c r="AQ147" s="162">
        <v>33</v>
      </c>
      <c r="AR147" s="162">
        <v>33</v>
      </c>
      <c r="AS147" s="162">
        <v>33</v>
      </c>
      <c r="AT147" s="162">
        <v>33</v>
      </c>
      <c r="AU147" s="162">
        <v>33</v>
      </c>
      <c r="AX147" s="13" t="s">
        <v>366</v>
      </c>
      <c r="AY147" s="13">
        <v>61</v>
      </c>
      <c r="BB147" s="13" t="s">
        <v>366</v>
      </c>
      <c r="BC147" s="13">
        <v>61</v>
      </c>
      <c r="BE147" s="2">
        <f>BE144*(9/13)</f>
        <v>60.92307692307692</v>
      </c>
    </row>
    <row r="148" spans="1:58" ht="15">
      <c r="A148" s="150" t="s">
        <v>336</v>
      </c>
      <c r="B148" s="151" t="s">
        <v>24</v>
      </c>
      <c r="C148" s="151" t="s">
        <v>25</v>
      </c>
      <c r="D148" s="151" t="s">
        <v>26</v>
      </c>
      <c r="E148" s="151" t="s">
        <v>27</v>
      </c>
      <c r="F148" s="151" t="s">
        <v>28</v>
      </c>
      <c r="G148" s="151" t="s">
        <v>74</v>
      </c>
      <c r="H148" s="151" t="s">
        <v>75</v>
      </c>
      <c r="I148" s="151" t="s">
        <v>76</v>
      </c>
      <c r="J148" s="151" t="s">
        <v>77</v>
      </c>
      <c r="K148" s="151" t="s">
        <v>78</v>
      </c>
      <c r="L148" s="151" t="s">
        <v>79</v>
      </c>
      <c r="M148" s="151" t="s">
        <v>80</v>
      </c>
      <c r="N148" s="16" t="s">
        <v>81</v>
      </c>
      <c r="O148" s="16" t="s">
        <v>82</v>
      </c>
      <c r="P148" s="16" t="s">
        <v>83</v>
      </c>
      <c r="Q148" s="16" t="s">
        <v>84</v>
      </c>
      <c r="R148" s="151" t="s">
        <v>85</v>
      </c>
      <c r="S148" s="16" t="s">
        <v>86</v>
      </c>
      <c r="T148" s="16" t="s">
        <v>87</v>
      </c>
      <c r="U148" s="16" t="s">
        <v>88</v>
      </c>
      <c r="V148" s="16" t="s">
        <v>89</v>
      </c>
      <c r="W148" s="151" t="s">
        <v>90</v>
      </c>
      <c r="Y148" s="191" t="s">
        <v>367</v>
      </c>
      <c r="Z148" s="151" t="s">
        <v>24</v>
      </c>
      <c r="AA148" s="151" t="s">
        <v>25</v>
      </c>
      <c r="AB148" s="151" t="s">
        <v>26</v>
      </c>
      <c r="AC148" s="16">
        <v>35</v>
      </c>
      <c r="AD148" s="16">
        <v>40</v>
      </c>
      <c r="AE148" s="151">
        <v>45</v>
      </c>
      <c r="AF148" s="152">
        <v>50</v>
      </c>
      <c r="AG148" s="152">
        <v>60</v>
      </c>
      <c r="AH148" s="151">
        <v>70</v>
      </c>
      <c r="AI148" s="151">
        <v>80</v>
      </c>
      <c r="AJ148" s="16">
        <v>90</v>
      </c>
      <c r="AK148" s="151">
        <v>100</v>
      </c>
      <c r="AL148" s="16">
        <v>110</v>
      </c>
      <c r="AM148" s="16">
        <v>120</v>
      </c>
      <c r="AN148" s="16">
        <v>130</v>
      </c>
      <c r="AO148" s="16">
        <v>140</v>
      </c>
      <c r="AP148" s="151">
        <v>150</v>
      </c>
      <c r="AQ148" s="16">
        <v>160</v>
      </c>
      <c r="AR148" s="16">
        <v>170</v>
      </c>
      <c r="AS148" s="16">
        <v>180</v>
      </c>
      <c r="AT148" s="16">
        <v>190</v>
      </c>
      <c r="AU148" s="16" t="s">
        <v>90</v>
      </c>
      <c r="AX148" s="13" t="s">
        <v>199</v>
      </c>
      <c r="AY148" s="13">
        <v>54</v>
      </c>
      <c r="BB148" s="13" t="s">
        <v>199</v>
      </c>
      <c r="BC148" s="13">
        <v>54</v>
      </c>
      <c r="BE148" s="2">
        <f>BE144*(8/13)</f>
        <v>54.15384615384616</v>
      </c>
    </row>
    <row r="149" spans="1:58" ht="15">
      <c r="A149" s="210" t="s">
        <v>368</v>
      </c>
      <c r="B149" s="155">
        <f t="array" ref="B149:W152">INT($Z$149:$AU$152*1.3)</f>
        <v>85</v>
      </c>
      <c r="C149" s="155">
        <v>78</v>
      </c>
      <c r="D149" s="155">
        <v>70</v>
      </c>
      <c r="E149" s="155">
        <v>62</v>
      </c>
      <c r="F149" s="155">
        <v>54</v>
      </c>
      <c r="G149" s="155">
        <v>46</v>
      </c>
      <c r="H149" s="155">
        <v>40</v>
      </c>
      <c r="I149" s="155">
        <v>35</v>
      </c>
      <c r="J149" s="155">
        <v>35</v>
      </c>
      <c r="K149" s="155">
        <v>35</v>
      </c>
      <c r="L149" s="155">
        <v>35</v>
      </c>
      <c r="M149" s="155">
        <v>35</v>
      </c>
      <c r="N149" s="155">
        <v>35</v>
      </c>
      <c r="O149" s="155">
        <v>35</v>
      </c>
      <c r="P149" s="155">
        <v>35</v>
      </c>
      <c r="Q149" s="155">
        <v>35</v>
      </c>
      <c r="R149" s="155">
        <v>35</v>
      </c>
      <c r="S149" s="155">
        <v>35</v>
      </c>
      <c r="T149" s="155">
        <v>35</v>
      </c>
      <c r="U149" s="155">
        <v>35</v>
      </c>
      <c r="V149" s="155">
        <v>35</v>
      </c>
      <c r="W149" s="155">
        <v>35</v>
      </c>
      <c r="Y149" s="183" t="s">
        <v>368</v>
      </c>
      <c r="Z149" s="158">
        <v>66</v>
      </c>
      <c r="AA149" s="159">
        <v>60</v>
      </c>
      <c r="AB149" s="159">
        <v>54</v>
      </c>
      <c r="AC149" s="159">
        <v>48</v>
      </c>
      <c r="AD149" s="159">
        <v>42</v>
      </c>
      <c r="AE149" s="159">
        <v>36</v>
      </c>
      <c r="AF149" s="160">
        <v>31</v>
      </c>
      <c r="AG149" s="162">
        <v>27</v>
      </c>
      <c r="AH149" s="162">
        <v>27</v>
      </c>
      <c r="AI149" s="162">
        <v>27</v>
      </c>
      <c r="AJ149" s="162">
        <v>27</v>
      </c>
      <c r="AK149" s="162">
        <v>27</v>
      </c>
      <c r="AL149" s="162">
        <v>27</v>
      </c>
      <c r="AM149" s="162">
        <v>27</v>
      </c>
      <c r="AN149" s="162">
        <v>27</v>
      </c>
      <c r="AO149" s="162">
        <v>27</v>
      </c>
      <c r="AP149" s="162">
        <v>27</v>
      </c>
      <c r="AQ149" s="162">
        <v>27</v>
      </c>
      <c r="AR149" s="162">
        <v>27</v>
      </c>
      <c r="AS149" s="162">
        <v>27</v>
      </c>
      <c r="AT149" s="162">
        <v>27</v>
      </c>
      <c r="AU149" s="162">
        <v>27</v>
      </c>
    </row>
    <row r="150" spans="1:58" ht="15">
      <c r="A150" s="199" t="s">
        <v>369</v>
      </c>
      <c r="B150" s="155">
        <v>81</v>
      </c>
      <c r="C150" s="155">
        <v>74</v>
      </c>
      <c r="D150" s="155">
        <v>67</v>
      </c>
      <c r="E150" s="155">
        <v>59</v>
      </c>
      <c r="F150" s="155">
        <v>50</v>
      </c>
      <c r="G150" s="155">
        <v>45</v>
      </c>
      <c r="H150" s="155">
        <v>39</v>
      </c>
      <c r="I150" s="155">
        <v>33</v>
      </c>
      <c r="J150" s="155">
        <v>33</v>
      </c>
      <c r="K150" s="155">
        <v>33</v>
      </c>
      <c r="L150" s="155">
        <v>33</v>
      </c>
      <c r="M150" s="155">
        <v>33</v>
      </c>
      <c r="N150" s="155">
        <v>33</v>
      </c>
      <c r="O150" s="155">
        <v>33</v>
      </c>
      <c r="P150" s="155">
        <v>33</v>
      </c>
      <c r="Q150" s="155">
        <v>33</v>
      </c>
      <c r="R150" s="155">
        <v>33</v>
      </c>
      <c r="S150" s="155">
        <v>33</v>
      </c>
      <c r="T150" s="155">
        <v>33</v>
      </c>
      <c r="U150" s="155">
        <v>33</v>
      </c>
      <c r="V150" s="155">
        <v>33</v>
      </c>
      <c r="W150" s="155">
        <v>33</v>
      </c>
      <c r="Y150" s="182" t="s">
        <v>369</v>
      </c>
      <c r="Z150" s="158">
        <v>63</v>
      </c>
      <c r="AA150" s="159">
        <v>57</v>
      </c>
      <c r="AB150" s="159">
        <v>52</v>
      </c>
      <c r="AC150" s="159">
        <v>46</v>
      </c>
      <c r="AD150" s="159">
        <v>39</v>
      </c>
      <c r="AE150" s="159">
        <v>35</v>
      </c>
      <c r="AF150" s="160">
        <v>30</v>
      </c>
      <c r="AG150" s="162">
        <v>26</v>
      </c>
      <c r="AH150" s="162">
        <v>26</v>
      </c>
      <c r="AI150" s="162">
        <v>26</v>
      </c>
      <c r="AJ150" s="162">
        <v>26</v>
      </c>
      <c r="AK150" s="162">
        <v>26</v>
      </c>
      <c r="AL150" s="162">
        <v>26</v>
      </c>
      <c r="AM150" s="162">
        <v>26</v>
      </c>
      <c r="AN150" s="162">
        <v>26</v>
      </c>
      <c r="AO150" s="162">
        <v>26</v>
      </c>
      <c r="AP150" s="162">
        <v>26</v>
      </c>
      <c r="AQ150" s="162">
        <v>26</v>
      </c>
      <c r="AR150" s="162">
        <v>26</v>
      </c>
      <c r="AS150" s="162">
        <v>26</v>
      </c>
      <c r="AT150" s="162">
        <v>26</v>
      </c>
      <c r="AU150" s="162">
        <v>26</v>
      </c>
      <c r="AW150" s="211"/>
      <c r="AX150" s="13"/>
      <c r="AY150" s="13"/>
      <c r="BA150" s="13"/>
      <c r="BB150" s="13"/>
      <c r="BC150" s="13"/>
      <c r="BE150" s="13"/>
    </row>
    <row r="151" spans="1:58" ht="12.75">
      <c r="A151" s="194" t="s">
        <v>370</v>
      </c>
      <c r="B151" s="155">
        <v>70</v>
      </c>
      <c r="C151" s="155">
        <v>63</v>
      </c>
      <c r="D151" s="155">
        <v>57</v>
      </c>
      <c r="E151" s="155">
        <v>50</v>
      </c>
      <c r="F151" s="155">
        <v>45</v>
      </c>
      <c r="G151" s="155">
        <v>39</v>
      </c>
      <c r="H151" s="155">
        <v>32</v>
      </c>
      <c r="I151" s="155">
        <v>28</v>
      </c>
      <c r="J151" s="155">
        <v>28</v>
      </c>
      <c r="K151" s="155">
        <v>28</v>
      </c>
      <c r="L151" s="155">
        <v>28</v>
      </c>
      <c r="M151" s="155">
        <v>28</v>
      </c>
      <c r="N151" s="155">
        <v>28</v>
      </c>
      <c r="O151" s="155">
        <v>28</v>
      </c>
      <c r="P151" s="155">
        <v>28</v>
      </c>
      <c r="Q151" s="155">
        <v>28</v>
      </c>
      <c r="R151" s="155">
        <v>28</v>
      </c>
      <c r="S151" s="155">
        <v>28</v>
      </c>
      <c r="T151" s="155">
        <v>28</v>
      </c>
      <c r="U151" s="155">
        <v>28</v>
      </c>
      <c r="V151" s="155">
        <v>28</v>
      </c>
      <c r="W151" s="155">
        <v>28</v>
      </c>
      <c r="Y151" s="195" t="s">
        <v>370</v>
      </c>
      <c r="Z151" s="158">
        <v>54</v>
      </c>
      <c r="AA151" s="159">
        <v>49</v>
      </c>
      <c r="AB151" s="159">
        <v>44</v>
      </c>
      <c r="AC151" s="159">
        <v>39</v>
      </c>
      <c r="AD151" s="159">
        <v>35</v>
      </c>
      <c r="AE151" s="159">
        <v>30</v>
      </c>
      <c r="AF151" s="160">
        <v>25</v>
      </c>
      <c r="AG151" s="162">
        <v>22</v>
      </c>
      <c r="AH151" s="162">
        <v>22</v>
      </c>
      <c r="AI151" s="162">
        <v>22</v>
      </c>
      <c r="AJ151" s="162">
        <v>22</v>
      </c>
      <c r="AK151" s="162">
        <v>22</v>
      </c>
      <c r="AL151" s="162">
        <v>22</v>
      </c>
      <c r="AM151" s="162">
        <v>22</v>
      </c>
      <c r="AN151" s="162">
        <v>22</v>
      </c>
      <c r="AO151" s="162">
        <v>22</v>
      </c>
      <c r="AP151" s="162">
        <v>22</v>
      </c>
      <c r="AQ151" s="162">
        <v>22</v>
      </c>
      <c r="AR151" s="162">
        <v>22</v>
      </c>
      <c r="AS151" s="162">
        <v>22</v>
      </c>
      <c r="AT151" s="162">
        <v>22</v>
      </c>
      <c r="AU151" s="162">
        <v>22</v>
      </c>
      <c r="AW151" s="211"/>
      <c r="AX151" s="13"/>
      <c r="AY151" s="13"/>
      <c r="BA151" s="13"/>
      <c r="BB151" s="13"/>
      <c r="BC151" s="13"/>
      <c r="BE151" s="13"/>
    </row>
    <row r="152" spans="1:58" ht="12.75">
      <c r="A152" s="212" t="s">
        <v>371</v>
      </c>
      <c r="B152" s="155">
        <v>66</v>
      </c>
      <c r="C152" s="155">
        <v>59</v>
      </c>
      <c r="D152" s="155">
        <v>54</v>
      </c>
      <c r="E152" s="155">
        <v>48</v>
      </c>
      <c r="F152" s="155">
        <v>42</v>
      </c>
      <c r="G152" s="155">
        <v>36</v>
      </c>
      <c r="H152" s="155">
        <v>31</v>
      </c>
      <c r="I152" s="155">
        <v>27</v>
      </c>
      <c r="J152" s="155">
        <v>27</v>
      </c>
      <c r="K152" s="155">
        <v>27</v>
      </c>
      <c r="L152" s="155">
        <v>27</v>
      </c>
      <c r="M152" s="155">
        <v>27</v>
      </c>
      <c r="N152" s="155">
        <v>27</v>
      </c>
      <c r="O152" s="155">
        <v>27</v>
      </c>
      <c r="P152" s="155">
        <v>27</v>
      </c>
      <c r="Q152" s="155">
        <v>27</v>
      </c>
      <c r="R152" s="155">
        <v>27</v>
      </c>
      <c r="S152" s="155">
        <v>27</v>
      </c>
      <c r="T152" s="155">
        <v>27</v>
      </c>
      <c r="U152" s="155">
        <v>27</v>
      </c>
      <c r="V152" s="155">
        <v>27</v>
      </c>
      <c r="W152" s="155">
        <v>27</v>
      </c>
      <c r="Y152" s="204" t="s">
        <v>371</v>
      </c>
      <c r="Z152" s="158">
        <v>51</v>
      </c>
      <c r="AA152" s="159">
        <v>46</v>
      </c>
      <c r="AB152" s="159">
        <v>42</v>
      </c>
      <c r="AC152" s="159">
        <v>37</v>
      </c>
      <c r="AD152" s="159">
        <v>33</v>
      </c>
      <c r="AE152" s="159">
        <v>28</v>
      </c>
      <c r="AF152" s="160">
        <v>24</v>
      </c>
      <c r="AG152" s="162">
        <v>21</v>
      </c>
      <c r="AH152" s="162">
        <v>21</v>
      </c>
      <c r="AI152" s="162">
        <v>21</v>
      </c>
      <c r="AJ152" s="162">
        <v>21</v>
      </c>
      <c r="AK152" s="162">
        <v>21</v>
      </c>
      <c r="AL152" s="162">
        <v>21</v>
      </c>
      <c r="AM152" s="162">
        <v>21</v>
      </c>
      <c r="AN152" s="162">
        <v>21</v>
      </c>
      <c r="AO152" s="162">
        <v>21</v>
      </c>
      <c r="AP152" s="162">
        <v>21</v>
      </c>
      <c r="AQ152" s="162">
        <v>21</v>
      </c>
      <c r="AR152" s="162">
        <v>21</v>
      </c>
      <c r="AS152" s="162">
        <v>21</v>
      </c>
      <c r="AT152" s="162">
        <v>21</v>
      </c>
      <c r="AU152" s="162">
        <v>21</v>
      </c>
      <c r="AW152" s="211" t="s">
        <v>372</v>
      </c>
      <c r="AX152" s="13" t="s">
        <v>361</v>
      </c>
      <c r="AY152" s="13">
        <v>110</v>
      </c>
      <c r="BA152" s="13" t="s">
        <v>373</v>
      </c>
      <c r="BB152" s="13" t="s">
        <v>361</v>
      </c>
      <c r="BC152" s="13">
        <v>110</v>
      </c>
      <c r="BE152" s="13">
        <v>110</v>
      </c>
    </row>
    <row r="153" spans="1:58" ht="22.5">
      <c r="A153" s="213" t="s">
        <v>374</v>
      </c>
      <c r="B153" s="214"/>
      <c r="C153" s="154"/>
      <c r="D153" s="154"/>
      <c r="E153" s="154"/>
      <c r="F153" s="154"/>
      <c r="G153" s="154"/>
      <c r="H153" s="154"/>
      <c r="I153" s="154"/>
      <c r="J153" s="154"/>
      <c r="K153" s="154"/>
      <c r="L153" s="154"/>
      <c r="M153" s="154"/>
      <c r="N153" s="154"/>
      <c r="O153" s="154"/>
      <c r="P153" s="154"/>
      <c r="Q153" s="154"/>
      <c r="R153" s="154"/>
      <c r="S153" s="154"/>
      <c r="T153" s="154"/>
      <c r="U153" s="154"/>
      <c r="V153" s="154"/>
      <c r="W153" s="154"/>
      <c r="Y153" s="213" t="s">
        <v>374</v>
      </c>
      <c r="Z153" s="13"/>
      <c r="AX153" s="13" t="s">
        <v>189</v>
      </c>
      <c r="AY153" s="13">
        <v>102</v>
      </c>
      <c r="BB153" s="13" t="s">
        <v>189</v>
      </c>
      <c r="BC153" s="13">
        <v>102</v>
      </c>
      <c r="BE153" s="2">
        <f>BE152*(12/13)</f>
        <v>101.53846153846155</v>
      </c>
    </row>
    <row r="154" spans="1:58" ht="15">
      <c r="A154" s="150" t="s">
        <v>375</v>
      </c>
      <c r="B154" s="215" t="s">
        <v>121</v>
      </c>
      <c r="C154" s="215" t="s">
        <v>126</v>
      </c>
      <c r="D154" s="215" t="s">
        <v>132</v>
      </c>
      <c r="E154" s="216" t="s">
        <v>24</v>
      </c>
      <c r="F154" s="151" t="s">
        <v>25</v>
      </c>
      <c r="G154" s="151" t="s">
        <v>26</v>
      </c>
      <c r="H154" s="151" t="s">
        <v>27</v>
      </c>
      <c r="I154" s="151" t="s">
        <v>28</v>
      </c>
      <c r="J154" s="151" t="s">
        <v>74</v>
      </c>
      <c r="K154" s="151" t="s">
        <v>75</v>
      </c>
      <c r="L154" s="151" t="s">
        <v>76</v>
      </c>
      <c r="M154" s="151" t="s">
        <v>77</v>
      </c>
      <c r="N154" s="151" t="s">
        <v>78</v>
      </c>
      <c r="O154" s="151" t="s">
        <v>79</v>
      </c>
      <c r="P154" s="151" t="s">
        <v>80</v>
      </c>
      <c r="Q154" s="151" t="s">
        <v>81</v>
      </c>
      <c r="R154" s="151" t="s">
        <v>82</v>
      </c>
      <c r="S154" s="151" t="s">
        <v>83</v>
      </c>
      <c r="T154" s="151" t="s">
        <v>84</v>
      </c>
      <c r="U154" s="151" t="s">
        <v>85</v>
      </c>
      <c r="V154" s="151" t="s">
        <v>86</v>
      </c>
      <c r="W154" s="151" t="s">
        <v>87</v>
      </c>
      <c r="Y154" s="191" t="s">
        <v>375</v>
      </c>
      <c r="Z154" s="151" t="s">
        <v>121</v>
      </c>
      <c r="AA154" s="151" t="s">
        <v>126</v>
      </c>
      <c r="AB154" s="151" t="s">
        <v>132</v>
      </c>
      <c r="AC154" s="16" t="s">
        <v>24</v>
      </c>
      <c r="AD154" s="16" t="s">
        <v>25</v>
      </c>
      <c r="AE154" s="151" t="s">
        <v>26</v>
      </c>
      <c r="AF154" s="152" t="s">
        <v>27</v>
      </c>
      <c r="AG154" s="152" t="s">
        <v>28</v>
      </c>
      <c r="AH154" s="151" t="s">
        <v>74</v>
      </c>
      <c r="AI154" s="151" t="s">
        <v>75</v>
      </c>
      <c r="AJ154" s="16" t="s">
        <v>76</v>
      </c>
      <c r="AK154" s="151" t="s">
        <v>77</v>
      </c>
      <c r="AL154" s="16" t="s">
        <v>78</v>
      </c>
      <c r="AM154" s="16" t="s">
        <v>79</v>
      </c>
      <c r="AN154" s="16" t="s">
        <v>80</v>
      </c>
      <c r="AO154" s="16" t="s">
        <v>81</v>
      </c>
      <c r="AP154" s="151" t="s">
        <v>82</v>
      </c>
      <c r="AQ154" s="16" t="s">
        <v>83</v>
      </c>
      <c r="AR154" s="16" t="s">
        <v>84</v>
      </c>
      <c r="AS154" s="16" t="s">
        <v>85</v>
      </c>
      <c r="AT154" s="16" t="s">
        <v>86</v>
      </c>
      <c r="AU154" s="16" t="s">
        <v>87</v>
      </c>
      <c r="AX154" s="13" t="s">
        <v>366</v>
      </c>
      <c r="AY154" s="13">
        <v>76</v>
      </c>
      <c r="BB154" s="13" t="s">
        <v>366</v>
      </c>
      <c r="BC154" s="13">
        <v>76</v>
      </c>
      <c r="BE154" s="2">
        <f>BE152*(9/13)</f>
        <v>76.153846153846146</v>
      </c>
    </row>
    <row r="155" spans="1:58" ht="15">
      <c r="A155" s="38" t="s">
        <v>153</v>
      </c>
      <c r="B155" s="155">
        <f t="array" ref="B155:W155">INT($Z$155:$AU$155)</f>
        <v>364</v>
      </c>
      <c r="C155" s="155">
        <v>364</v>
      </c>
      <c r="D155" s="155">
        <v>327</v>
      </c>
      <c r="E155" s="155">
        <v>280</v>
      </c>
      <c r="F155" s="155">
        <v>240</v>
      </c>
      <c r="G155" s="155">
        <v>212</v>
      </c>
      <c r="H155" s="155">
        <v>185</v>
      </c>
      <c r="I155" s="155">
        <v>156</v>
      </c>
      <c r="J155" s="155">
        <v>146</v>
      </c>
      <c r="K155" s="155">
        <v>135</v>
      </c>
      <c r="L155" s="155">
        <v>113</v>
      </c>
      <c r="M155" s="155">
        <v>91</v>
      </c>
      <c r="N155" s="155">
        <v>85</v>
      </c>
      <c r="O155" s="155">
        <v>79</v>
      </c>
      <c r="P155" s="155">
        <v>72</v>
      </c>
      <c r="Q155" s="155">
        <v>72</v>
      </c>
      <c r="R155" s="155">
        <v>72</v>
      </c>
      <c r="S155" s="155">
        <v>72</v>
      </c>
      <c r="T155" s="155">
        <v>72</v>
      </c>
      <c r="U155" s="155">
        <v>72</v>
      </c>
      <c r="V155" s="155">
        <v>72</v>
      </c>
      <c r="W155" s="155">
        <v>72</v>
      </c>
      <c r="Y155" s="210" t="s">
        <v>153</v>
      </c>
      <c r="Z155" s="217">
        <v>364</v>
      </c>
      <c r="AA155" s="217">
        <v>364</v>
      </c>
      <c r="AB155" s="161">
        <v>327</v>
      </c>
      <c r="AC155" s="161">
        <v>280</v>
      </c>
      <c r="AD155" s="161">
        <v>240</v>
      </c>
      <c r="AE155" s="161">
        <v>212</v>
      </c>
      <c r="AF155" s="161">
        <v>185</v>
      </c>
      <c r="AG155" s="217">
        <v>156</v>
      </c>
      <c r="AH155" s="217">
        <v>146</v>
      </c>
      <c r="AI155" s="217">
        <v>135</v>
      </c>
      <c r="AJ155" s="217">
        <v>113</v>
      </c>
      <c r="AK155" s="217">
        <v>91</v>
      </c>
      <c r="AL155" s="217">
        <v>85</v>
      </c>
      <c r="AM155" s="217">
        <v>79</v>
      </c>
      <c r="AN155" s="217">
        <v>72</v>
      </c>
      <c r="AO155" s="217">
        <v>72</v>
      </c>
      <c r="AP155" s="217">
        <v>72</v>
      </c>
      <c r="AQ155" s="217">
        <v>72</v>
      </c>
      <c r="AR155" s="217">
        <v>72</v>
      </c>
      <c r="AS155" s="217">
        <v>72</v>
      </c>
      <c r="AT155" s="217">
        <v>72</v>
      </c>
      <c r="AU155" s="217">
        <v>72</v>
      </c>
      <c r="AX155" s="13" t="s">
        <v>199</v>
      </c>
      <c r="AY155" s="13">
        <v>68</v>
      </c>
      <c r="BB155" s="13" t="s">
        <v>199</v>
      </c>
      <c r="BC155" s="13">
        <v>68</v>
      </c>
      <c r="BE155" s="2">
        <f>BE152*(8/13)</f>
        <v>67.692307692307693</v>
      </c>
    </row>
    <row r="156" spans="1:58" ht="15">
      <c r="A156" s="50" t="s">
        <v>376</v>
      </c>
      <c r="B156" s="164">
        <f t="array" ref="B156:W158">INT($Z$156:$AU$158*1.3)</f>
        <v>314</v>
      </c>
      <c r="C156" s="164">
        <v>278</v>
      </c>
      <c r="D156" s="155">
        <v>239</v>
      </c>
      <c r="E156" s="155">
        <v>208</v>
      </c>
      <c r="F156" s="155">
        <v>180</v>
      </c>
      <c r="G156" s="155">
        <v>153</v>
      </c>
      <c r="H156" s="155">
        <v>144</v>
      </c>
      <c r="I156" s="155">
        <v>137</v>
      </c>
      <c r="J156" s="155">
        <v>132</v>
      </c>
      <c r="K156" s="155">
        <v>126</v>
      </c>
      <c r="L156" s="155">
        <v>113</v>
      </c>
      <c r="M156" s="155">
        <v>100</v>
      </c>
      <c r="N156" s="155">
        <v>88</v>
      </c>
      <c r="O156" s="155">
        <v>75</v>
      </c>
      <c r="P156" s="155">
        <v>62</v>
      </c>
      <c r="Q156" s="155">
        <v>62</v>
      </c>
      <c r="R156" s="155">
        <v>62</v>
      </c>
      <c r="S156" s="155">
        <v>62</v>
      </c>
      <c r="T156" s="155">
        <v>62</v>
      </c>
      <c r="U156" s="155">
        <v>62</v>
      </c>
      <c r="V156" s="155">
        <v>62</v>
      </c>
      <c r="W156" s="155">
        <v>62</v>
      </c>
      <c r="Y156" s="199" t="s">
        <v>376</v>
      </c>
      <c r="Z156" s="161">
        <v>242</v>
      </c>
      <c r="AA156" s="161">
        <v>214</v>
      </c>
      <c r="AB156" s="161">
        <v>184</v>
      </c>
      <c r="AC156" s="161">
        <v>160</v>
      </c>
      <c r="AD156" s="217">
        <v>139</v>
      </c>
      <c r="AE156" s="217">
        <v>118</v>
      </c>
      <c r="AF156" s="161">
        <v>111</v>
      </c>
      <c r="AG156" s="161">
        <v>106</v>
      </c>
      <c r="AH156" s="161">
        <v>102</v>
      </c>
      <c r="AI156" s="161">
        <v>97</v>
      </c>
      <c r="AJ156" s="161">
        <v>87</v>
      </c>
      <c r="AK156" s="161">
        <v>77</v>
      </c>
      <c r="AL156" s="161">
        <v>68</v>
      </c>
      <c r="AM156" s="161">
        <v>58</v>
      </c>
      <c r="AN156" s="161">
        <v>48</v>
      </c>
      <c r="AO156" s="161">
        <v>48</v>
      </c>
      <c r="AP156" s="161">
        <v>48</v>
      </c>
      <c r="AQ156" s="161">
        <v>48</v>
      </c>
      <c r="AR156" s="161">
        <v>48</v>
      </c>
      <c r="AS156" s="161">
        <v>48</v>
      </c>
      <c r="AT156" s="161">
        <v>48</v>
      </c>
      <c r="AU156" s="161">
        <v>48</v>
      </c>
      <c r="BF156" s="13">
        <v>62</v>
      </c>
    </row>
    <row r="157" spans="1:58" ht="15">
      <c r="A157" s="50" t="s">
        <v>155</v>
      </c>
      <c r="B157" s="164">
        <v>286</v>
      </c>
      <c r="C157" s="164">
        <v>252</v>
      </c>
      <c r="D157" s="155">
        <v>217</v>
      </c>
      <c r="E157" s="155">
        <v>191</v>
      </c>
      <c r="F157" s="155">
        <v>165</v>
      </c>
      <c r="G157" s="155">
        <v>139</v>
      </c>
      <c r="H157" s="155">
        <v>131</v>
      </c>
      <c r="I157" s="155">
        <v>126</v>
      </c>
      <c r="J157" s="155">
        <v>119</v>
      </c>
      <c r="K157" s="155">
        <v>114</v>
      </c>
      <c r="L157" s="155">
        <v>102</v>
      </c>
      <c r="M157" s="155">
        <v>91</v>
      </c>
      <c r="N157" s="155">
        <v>80</v>
      </c>
      <c r="O157" s="155">
        <v>68</v>
      </c>
      <c r="P157" s="155">
        <v>57</v>
      </c>
      <c r="Q157" s="155">
        <v>57</v>
      </c>
      <c r="R157" s="155">
        <v>57</v>
      </c>
      <c r="S157" s="155">
        <v>57</v>
      </c>
      <c r="T157" s="155">
        <v>57</v>
      </c>
      <c r="U157" s="155">
        <v>57</v>
      </c>
      <c r="V157" s="155">
        <v>57</v>
      </c>
      <c r="W157" s="155">
        <v>57</v>
      </c>
      <c r="Y157" s="194" t="s">
        <v>155</v>
      </c>
      <c r="Z157" s="161">
        <v>220</v>
      </c>
      <c r="AA157" s="161">
        <v>194</v>
      </c>
      <c r="AB157" s="161">
        <v>167</v>
      </c>
      <c r="AC157" s="217">
        <v>147</v>
      </c>
      <c r="AD157" s="217">
        <v>127</v>
      </c>
      <c r="AE157" s="161">
        <v>107</v>
      </c>
      <c r="AF157" s="161">
        <v>101</v>
      </c>
      <c r="AG157" s="161">
        <v>97</v>
      </c>
      <c r="AH157" s="161">
        <v>92</v>
      </c>
      <c r="AI157" s="161">
        <v>88</v>
      </c>
      <c r="AJ157" s="161">
        <v>79</v>
      </c>
      <c r="AK157" s="161">
        <v>70</v>
      </c>
      <c r="AL157" s="161">
        <v>62</v>
      </c>
      <c r="AM157" s="161">
        <v>53</v>
      </c>
      <c r="AN157" s="161">
        <v>44</v>
      </c>
      <c r="AO157" s="161">
        <v>44</v>
      </c>
      <c r="AP157" s="161">
        <v>44</v>
      </c>
      <c r="AQ157" s="161">
        <v>44</v>
      </c>
      <c r="AR157" s="161">
        <v>44</v>
      </c>
      <c r="AS157" s="161">
        <v>44</v>
      </c>
      <c r="AT157" s="161">
        <v>44</v>
      </c>
      <c r="AU157" s="161">
        <v>44</v>
      </c>
      <c r="AW157" s="60" t="s">
        <v>377</v>
      </c>
      <c r="AX157" s="60" t="s">
        <v>361</v>
      </c>
      <c r="AY157" s="60">
        <v>80</v>
      </c>
      <c r="AZ157" s="104"/>
      <c r="BA157" s="60" t="s">
        <v>378</v>
      </c>
      <c r="BB157" s="60" t="s">
        <v>361</v>
      </c>
      <c r="BC157" s="60">
        <v>80</v>
      </c>
      <c r="BE157" s="13">
        <v>80</v>
      </c>
      <c r="BF157" s="2">
        <f>BF156*1.3</f>
        <v>80.600000000000009</v>
      </c>
    </row>
    <row r="158" spans="1:58" ht="15">
      <c r="A158" s="50" t="s">
        <v>156</v>
      </c>
      <c r="B158" s="164">
        <v>128</v>
      </c>
      <c r="C158" s="155">
        <v>113</v>
      </c>
      <c r="D158" s="155">
        <v>97</v>
      </c>
      <c r="E158" s="155">
        <v>85</v>
      </c>
      <c r="F158" s="155">
        <v>74</v>
      </c>
      <c r="G158" s="155">
        <v>62</v>
      </c>
      <c r="H158" s="155">
        <v>58</v>
      </c>
      <c r="I158" s="155">
        <v>55</v>
      </c>
      <c r="J158" s="155">
        <v>53</v>
      </c>
      <c r="K158" s="155">
        <v>50</v>
      </c>
      <c r="L158" s="155">
        <v>45</v>
      </c>
      <c r="M158" s="155">
        <v>40</v>
      </c>
      <c r="N158" s="155">
        <v>35</v>
      </c>
      <c r="O158" s="155">
        <v>29</v>
      </c>
      <c r="P158" s="155">
        <v>24</v>
      </c>
      <c r="Q158" s="155">
        <v>24</v>
      </c>
      <c r="R158" s="155">
        <v>24</v>
      </c>
      <c r="S158" s="155">
        <v>24</v>
      </c>
      <c r="T158" s="155">
        <v>24</v>
      </c>
      <c r="U158" s="155">
        <v>24</v>
      </c>
      <c r="V158" s="155">
        <v>24</v>
      </c>
      <c r="W158" s="155">
        <v>24</v>
      </c>
      <c r="Y158" s="212" t="s">
        <v>156</v>
      </c>
      <c r="Z158" s="217">
        <v>99</v>
      </c>
      <c r="AA158" s="217">
        <v>87</v>
      </c>
      <c r="AB158" s="217">
        <v>75</v>
      </c>
      <c r="AC158" s="161">
        <v>66</v>
      </c>
      <c r="AD158" s="161">
        <v>57</v>
      </c>
      <c r="AE158" s="161">
        <v>48</v>
      </c>
      <c r="AF158" s="161">
        <v>45</v>
      </c>
      <c r="AG158" s="161">
        <v>43</v>
      </c>
      <c r="AH158" s="161">
        <v>41</v>
      </c>
      <c r="AI158" s="161">
        <v>39</v>
      </c>
      <c r="AJ158" s="161">
        <v>35</v>
      </c>
      <c r="AK158" s="161">
        <v>31</v>
      </c>
      <c r="AL158" s="161">
        <v>27</v>
      </c>
      <c r="AM158" s="161">
        <v>23</v>
      </c>
      <c r="AN158" s="161">
        <v>19</v>
      </c>
      <c r="AO158" s="161">
        <v>19</v>
      </c>
      <c r="AP158" s="161">
        <v>19</v>
      </c>
      <c r="AQ158" s="161">
        <v>19</v>
      </c>
      <c r="AR158" s="161">
        <v>19</v>
      </c>
      <c r="AS158" s="161">
        <v>19</v>
      </c>
      <c r="AT158" s="161">
        <v>19</v>
      </c>
      <c r="AU158" s="161">
        <v>19</v>
      </c>
      <c r="AW158" s="104"/>
      <c r="AX158" s="60" t="s">
        <v>189</v>
      </c>
      <c r="AY158" s="60">
        <v>74</v>
      </c>
      <c r="AZ158" s="104"/>
      <c r="BA158" s="104"/>
      <c r="BB158" s="60" t="s">
        <v>189</v>
      </c>
      <c r="BC158" s="60">
        <v>74</v>
      </c>
      <c r="BE158" s="2">
        <f>BE157*(12/13)</f>
        <v>73.846153846153854</v>
      </c>
      <c r="BF158" s="2">
        <f>BF156*1.2</f>
        <v>74.399999999999991</v>
      </c>
    </row>
    <row r="159" spans="1:58" ht="15">
      <c r="A159" s="8" t="s">
        <v>157</v>
      </c>
      <c r="B159" s="164">
        <f t="array" ref="B159:W162">INT($Z$159:$AU$162*1.3)</f>
        <v>338</v>
      </c>
      <c r="C159" s="164">
        <v>319</v>
      </c>
      <c r="D159" s="155">
        <v>297</v>
      </c>
      <c r="E159" s="155">
        <v>276</v>
      </c>
      <c r="F159" s="155">
        <v>253</v>
      </c>
      <c r="G159" s="155">
        <v>226</v>
      </c>
      <c r="H159" s="155">
        <v>195</v>
      </c>
      <c r="I159" s="155">
        <v>169</v>
      </c>
      <c r="J159" s="155">
        <v>161</v>
      </c>
      <c r="K159" s="155">
        <v>154</v>
      </c>
      <c r="L159" s="155">
        <v>141</v>
      </c>
      <c r="M159" s="155">
        <v>124</v>
      </c>
      <c r="N159" s="155">
        <v>105</v>
      </c>
      <c r="O159" s="155">
        <v>87</v>
      </c>
      <c r="P159" s="155">
        <v>67</v>
      </c>
      <c r="Q159" s="155">
        <v>67</v>
      </c>
      <c r="R159" s="155">
        <v>67</v>
      </c>
      <c r="S159" s="155">
        <v>67</v>
      </c>
      <c r="T159" s="155">
        <v>67</v>
      </c>
      <c r="U159" s="155">
        <v>67</v>
      </c>
      <c r="V159" s="155">
        <v>67</v>
      </c>
      <c r="W159" s="155">
        <v>67</v>
      </c>
      <c r="Y159" s="8" t="s">
        <v>157</v>
      </c>
      <c r="Z159" s="217">
        <v>260</v>
      </c>
      <c r="AA159" s="217">
        <v>246</v>
      </c>
      <c r="AB159" s="217">
        <v>229</v>
      </c>
      <c r="AC159" s="217">
        <v>213</v>
      </c>
      <c r="AD159" s="217">
        <v>195</v>
      </c>
      <c r="AE159" s="217">
        <v>174</v>
      </c>
      <c r="AF159" s="217">
        <v>150</v>
      </c>
      <c r="AG159" s="217">
        <v>130</v>
      </c>
      <c r="AH159" s="217">
        <v>124</v>
      </c>
      <c r="AI159" s="217">
        <v>119</v>
      </c>
      <c r="AJ159" s="217">
        <v>109</v>
      </c>
      <c r="AK159" s="217">
        <v>96</v>
      </c>
      <c r="AL159" s="217">
        <v>81</v>
      </c>
      <c r="AM159" s="217">
        <v>67</v>
      </c>
      <c r="AN159" s="217">
        <v>52</v>
      </c>
      <c r="AO159" s="217">
        <v>52</v>
      </c>
      <c r="AP159" s="217">
        <v>52</v>
      </c>
      <c r="AQ159" s="217">
        <v>52</v>
      </c>
      <c r="AR159" s="217">
        <v>52</v>
      </c>
      <c r="AS159" s="217">
        <v>52</v>
      </c>
      <c r="AT159" s="217">
        <v>52</v>
      </c>
      <c r="AU159" s="217">
        <v>52</v>
      </c>
      <c r="AW159" s="104"/>
      <c r="AX159" s="60" t="s">
        <v>366</v>
      </c>
      <c r="AY159" s="60">
        <v>55</v>
      </c>
      <c r="AZ159" s="104"/>
      <c r="BA159" s="104"/>
      <c r="BB159" s="60" t="s">
        <v>366</v>
      </c>
      <c r="BC159" s="60">
        <v>55</v>
      </c>
      <c r="BE159" s="2">
        <f>BE157*(9/13)</f>
        <v>55.384615384615387</v>
      </c>
      <c r="BF159" s="2">
        <f>BF156*0.9</f>
        <v>55.800000000000004</v>
      </c>
    </row>
    <row r="160" spans="1:58" ht="15">
      <c r="A160" s="8" t="s">
        <v>158</v>
      </c>
      <c r="B160" s="164">
        <v>208</v>
      </c>
      <c r="C160" s="164">
        <v>208</v>
      </c>
      <c r="D160" s="155">
        <v>184</v>
      </c>
      <c r="E160" s="155">
        <v>157</v>
      </c>
      <c r="F160" s="155">
        <v>140</v>
      </c>
      <c r="G160" s="155">
        <v>122</v>
      </c>
      <c r="H160" s="155">
        <v>105</v>
      </c>
      <c r="I160" s="155">
        <v>98</v>
      </c>
      <c r="J160" s="155">
        <v>93</v>
      </c>
      <c r="K160" s="155">
        <v>88</v>
      </c>
      <c r="L160" s="155">
        <v>78</v>
      </c>
      <c r="M160" s="155">
        <v>68</v>
      </c>
      <c r="N160" s="155">
        <v>59</v>
      </c>
      <c r="O160" s="155">
        <v>0</v>
      </c>
      <c r="P160" s="155">
        <v>0</v>
      </c>
      <c r="Q160" s="155">
        <v>0</v>
      </c>
      <c r="R160" s="155">
        <v>0</v>
      </c>
      <c r="S160" s="155">
        <v>0</v>
      </c>
      <c r="T160" s="155">
        <v>0</v>
      </c>
      <c r="U160" s="155">
        <v>0</v>
      </c>
      <c r="V160" s="155">
        <v>0</v>
      </c>
      <c r="W160" s="155">
        <v>0</v>
      </c>
      <c r="Y160" s="8" t="s">
        <v>158</v>
      </c>
      <c r="Z160" s="217">
        <v>160</v>
      </c>
      <c r="AA160" s="217">
        <v>160</v>
      </c>
      <c r="AB160" s="217">
        <v>142</v>
      </c>
      <c r="AC160" s="217">
        <v>121</v>
      </c>
      <c r="AD160" s="217">
        <v>108</v>
      </c>
      <c r="AE160" s="217">
        <v>94</v>
      </c>
      <c r="AF160" s="217">
        <v>81</v>
      </c>
      <c r="AG160" s="217">
        <v>76</v>
      </c>
      <c r="AH160" s="217">
        <v>72</v>
      </c>
      <c r="AI160" s="217">
        <v>68</v>
      </c>
      <c r="AJ160" s="217">
        <v>60</v>
      </c>
      <c r="AK160" s="217">
        <v>53</v>
      </c>
      <c r="AL160" s="217">
        <v>46</v>
      </c>
      <c r="AM160" s="161"/>
      <c r="AN160" s="161"/>
      <c r="AO160" s="161"/>
      <c r="AP160" s="161"/>
      <c r="AQ160" s="161"/>
      <c r="AR160" s="161"/>
      <c r="AS160" s="161"/>
      <c r="AT160" s="161"/>
      <c r="AU160" s="161"/>
      <c r="AW160" s="104"/>
      <c r="AX160" s="60" t="s">
        <v>199</v>
      </c>
      <c r="AY160" s="60">
        <v>49</v>
      </c>
      <c r="AZ160" s="104"/>
      <c r="BA160" s="104"/>
      <c r="BB160" s="60" t="s">
        <v>199</v>
      </c>
      <c r="BC160" s="60">
        <v>49</v>
      </c>
      <c r="BE160" s="2">
        <f>BE157*(8/13)</f>
        <v>49.230769230769234</v>
      </c>
      <c r="BF160" s="2">
        <f>BF156*0.8</f>
        <v>49.6</v>
      </c>
    </row>
    <row r="161" spans="1:55" ht="15">
      <c r="A161" s="50" t="s">
        <v>379</v>
      </c>
      <c r="B161" s="156">
        <v>158</v>
      </c>
      <c r="C161" s="155">
        <v>150</v>
      </c>
      <c r="D161" s="155">
        <v>140</v>
      </c>
      <c r="E161" s="155">
        <v>130</v>
      </c>
      <c r="F161" s="155">
        <v>119</v>
      </c>
      <c r="G161" s="155">
        <v>106</v>
      </c>
      <c r="H161" s="155">
        <v>93</v>
      </c>
      <c r="I161" s="155">
        <v>79</v>
      </c>
      <c r="J161" s="155">
        <v>75</v>
      </c>
      <c r="K161" s="155">
        <v>72</v>
      </c>
      <c r="L161" s="218">
        <v>66</v>
      </c>
      <c r="M161" s="155">
        <v>58</v>
      </c>
      <c r="N161" s="155">
        <v>49</v>
      </c>
      <c r="O161" s="155">
        <v>40</v>
      </c>
      <c r="P161" s="155">
        <v>31</v>
      </c>
      <c r="Q161" s="155">
        <v>31</v>
      </c>
      <c r="R161" s="155">
        <v>31</v>
      </c>
      <c r="S161" s="155">
        <v>31</v>
      </c>
      <c r="T161" s="155">
        <v>31</v>
      </c>
      <c r="U161" s="155">
        <v>31</v>
      </c>
      <c r="V161" s="155">
        <v>31</v>
      </c>
      <c r="W161" s="155">
        <v>31</v>
      </c>
      <c r="Y161" s="50" t="s">
        <v>379</v>
      </c>
      <c r="Z161" s="161">
        <v>122</v>
      </c>
      <c r="AA161" s="161">
        <v>116</v>
      </c>
      <c r="AB161" s="161">
        <v>108</v>
      </c>
      <c r="AC161" s="161">
        <v>100</v>
      </c>
      <c r="AD161" s="161">
        <v>92</v>
      </c>
      <c r="AE161" s="161">
        <v>82</v>
      </c>
      <c r="AF161" s="161">
        <v>72</v>
      </c>
      <c r="AG161" s="161">
        <v>61</v>
      </c>
      <c r="AH161" s="161">
        <v>58</v>
      </c>
      <c r="AI161" s="161">
        <v>56</v>
      </c>
      <c r="AJ161" s="161">
        <v>51</v>
      </c>
      <c r="AK161" s="161">
        <v>45</v>
      </c>
      <c r="AL161" s="161">
        <v>38</v>
      </c>
      <c r="AM161" s="161">
        <v>31</v>
      </c>
      <c r="AN161" s="161">
        <v>24</v>
      </c>
      <c r="AO161" s="161">
        <v>24</v>
      </c>
      <c r="AP161" s="161">
        <v>24</v>
      </c>
      <c r="AQ161" s="161">
        <v>24</v>
      </c>
      <c r="AR161" s="161">
        <v>24</v>
      </c>
      <c r="AS161" s="161">
        <v>24</v>
      </c>
      <c r="AT161" s="161">
        <v>24</v>
      </c>
      <c r="AU161" s="161">
        <v>24</v>
      </c>
    </row>
    <row r="162" spans="1:55" ht="15">
      <c r="A162" s="50" t="s">
        <v>380</v>
      </c>
      <c r="B162" s="156">
        <v>260</v>
      </c>
      <c r="C162" s="155">
        <v>260</v>
      </c>
      <c r="D162" s="155">
        <v>260</v>
      </c>
      <c r="E162" s="155">
        <v>260</v>
      </c>
      <c r="F162" s="155">
        <v>260</v>
      </c>
      <c r="G162" s="155">
        <v>260</v>
      </c>
      <c r="H162" s="155">
        <v>230</v>
      </c>
      <c r="I162" s="155">
        <v>195</v>
      </c>
      <c r="J162" s="155">
        <v>163</v>
      </c>
      <c r="K162" s="155">
        <v>132</v>
      </c>
      <c r="L162" s="218">
        <v>114</v>
      </c>
      <c r="M162" s="155">
        <v>100</v>
      </c>
      <c r="N162" s="155">
        <v>83</v>
      </c>
      <c r="O162" s="155">
        <v>67</v>
      </c>
      <c r="P162" s="155">
        <v>52</v>
      </c>
      <c r="Q162" s="155">
        <v>52</v>
      </c>
      <c r="R162" s="155">
        <v>52</v>
      </c>
      <c r="S162" s="155">
        <v>52</v>
      </c>
      <c r="T162" s="155">
        <v>52</v>
      </c>
      <c r="U162" s="155">
        <v>52</v>
      </c>
      <c r="V162" s="155">
        <v>52</v>
      </c>
      <c r="W162" s="155">
        <v>52</v>
      </c>
      <c r="Y162" s="50" t="s">
        <v>380</v>
      </c>
      <c r="Z162" s="161">
        <v>200</v>
      </c>
      <c r="AA162" s="161">
        <v>200</v>
      </c>
      <c r="AB162" s="161">
        <v>200</v>
      </c>
      <c r="AC162" s="161">
        <v>200</v>
      </c>
      <c r="AD162" s="161">
        <v>200</v>
      </c>
      <c r="AE162" s="161">
        <v>200</v>
      </c>
      <c r="AF162" s="161">
        <v>177</v>
      </c>
      <c r="AG162" s="161">
        <v>150</v>
      </c>
      <c r="AH162" s="161">
        <v>126</v>
      </c>
      <c r="AI162" s="161">
        <v>102</v>
      </c>
      <c r="AJ162" s="161">
        <v>88</v>
      </c>
      <c r="AK162" s="161">
        <v>77</v>
      </c>
      <c r="AL162" s="161">
        <v>64</v>
      </c>
      <c r="AM162" s="161">
        <v>52</v>
      </c>
      <c r="AN162" s="161">
        <v>40</v>
      </c>
      <c r="AO162" s="161">
        <v>40</v>
      </c>
      <c r="AP162" s="161">
        <v>40</v>
      </c>
      <c r="AQ162" s="161">
        <v>40</v>
      </c>
      <c r="AR162" s="161">
        <v>40</v>
      </c>
      <c r="AS162" s="161">
        <v>40</v>
      </c>
      <c r="AT162" s="161">
        <v>40</v>
      </c>
      <c r="AU162" s="161">
        <v>40</v>
      </c>
    </row>
    <row r="163" spans="1:55" ht="15">
      <c r="A163" s="8" t="s">
        <v>161</v>
      </c>
      <c r="B163" s="156">
        <f t="array" ref="B163:W163">INT($Z$163:$AU$163*1.3)</f>
        <v>74</v>
      </c>
      <c r="C163" s="155">
        <v>74</v>
      </c>
      <c r="D163" s="155">
        <v>74</v>
      </c>
      <c r="E163" s="155">
        <v>74</v>
      </c>
      <c r="F163" s="155">
        <v>65</v>
      </c>
      <c r="G163" s="155">
        <v>55</v>
      </c>
      <c r="H163" s="155">
        <v>52</v>
      </c>
      <c r="I163" s="155">
        <v>48</v>
      </c>
      <c r="J163" s="155">
        <v>44</v>
      </c>
      <c r="K163" s="155">
        <v>40</v>
      </c>
      <c r="L163" s="218">
        <v>31</v>
      </c>
      <c r="M163" s="155">
        <v>23</v>
      </c>
      <c r="N163" s="155">
        <v>14</v>
      </c>
      <c r="O163" s="155">
        <v>14</v>
      </c>
      <c r="P163" s="155">
        <v>14</v>
      </c>
      <c r="Q163" s="155">
        <v>14</v>
      </c>
      <c r="R163" s="155">
        <v>14</v>
      </c>
      <c r="S163" s="155">
        <v>14</v>
      </c>
      <c r="T163" s="155">
        <v>14</v>
      </c>
      <c r="U163" s="155">
        <v>14</v>
      </c>
      <c r="V163" s="155">
        <v>14</v>
      </c>
      <c r="W163" s="155">
        <v>14</v>
      </c>
      <c r="Y163" s="8" t="s">
        <v>161</v>
      </c>
      <c r="Z163" s="161">
        <v>57</v>
      </c>
      <c r="AA163" s="161">
        <v>57</v>
      </c>
      <c r="AB163" s="161">
        <v>57</v>
      </c>
      <c r="AC163" s="161">
        <v>57</v>
      </c>
      <c r="AD163" s="161">
        <v>50</v>
      </c>
      <c r="AE163" s="161">
        <v>43</v>
      </c>
      <c r="AF163" s="161">
        <v>40</v>
      </c>
      <c r="AG163" s="161">
        <v>37</v>
      </c>
      <c r="AH163" s="161">
        <v>34</v>
      </c>
      <c r="AI163" s="161">
        <v>31</v>
      </c>
      <c r="AJ163" s="161">
        <v>24</v>
      </c>
      <c r="AK163" s="161">
        <v>18</v>
      </c>
      <c r="AL163" s="161">
        <v>11</v>
      </c>
      <c r="AM163" s="161">
        <v>11</v>
      </c>
      <c r="AN163" s="161">
        <v>11</v>
      </c>
      <c r="AO163" s="161">
        <v>11</v>
      </c>
      <c r="AP163" s="161">
        <v>11</v>
      </c>
      <c r="AQ163" s="161">
        <v>11</v>
      </c>
      <c r="AR163" s="161">
        <v>11</v>
      </c>
      <c r="AS163" s="161">
        <v>11</v>
      </c>
      <c r="AT163" s="161">
        <v>11</v>
      </c>
      <c r="AU163" s="161">
        <v>11</v>
      </c>
      <c r="AW163" s="13" t="s">
        <v>381</v>
      </c>
      <c r="AX163" s="13" t="s">
        <v>361</v>
      </c>
      <c r="AY163" s="13">
        <v>118</v>
      </c>
      <c r="BA163" s="13" t="s">
        <v>382</v>
      </c>
      <c r="BB163" s="13" t="s">
        <v>361</v>
      </c>
      <c r="BC163" s="13">
        <v>118</v>
      </c>
    </row>
    <row r="164" spans="1:55" ht="22.5">
      <c r="A164" s="219" t="s">
        <v>73</v>
      </c>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Y164" s="219" t="s">
        <v>73</v>
      </c>
      <c r="AX164" s="13" t="s">
        <v>189</v>
      </c>
      <c r="AY164" s="13">
        <v>109</v>
      </c>
      <c r="BB164" s="13" t="s">
        <v>189</v>
      </c>
      <c r="BC164" s="13">
        <v>109</v>
      </c>
    </row>
    <row r="165" spans="1:55" ht="15">
      <c r="A165" s="145" t="s">
        <v>322</v>
      </c>
      <c r="B165" s="220"/>
      <c r="C165" s="220"/>
      <c r="D165" s="220"/>
      <c r="E165" s="220"/>
      <c r="F165" s="220"/>
      <c r="G165" s="220"/>
      <c r="H165" s="220"/>
      <c r="I165" s="220"/>
      <c r="J165" s="220"/>
      <c r="K165" s="220"/>
      <c r="L165" s="220"/>
      <c r="M165" s="220"/>
      <c r="N165" s="220"/>
      <c r="O165" s="220"/>
      <c r="P165" s="220"/>
      <c r="Q165" s="220"/>
      <c r="R165" s="220"/>
      <c r="S165" s="220"/>
      <c r="T165" s="220"/>
      <c r="U165" s="220"/>
      <c r="V165" s="220"/>
      <c r="W165" s="220"/>
      <c r="Y165" s="145" t="s">
        <v>322</v>
      </c>
      <c r="Z165" s="221"/>
      <c r="AA165" s="221"/>
      <c r="AB165" s="221"/>
      <c r="AC165" s="221"/>
      <c r="AD165" s="221"/>
      <c r="AE165" s="221"/>
      <c r="AF165" s="221"/>
      <c r="AG165" s="221"/>
      <c r="AH165" s="221"/>
      <c r="AI165" s="221"/>
      <c r="AJ165" s="221"/>
      <c r="AK165" s="221"/>
      <c r="AL165" s="221"/>
      <c r="AM165" s="221"/>
      <c r="AN165" s="221"/>
      <c r="AO165" s="221"/>
      <c r="AP165" s="221"/>
      <c r="AQ165" s="221"/>
      <c r="AR165" s="221"/>
      <c r="AS165" s="221"/>
      <c r="AT165" s="221"/>
      <c r="AU165" s="221"/>
      <c r="AX165" s="13" t="s">
        <v>366</v>
      </c>
      <c r="AY165" s="13">
        <v>81</v>
      </c>
      <c r="BB165" s="13" t="s">
        <v>366</v>
      </c>
      <c r="BC165" s="13">
        <v>81</v>
      </c>
    </row>
    <row r="166" spans="1:55" ht="15">
      <c r="A166" s="222" t="s">
        <v>323</v>
      </c>
      <c r="B166" s="151" t="s">
        <v>24</v>
      </c>
      <c r="C166" s="151" t="s">
        <v>25</v>
      </c>
      <c r="D166" s="151" t="s">
        <v>26</v>
      </c>
      <c r="E166" s="151" t="s">
        <v>27</v>
      </c>
      <c r="F166" s="151" t="s">
        <v>28</v>
      </c>
      <c r="G166" s="151" t="s">
        <v>74</v>
      </c>
      <c r="H166" s="151" t="s">
        <v>75</v>
      </c>
      <c r="I166" s="151" t="s">
        <v>76</v>
      </c>
      <c r="J166" s="151" t="s">
        <v>77</v>
      </c>
      <c r="K166" s="151" t="s">
        <v>78</v>
      </c>
      <c r="L166" s="151" t="s">
        <v>79</v>
      </c>
      <c r="M166" s="151" t="s">
        <v>80</v>
      </c>
      <c r="N166" s="16" t="s">
        <v>81</v>
      </c>
      <c r="O166" s="16" t="s">
        <v>82</v>
      </c>
      <c r="P166" s="16" t="s">
        <v>83</v>
      </c>
      <c r="Q166" s="16" t="s">
        <v>84</v>
      </c>
      <c r="R166" s="151" t="s">
        <v>85</v>
      </c>
      <c r="S166" s="16" t="s">
        <v>86</v>
      </c>
      <c r="T166" s="16" t="s">
        <v>87</v>
      </c>
      <c r="U166" s="16" t="s">
        <v>88</v>
      </c>
      <c r="V166" s="16" t="s">
        <v>89</v>
      </c>
      <c r="W166" s="151" t="s">
        <v>90</v>
      </c>
      <c r="Y166" s="222" t="s">
        <v>323</v>
      </c>
      <c r="Z166" s="43" t="s">
        <v>24</v>
      </c>
      <c r="AA166" s="43" t="s">
        <v>25</v>
      </c>
      <c r="AB166" s="43" t="s">
        <v>26</v>
      </c>
      <c r="AC166" s="43" t="s">
        <v>27</v>
      </c>
      <c r="AD166" s="43" t="s">
        <v>28</v>
      </c>
      <c r="AE166" s="43" t="s">
        <v>74</v>
      </c>
      <c r="AF166" s="43" t="s">
        <v>75</v>
      </c>
      <c r="AG166" s="43" t="s">
        <v>76</v>
      </c>
      <c r="AH166" s="43" t="s">
        <v>77</v>
      </c>
      <c r="AI166" s="43" t="s">
        <v>78</v>
      </c>
      <c r="AJ166" s="43" t="s">
        <v>79</v>
      </c>
      <c r="AK166" s="43" t="s">
        <v>80</v>
      </c>
      <c r="AL166" s="15" t="s">
        <v>81</v>
      </c>
      <c r="AM166" s="15" t="s">
        <v>82</v>
      </c>
      <c r="AN166" s="15" t="s">
        <v>83</v>
      </c>
      <c r="AO166" s="15" t="s">
        <v>84</v>
      </c>
      <c r="AP166" s="43" t="s">
        <v>85</v>
      </c>
      <c r="AQ166" s="15" t="s">
        <v>86</v>
      </c>
      <c r="AR166" s="15" t="s">
        <v>87</v>
      </c>
      <c r="AS166" s="15" t="s">
        <v>88</v>
      </c>
      <c r="AT166" s="15" t="s">
        <v>89</v>
      </c>
      <c r="AU166" s="43" t="s">
        <v>90</v>
      </c>
      <c r="AX166" s="13" t="s">
        <v>199</v>
      </c>
      <c r="AY166" s="13">
        <v>72</v>
      </c>
      <c r="BB166" s="13" t="s">
        <v>199</v>
      </c>
      <c r="BC166" s="13">
        <v>72</v>
      </c>
    </row>
    <row r="167" spans="1:55" ht="15">
      <c r="A167" s="50" t="s">
        <v>46</v>
      </c>
      <c r="B167" s="155">
        <f t="array" ref="B167:W171">INT($Z$167:$AU$171*1.3)</f>
        <v>149</v>
      </c>
      <c r="C167" s="155">
        <v>149</v>
      </c>
      <c r="D167" s="155">
        <v>149</v>
      </c>
      <c r="E167" s="155">
        <v>149</v>
      </c>
      <c r="F167" s="155">
        <v>149</v>
      </c>
      <c r="G167" s="155">
        <v>149</v>
      </c>
      <c r="H167" s="155">
        <v>149</v>
      </c>
      <c r="I167" s="155">
        <v>137</v>
      </c>
      <c r="J167" s="155">
        <v>126</v>
      </c>
      <c r="K167" s="155">
        <v>115</v>
      </c>
      <c r="L167" s="155">
        <v>104</v>
      </c>
      <c r="M167" s="155">
        <v>92</v>
      </c>
      <c r="N167" s="155">
        <v>91</v>
      </c>
      <c r="O167" s="155">
        <v>89</v>
      </c>
      <c r="P167" s="155">
        <v>88</v>
      </c>
      <c r="Q167" s="156">
        <v>88</v>
      </c>
      <c r="R167" s="156">
        <v>87</v>
      </c>
      <c r="S167" s="156">
        <v>85</v>
      </c>
      <c r="T167" s="156">
        <v>84</v>
      </c>
      <c r="U167" s="156">
        <v>83</v>
      </c>
      <c r="V167" s="156">
        <v>83</v>
      </c>
      <c r="W167" s="156">
        <v>81</v>
      </c>
      <c r="Y167" s="157" t="s">
        <v>46</v>
      </c>
      <c r="Z167" s="161">
        <v>115</v>
      </c>
      <c r="AA167" s="161">
        <v>115</v>
      </c>
      <c r="AB167" s="161">
        <v>115</v>
      </c>
      <c r="AC167" s="161">
        <v>115</v>
      </c>
      <c r="AD167" s="161">
        <v>115</v>
      </c>
      <c r="AE167" s="161">
        <v>115</v>
      </c>
      <c r="AF167" s="161">
        <v>115</v>
      </c>
      <c r="AG167" s="161">
        <v>106</v>
      </c>
      <c r="AH167" s="161">
        <v>97</v>
      </c>
      <c r="AI167" s="161">
        <v>89</v>
      </c>
      <c r="AJ167" s="161">
        <v>80</v>
      </c>
      <c r="AK167" s="161">
        <v>71</v>
      </c>
      <c r="AL167" s="161">
        <v>70</v>
      </c>
      <c r="AM167" s="161">
        <v>69</v>
      </c>
      <c r="AN167" s="161">
        <v>68</v>
      </c>
      <c r="AO167" s="161">
        <v>68</v>
      </c>
      <c r="AP167" s="161">
        <v>67</v>
      </c>
      <c r="AQ167" s="161">
        <v>66</v>
      </c>
      <c r="AR167" s="161">
        <v>65</v>
      </c>
      <c r="AS167" s="161">
        <v>64</v>
      </c>
      <c r="AT167" s="161">
        <v>64</v>
      </c>
      <c r="AU167" s="161">
        <v>63</v>
      </c>
    </row>
    <row r="168" spans="1:55" ht="15">
      <c r="A168" s="50" t="s">
        <v>49</v>
      </c>
      <c r="B168" s="164">
        <v>143</v>
      </c>
      <c r="C168" s="155">
        <v>143</v>
      </c>
      <c r="D168" s="155">
        <v>143</v>
      </c>
      <c r="E168" s="155">
        <v>143</v>
      </c>
      <c r="F168" s="155">
        <v>143</v>
      </c>
      <c r="G168" s="155">
        <v>143</v>
      </c>
      <c r="H168" s="155">
        <v>143</v>
      </c>
      <c r="I168" s="155">
        <v>132</v>
      </c>
      <c r="J168" s="155">
        <v>120</v>
      </c>
      <c r="K168" s="155">
        <v>110</v>
      </c>
      <c r="L168" s="155">
        <v>98</v>
      </c>
      <c r="M168" s="155">
        <v>88</v>
      </c>
      <c r="N168" s="155">
        <v>87</v>
      </c>
      <c r="O168" s="155">
        <v>85</v>
      </c>
      <c r="P168" s="155">
        <v>84</v>
      </c>
      <c r="Q168" s="156">
        <v>84</v>
      </c>
      <c r="R168" s="156">
        <v>83</v>
      </c>
      <c r="S168" s="156">
        <v>81</v>
      </c>
      <c r="T168" s="156">
        <v>80</v>
      </c>
      <c r="U168" s="156">
        <v>80</v>
      </c>
      <c r="V168" s="156">
        <v>79</v>
      </c>
      <c r="W168" s="156">
        <v>78</v>
      </c>
      <c r="Y168" s="157" t="s">
        <v>49</v>
      </c>
      <c r="Z168" s="161">
        <v>110</v>
      </c>
      <c r="AA168" s="161">
        <v>110</v>
      </c>
      <c r="AB168" s="161">
        <v>110</v>
      </c>
      <c r="AC168" s="161">
        <v>110</v>
      </c>
      <c r="AD168" s="161">
        <v>110</v>
      </c>
      <c r="AE168" s="161">
        <v>110</v>
      </c>
      <c r="AF168" s="161">
        <v>110</v>
      </c>
      <c r="AG168" s="161">
        <v>102</v>
      </c>
      <c r="AH168" s="161">
        <v>93</v>
      </c>
      <c r="AI168" s="161">
        <v>85</v>
      </c>
      <c r="AJ168" s="161">
        <v>76</v>
      </c>
      <c r="AK168" s="161">
        <v>68</v>
      </c>
      <c r="AL168" s="161">
        <v>67</v>
      </c>
      <c r="AM168" s="161">
        <v>66</v>
      </c>
      <c r="AN168" s="161">
        <v>65</v>
      </c>
      <c r="AO168" s="161">
        <v>65</v>
      </c>
      <c r="AP168" s="161">
        <v>64</v>
      </c>
      <c r="AQ168" s="161">
        <v>63</v>
      </c>
      <c r="AR168" s="161">
        <v>62</v>
      </c>
      <c r="AS168" s="161">
        <v>62</v>
      </c>
      <c r="AT168" s="161">
        <v>61</v>
      </c>
      <c r="AU168" s="161">
        <v>60</v>
      </c>
      <c r="AW168" s="103"/>
      <c r="AX168" s="223"/>
      <c r="AY168" s="223"/>
      <c r="AZ168" s="103"/>
      <c r="BA168" s="103"/>
      <c r="BB168" s="223"/>
      <c r="BC168" s="223"/>
    </row>
    <row r="169" spans="1:55" ht="15">
      <c r="A169" s="50" t="s">
        <v>52</v>
      </c>
      <c r="B169" s="164">
        <v>139</v>
      </c>
      <c r="C169" s="155">
        <v>139</v>
      </c>
      <c r="D169" s="155">
        <v>139</v>
      </c>
      <c r="E169" s="155">
        <v>139</v>
      </c>
      <c r="F169" s="155">
        <v>139</v>
      </c>
      <c r="G169" s="155">
        <v>139</v>
      </c>
      <c r="H169" s="155">
        <v>139</v>
      </c>
      <c r="I169" s="155">
        <v>128</v>
      </c>
      <c r="J169" s="155">
        <v>118</v>
      </c>
      <c r="K169" s="155">
        <v>106</v>
      </c>
      <c r="L169" s="155">
        <v>97</v>
      </c>
      <c r="M169" s="155">
        <v>85</v>
      </c>
      <c r="N169" s="155">
        <v>84</v>
      </c>
      <c r="O169" s="155">
        <v>83</v>
      </c>
      <c r="P169" s="155">
        <v>83</v>
      </c>
      <c r="Q169" s="156">
        <v>81</v>
      </c>
      <c r="R169" s="156">
        <v>80</v>
      </c>
      <c r="S169" s="156">
        <v>79</v>
      </c>
      <c r="T169" s="156">
        <v>79</v>
      </c>
      <c r="U169" s="156">
        <v>78</v>
      </c>
      <c r="V169" s="156">
        <v>76</v>
      </c>
      <c r="W169" s="156">
        <v>75</v>
      </c>
      <c r="Y169" s="157" t="s">
        <v>52</v>
      </c>
      <c r="Z169" s="161">
        <v>107</v>
      </c>
      <c r="AA169" s="161">
        <v>107</v>
      </c>
      <c r="AB169" s="161">
        <v>107</v>
      </c>
      <c r="AC169" s="161">
        <v>107</v>
      </c>
      <c r="AD169" s="161">
        <v>107</v>
      </c>
      <c r="AE169" s="161">
        <v>107</v>
      </c>
      <c r="AF169" s="161">
        <v>107</v>
      </c>
      <c r="AG169" s="161">
        <v>99</v>
      </c>
      <c r="AH169" s="161">
        <v>91</v>
      </c>
      <c r="AI169" s="161">
        <v>82</v>
      </c>
      <c r="AJ169" s="161">
        <v>75</v>
      </c>
      <c r="AK169" s="161">
        <v>66</v>
      </c>
      <c r="AL169" s="161">
        <v>65</v>
      </c>
      <c r="AM169" s="161">
        <v>64</v>
      </c>
      <c r="AN169" s="161">
        <v>64</v>
      </c>
      <c r="AO169" s="161">
        <v>63</v>
      </c>
      <c r="AP169" s="161">
        <v>62</v>
      </c>
      <c r="AQ169" s="161">
        <v>61</v>
      </c>
      <c r="AR169" s="161">
        <v>61</v>
      </c>
      <c r="AS169" s="161">
        <v>60</v>
      </c>
      <c r="AT169" s="161">
        <v>59</v>
      </c>
      <c r="AU169" s="161">
        <v>58</v>
      </c>
      <c r="AW169" s="103"/>
      <c r="AX169" s="223" t="s">
        <v>189</v>
      </c>
      <c r="AY169" s="223">
        <v>64</v>
      </c>
      <c r="AZ169" s="103"/>
      <c r="BA169" s="103"/>
      <c r="BB169" s="223" t="s">
        <v>189</v>
      </c>
      <c r="BC169" s="223">
        <v>63</v>
      </c>
    </row>
    <row r="170" spans="1:55" ht="15">
      <c r="A170" s="50" t="s">
        <v>383</v>
      </c>
      <c r="B170" s="155">
        <v>128</v>
      </c>
      <c r="C170" s="155">
        <v>128</v>
      </c>
      <c r="D170" s="155">
        <v>128</v>
      </c>
      <c r="E170" s="155">
        <v>128</v>
      </c>
      <c r="F170" s="155">
        <v>128</v>
      </c>
      <c r="G170" s="155">
        <v>128</v>
      </c>
      <c r="H170" s="155">
        <v>128</v>
      </c>
      <c r="I170" s="155">
        <v>118</v>
      </c>
      <c r="J170" s="155">
        <v>109</v>
      </c>
      <c r="K170" s="155">
        <v>98</v>
      </c>
      <c r="L170" s="155">
        <v>89</v>
      </c>
      <c r="M170" s="155">
        <v>79</v>
      </c>
      <c r="N170" s="155">
        <v>78</v>
      </c>
      <c r="O170" s="155">
        <v>78</v>
      </c>
      <c r="P170" s="155">
        <v>76</v>
      </c>
      <c r="Q170" s="155">
        <v>75</v>
      </c>
      <c r="R170" s="155">
        <v>74</v>
      </c>
      <c r="S170" s="155">
        <v>74</v>
      </c>
      <c r="T170" s="155">
        <v>72</v>
      </c>
      <c r="U170" s="155">
        <v>71</v>
      </c>
      <c r="V170" s="155">
        <v>71</v>
      </c>
      <c r="W170" s="155">
        <v>70</v>
      </c>
      <c r="Y170" s="157" t="s">
        <v>383</v>
      </c>
      <c r="Z170" s="161">
        <v>99</v>
      </c>
      <c r="AA170" s="161">
        <v>99</v>
      </c>
      <c r="AB170" s="161">
        <v>99</v>
      </c>
      <c r="AC170" s="161">
        <v>99</v>
      </c>
      <c r="AD170" s="161">
        <v>99</v>
      </c>
      <c r="AE170" s="161">
        <v>99</v>
      </c>
      <c r="AF170" s="161">
        <v>99</v>
      </c>
      <c r="AG170" s="161">
        <v>91</v>
      </c>
      <c r="AH170" s="161">
        <v>84</v>
      </c>
      <c r="AI170" s="161">
        <v>76</v>
      </c>
      <c r="AJ170" s="161">
        <v>69</v>
      </c>
      <c r="AK170" s="161">
        <v>61</v>
      </c>
      <c r="AL170" s="161">
        <v>60</v>
      </c>
      <c r="AM170" s="161">
        <v>60</v>
      </c>
      <c r="AN170" s="161">
        <v>59</v>
      </c>
      <c r="AO170" s="161">
        <v>58</v>
      </c>
      <c r="AP170" s="161">
        <v>57</v>
      </c>
      <c r="AQ170" s="161">
        <v>57</v>
      </c>
      <c r="AR170" s="161">
        <v>56</v>
      </c>
      <c r="AS170" s="161">
        <v>55</v>
      </c>
      <c r="AT170" s="161">
        <v>55</v>
      </c>
      <c r="AU170" s="161">
        <v>54</v>
      </c>
      <c r="AW170" s="103"/>
      <c r="AX170" s="223"/>
      <c r="AY170" s="223"/>
      <c r="AZ170" s="103"/>
      <c r="BA170" s="103"/>
      <c r="BB170" s="223"/>
      <c r="BC170" s="223"/>
    </row>
    <row r="171" spans="1:55" ht="15">
      <c r="A171" s="8" t="s">
        <v>64</v>
      </c>
      <c r="B171" s="155">
        <v>126</v>
      </c>
      <c r="C171" s="155">
        <v>126</v>
      </c>
      <c r="D171" s="155">
        <v>126</v>
      </c>
      <c r="E171" s="155">
        <v>126</v>
      </c>
      <c r="F171" s="155">
        <v>126</v>
      </c>
      <c r="G171" s="155">
        <v>126</v>
      </c>
      <c r="H171" s="155">
        <v>126</v>
      </c>
      <c r="I171" s="155">
        <v>115</v>
      </c>
      <c r="J171" s="155">
        <v>106</v>
      </c>
      <c r="K171" s="155">
        <v>97</v>
      </c>
      <c r="L171" s="155">
        <v>87</v>
      </c>
      <c r="M171" s="155">
        <v>78</v>
      </c>
      <c r="N171" s="155">
        <v>76</v>
      </c>
      <c r="O171" s="155">
        <v>75</v>
      </c>
      <c r="P171" s="155">
        <v>75</v>
      </c>
      <c r="Q171" s="155">
        <v>74</v>
      </c>
      <c r="R171" s="155">
        <v>72</v>
      </c>
      <c r="S171" s="155">
        <v>72</v>
      </c>
      <c r="T171" s="155">
        <v>71</v>
      </c>
      <c r="U171" s="155">
        <v>70</v>
      </c>
      <c r="V171" s="155">
        <v>70</v>
      </c>
      <c r="W171" s="155">
        <v>68</v>
      </c>
      <c r="Y171" s="169" t="s">
        <v>64</v>
      </c>
      <c r="Z171" s="161">
        <v>97</v>
      </c>
      <c r="AA171" s="161">
        <v>97</v>
      </c>
      <c r="AB171" s="161">
        <v>97</v>
      </c>
      <c r="AC171" s="161">
        <v>97</v>
      </c>
      <c r="AD171" s="161">
        <v>97</v>
      </c>
      <c r="AE171" s="161">
        <v>97</v>
      </c>
      <c r="AF171" s="161">
        <v>97</v>
      </c>
      <c r="AG171" s="161">
        <v>89</v>
      </c>
      <c r="AH171" s="161">
        <v>82</v>
      </c>
      <c r="AI171" s="161">
        <v>75</v>
      </c>
      <c r="AJ171" s="161">
        <v>67</v>
      </c>
      <c r="AK171" s="161">
        <v>60</v>
      </c>
      <c r="AL171" s="161">
        <v>59</v>
      </c>
      <c r="AM171" s="161">
        <v>58</v>
      </c>
      <c r="AN171" s="161">
        <v>58</v>
      </c>
      <c r="AO171" s="161">
        <v>57</v>
      </c>
      <c r="AP171" s="161">
        <v>56</v>
      </c>
      <c r="AQ171" s="161">
        <v>56</v>
      </c>
      <c r="AR171" s="161">
        <v>55</v>
      </c>
      <c r="AS171" s="161">
        <v>54</v>
      </c>
      <c r="AT171" s="161">
        <v>54</v>
      </c>
      <c r="AU171" s="161">
        <v>53</v>
      </c>
      <c r="AW171" s="103"/>
      <c r="AX171" s="223" t="s">
        <v>199</v>
      </c>
      <c r="AY171" s="223">
        <v>43</v>
      </c>
      <c r="AZ171" s="103"/>
      <c r="BA171" s="103"/>
      <c r="BB171" s="223" t="s">
        <v>199</v>
      </c>
      <c r="BC171" s="223">
        <v>42</v>
      </c>
    </row>
    <row r="172" spans="1:55" ht="15">
      <c r="A172" s="150" t="s">
        <v>328</v>
      </c>
      <c r="B172" s="151" t="s">
        <v>24</v>
      </c>
      <c r="C172" s="151" t="s">
        <v>25</v>
      </c>
      <c r="D172" s="151" t="s">
        <v>26</v>
      </c>
      <c r="E172" s="151" t="s">
        <v>27</v>
      </c>
      <c r="F172" s="151" t="s">
        <v>28</v>
      </c>
      <c r="G172" s="151" t="s">
        <v>74</v>
      </c>
      <c r="H172" s="151" t="s">
        <v>75</v>
      </c>
      <c r="I172" s="151" t="s">
        <v>76</v>
      </c>
      <c r="J172" s="151" t="s">
        <v>77</v>
      </c>
      <c r="K172" s="151" t="s">
        <v>78</v>
      </c>
      <c r="L172" s="151" t="s">
        <v>79</v>
      </c>
      <c r="M172" s="151" t="s">
        <v>80</v>
      </c>
      <c r="N172" s="16" t="s">
        <v>81</v>
      </c>
      <c r="O172" s="16" t="s">
        <v>82</v>
      </c>
      <c r="P172" s="16" t="s">
        <v>83</v>
      </c>
      <c r="Q172" s="16" t="s">
        <v>84</v>
      </c>
      <c r="R172" s="151" t="s">
        <v>85</v>
      </c>
      <c r="S172" s="16" t="s">
        <v>86</v>
      </c>
      <c r="T172" s="16" t="s">
        <v>87</v>
      </c>
      <c r="U172" s="16" t="s">
        <v>88</v>
      </c>
      <c r="V172" s="16" t="s">
        <v>89</v>
      </c>
      <c r="W172" s="151" t="s">
        <v>90</v>
      </c>
      <c r="Y172" s="222" t="s">
        <v>328</v>
      </c>
      <c r="Z172" s="43" t="s">
        <v>24</v>
      </c>
      <c r="AA172" s="43" t="s">
        <v>25</v>
      </c>
      <c r="AB172" s="43" t="s">
        <v>26</v>
      </c>
      <c r="AC172" s="43" t="s">
        <v>27</v>
      </c>
      <c r="AD172" s="43" t="s">
        <v>28</v>
      </c>
      <c r="AE172" s="43" t="s">
        <v>74</v>
      </c>
      <c r="AF172" s="43" t="s">
        <v>75</v>
      </c>
      <c r="AG172" s="43" t="s">
        <v>76</v>
      </c>
      <c r="AH172" s="43" t="s">
        <v>77</v>
      </c>
      <c r="AI172" s="43" t="s">
        <v>78</v>
      </c>
      <c r="AJ172" s="43" t="s">
        <v>79</v>
      </c>
      <c r="AK172" s="43" t="s">
        <v>80</v>
      </c>
      <c r="AL172" s="15" t="s">
        <v>81</v>
      </c>
      <c r="AM172" s="15" t="s">
        <v>82</v>
      </c>
      <c r="AN172" s="15" t="s">
        <v>83</v>
      </c>
      <c r="AO172" s="15" t="s">
        <v>84</v>
      </c>
      <c r="AP172" s="43" t="s">
        <v>85</v>
      </c>
      <c r="AQ172" s="15" t="s">
        <v>86</v>
      </c>
      <c r="AR172" s="15" t="s">
        <v>87</v>
      </c>
      <c r="AS172" s="15" t="s">
        <v>88</v>
      </c>
      <c r="AT172" s="15" t="s">
        <v>89</v>
      </c>
      <c r="AU172" s="43" t="s">
        <v>90</v>
      </c>
    </row>
    <row r="173" spans="1:55" ht="15">
      <c r="A173" s="50" t="s">
        <v>47</v>
      </c>
      <c r="B173" s="155">
        <f t="array" ref="B173:W176">INT($Z$173:$AU$176*1.3)</f>
        <v>149</v>
      </c>
      <c r="C173" s="155">
        <v>149</v>
      </c>
      <c r="D173" s="155">
        <v>149</v>
      </c>
      <c r="E173" s="155">
        <v>149</v>
      </c>
      <c r="F173" s="155">
        <v>149</v>
      </c>
      <c r="G173" s="155">
        <v>149</v>
      </c>
      <c r="H173" s="155">
        <v>149</v>
      </c>
      <c r="I173" s="155">
        <v>130</v>
      </c>
      <c r="J173" s="155">
        <v>109</v>
      </c>
      <c r="K173" s="155">
        <v>88</v>
      </c>
      <c r="L173" s="155">
        <v>74</v>
      </c>
      <c r="M173" s="155">
        <v>74</v>
      </c>
      <c r="N173" s="155">
        <v>74</v>
      </c>
      <c r="O173" s="155">
        <v>74</v>
      </c>
      <c r="P173" s="155">
        <v>74</v>
      </c>
      <c r="Q173" s="155">
        <v>74</v>
      </c>
      <c r="R173" s="155">
        <v>74</v>
      </c>
      <c r="S173" s="155">
        <v>74</v>
      </c>
      <c r="T173" s="155">
        <v>74</v>
      </c>
      <c r="U173" s="155">
        <v>74</v>
      </c>
      <c r="V173" s="155">
        <v>74</v>
      </c>
      <c r="W173" s="155">
        <v>74</v>
      </c>
      <c r="Y173" s="157" t="s">
        <v>47</v>
      </c>
      <c r="Z173" s="161">
        <v>115</v>
      </c>
      <c r="AA173" s="161">
        <v>115</v>
      </c>
      <c r="AB173" s="161">
        <v>115</v>
      </c>
      <c r="AC173" s="161">
        <v>115</v>
      </c>
      <c r="AD173" s="161">
        <v>115</v>
      </c>
      <c r="AE173" s="161">
        <v>115</v>
      </c>
      <c r="AF173" s="161">
        <v>115</v>
      </c>
      <c r="AG173" s="161">
        <v>100</v>
      </c>
      <c r="AH173" s="161">
        <v>84</v>
      </c>
      <c r="AI173" s="161">
        <v>68</v>
      </c>
      <c r="AJ173" s="161">
        <v>57</v>
      </c>
      <c r="AK173" s="161">
        <v>57</v>
      </c>
      <c r="AL173" s="161">
        <v>57</v>
      </c>
      <c r="AM173" s="161">
        <v>57</v>
      </c>
      <c r="AN173" s="161">
        <v>57</v>
      </c>
      <c r="AO173" s="161">
        <v>57</v>
      </c>
      <c r="AP173" s="161">
        <v>57</v>
      </c>
      <c r="AQ173" s="161">
        <v>57</v>
      </c>
      <c r="AR173" s="161">
        <v>57</v>
      </c>
      <c r="AS173" s="161">
        <v>57</v>
      </c>
      <c r="AT173" s="161">
        <v>57</v>
      </c>
      <c r="AU173" s="161">
        <v>57</v>
      </c>
    </row>
    <row r="174" spans="1:55" ht="15">
      <c r="A174" s="8" t="s">
        <v>50</v>
      </c>
      <c r="B174" s="164">
        <v>126</v>
      </c>
      <c r="C174" s="155">
        <v>126</v>
      </c>
      <c r="D174" s="155">
        <v>126</v>
      </c>
      <c r="E174" s="155">
        <v>126</v>
      </c>
      <c r="F174" s="155">
        <v>126</v>
      </c>
      <c r="G174" s="155">
        <v>126</v>
      </c>
      <c r="H174" s="155">
        <v>126</v>
      </c>
      <c r="I174" s="155">
        <v>109</v>
      </c>
      <c r="J174" s="155">
        <v>92</v>
      </c>
      <c r="K174" s="155">
        <v>74</v>
      </c>
      <c r="L174" s="155">
        <v>63</v>
      </c>
      <c r="M174" s="155">
        <v>63</v>
      </c>
      <c r="N174" s="155">
        <v>63</v>
      </c>
      <c r="O174" s="155">
        <v>63</v>
      </c>
      <c r="P174" s="155">
        <v>63</v>
      </c>
      <c r="Q174" s="155">
        <v>63</v>
      </c>
      <c r="R174" s="155">
        <v>63</v>
      </c>
      <c r="S174" s="155">
        <v>63</v>
      </c>
      <c r="T174" s="155">
        <v>63</v>
      </c>
      <c r="U174" s="155">
        <v>63</v>
      </c>
      <c r="V174" s="155">
        <v>63</v>
      </c>
      <c r="W174" s="155">
        <v>63</v>
      </c>
      <c r="Y174" s="169" t="s">
        <v>50</v>
      </c>
      <c r="Z174" s="161">
        <v>97</v>
      </c>
      <c r="AA174" s="161">
        <v>97</v>
      </c>
      <c r="AB174" s="161">
        <v>97</v>
      </c>
      <c r="AC174" s="161">
        <v>97</v>
      </c>
      <c r="AD174" s="161">
        <v>97</v>
      </c>
      <c r="AE174" s="161">
        <v>97</v>
      </c>
      <c r="AF174" s="161">
        <v>97</v>
      </c>
      <c r="AG174" s="161">
        <v>84</v>
      </c>
      <c r="AH174" s="161">
        <v>71</v>
      </c>
      <c r="AI174" s="161">
        <v>57</v>
      </c>
      <c r="AJ174" s="161">
        <v>49</v>
      </c>
      <c r="AK174" s="161">
        <v>49</v>
      </c>
      <c r="AL174" s="161">
        <v>49</v>
      </c>
      <c r="AM174" s="161">
        <v>49</v>
      </c>
      <c r="AN174" s="161">
        <v>49</v>
      </c>
      <c r="AO174" s="161">
        <v>49</v>
      </c>
      <c r="AP174" s="161">
        <v>49</v>
      </c>
      <c r="AQ174" s="161">
        <v>49</v>
      </c>
      <c r="AR174" s="161">
        <v>49</v>
      </c>
      <c r="AS174" s="161">
        <v>49</v>
      </c>
      <c r="AT174" s="161">
        <v>49</v>
      </c>
      <c r="AU174" s="161">
        <v>49</v>
      </c>
    </row>
    <row r="175" spans="1:55" ht="15">
      <c r="A175" s="224" t="s">
        <v>384</v>
      </c>
      <c r="B175" s="155">
        <v>123</v>
      </c>
      <c r="C175" s="155">
        <v>123</v>
      </c>
      <c r="D175" s="155">
        <v>123</v>
      </c>
      <c r="E175" s="155">
        <v>123</v>
      </c>
      <c r="F175" s="155">
        <v>123</v>
      </c>
      <c r="G175" s="155">
        <v>123</v>
      </c>
      <c r="H175" s="155">
        <v>123</v>
      </c>
      <c r="I175" s="155">
        <v>106</v>
      </c>
      <c r="J175" s="155">
        <v>89</v>
      </c>
      <c r="K175" s="155">
        <v>72</v>
      </c>
      <c r="L175" s="155">
        <v>62</v>
      </c>
      <c r="M175" s="155">
        <v>61</v>
      </c>
      <c r="N175" s="155">
        <v>61</v>
      </c>
      <c r="O175" s="155">
        <v>61</v>
      </c>
      <c r="P175" s="155">
        <v>61</v>
      </c>
      <c r="Q175" s="155">
        <v>61</v>
      </c>
      <c r="R175" s="155">
        <v>61</v>
      </c>
      <c r="S175" s="155">
        <v>61</v>
      </c>
      <c r="T175" s="155">
        <v>61</v>
      </c>
      <c r="U175" s="155">
        <v>61</v>
      </c>
      <c r="V175" s="155">
        <v>61</v>
      </c>
      <c r="W175" s="155">
        <v>61</v>
      </c>
      <c r="Y175" s="224" t="s">
        <v>384</v>
      </c>
      <c r="Z175" s="161">
        <v>95</v>
      </c>
      <c r="AA175" s="161">
        <v>95</v>
      </c>
      <c r="AB175" s="161">
        <v>95</v>
      </c>
      <c r="AC175" s="161">
        <v>95</v>
      </c>
      <c r="AD175" s="161">
        <v>95</v>
      </c>
      <c r="AE175" s="161">
        <v>95</v>
      </c>
      <c r="AF175" s="161">
        <v>95</v>
      </c>
      <c r="AG175" s="161">
        <v>82</v>
      </c>
      <c r="AH175" s="161">
        <v>69</v>
      </c>
      <c r="AI175" s="161">
        <v>56</v>
      </c>
      <c r="AJ175" s="161">
        <v>48</v>
      </c>
      <c r="AK175" s="161">
        <v>47</v>
      </c>
      <c r="AL175" s="161">
        <v>47</v>
      </c>
      <c r="AM175" s="161">
        <v>47</v>
      </c>
      <c r="AN175" s="161">
        <v>47</v>
      </c>
      <c r="AO175" s="161">
        <v>47</v>
      </c>
      <c r="AP175" s="161">
        <v>47</v>
      </c>
      <c r="AQ175" s="161">
        <v>47</v>
      </c>
      <c r="AR175" s="161">
        <v>47</v>
      </c>
      <c r="AS175" s="161">
        <v>47</v>
      </c>
      <c r="AT175" s="161">
        <v>47</v>
      </c>
      <c r="AU175" s="161">
        <v>47</v>
      </c>
      <c r="AW175" s="13"/>
      <c r="AX175" s="13"/>
      <c r="AY175" s="13"/>
      <c r="BA175" s="13"/>
      <c r="BB175" s="13"/>
      <c r="BC175" s="13"/>
    </row>
    <row r="176" spans="1:55" ht="15">
      <c r="A176" s="50" t="s">
        <v>332</v>
      </c>
      <c r="B176" s="155">
        <v>122</v>
      </c>
      <c r="C176" s="155">
        <v>122</v>
      </c>
      <c r="D176" s="155">
        <v>122</v>
      </c>
      <c r="E176" s="155">
        <v>122</v>
      </c>
      <c r="F176" s="155">
        <v>122</v>
      </c>
      <c r="G176" s="155">
        <v>122</v>
      </c>
      <c r="H176" s="155">
        <v>122</v>
      </c>
      <c r="I176" s="155">
        <v>105</v>
      </c>
      <c r="J176" s="155">
        <v>88</v>
      </c>
      <c r="K176" s="155">
        <v>72</v>
      </c>
      <c r="L176" s="155">
        <v>61</v>
      </c>
      <c r="M176" s="155">
        <v>61</v>
      </c>
      <c r="N176" s="155">
        <v>61</v>
      </c>
      <c r="O176" s="155">
        <v>61</v>
      </c>
      <c r="P176" s="155">
        <v>61</v>
      </c>
      <c r="Q176" s="155">
        <v>61</v>
      </c>
      <c r="R176" s="155">
        <v>61</v>
      </c>
      <c r="S176" s="155">
        <v>61</v>
      </c>
      <c r="T176" s="155">
        <v>61</v>
      </c>
      <c r="U176" s="155">
        <v>61</v>
      </c>
      <c r="V176" s="155">
        <v>61</v>
      </c>
      <c r="W176" s="155">
        <v>61</v>
      </c>
      <c r="Y176" s="157" t="s">
        <v>332</v>
      </c>
      <c r="Z176" s="161">
        <v>94</v>
      </c>
      <c r="AA176" s="161">
        <v>94</v>
      </c>
      <c r="AB176" s="161">
        <v>94</v>
      </c>
      <c r="AC176" s="161">
        <v>94</v>
      </c>
      <c r="AD176" s="161">
        <v>94</v>
      </c>
      <c r="AE176" s="161">
        <v>94</v>
      </c>
      <c r="AF176" s="161">
        <v>94</v>
      </c>
      <c r="AG176" s="161">
        <v>81</v>
      </c>
      <c r="AH176" s="161">
        <v>68</v>
      </c>
      <c r="AI176" s="161">
        <v>56</v>
      </c>
      <c r="AJ176" s="161">
        <v>47</v>
      </c>
      <c r="AK176" s="161">
        <v>47</v>
      </c>
      <c r="AL176" s="161">
        <v>47</v>
      </c>
      <c r="AM176" s="161">
        <v>47</v>
      </c>
      <c r="AN176" s="161">
        <v>47</v>
      </c>
      <c r="AO176" s="161">
        <v>47</v>
      </c>
      <c r="AP176" s="161">
        <v>47</v>
      </c>
      <c r="AQ176" s="161">
        <v>47</v>
      </c>
      <c r="AR176" s="161">
        <v>47</v>
      </c>
      <c r="AS176" s="161">
        <v>47</v>
      </c>
      <c r="AT176" s="161">
        <v>47</v>
      </c>
      <c r="AU176" s="161">
        <v>47</v>
      </c>
      <c r="AW176" s="13" t="s">
        <v>385</v>
      </c>
      <c r="AX176" s="13" t="s">
        <v>361</v>
      </c>
      <c r="AY176" s="13">
        <v>93</v>
      </c>
      <c r="BA176" s="13" t="s">
        <v>386</v>
      </c>
      <c r="BB176" s="13" t="s">
        <v>361</v>
      </c>
      <c r="BC176" s="13">
        <v>71</v>
      </c>
    </row>
    <row r="177" spans="1:55" ht="15">
      <c r="A177" s="145" t="s">
        <v>338</v>
      </c>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c r="Y177" s="225" t="s">
        <v>338</v>
      </c>
      <c r="Z177" s="221"/>
      <c r="AA177" s="221"/>
      <c r="AB177" s="221"/>
      <c r="AC177" s="221"/>
      <c r="AD177" s="221"/>
      <c r="AE177" s="221"/>
      <c r="AF177" s="221"/>
      <c r="AG177" s="221"/>
      <c r="AH177" s="221"/>
      <c r="AI177" s="221"/>
      <c r="AJ177" s="221"/>
      <c r="AK177" s="221"/>
      <c r="AL177" s="221"/>
      <c r="AM177" s="221"/>
      <c r="AN177" s="221"/>
      <c r="AO177" s="221"/>
      <c r="AP177" s="221"/>
      <c r="AQ177" s="221"/>
      <c r="AR177" s="221"/>
      <c r="AS177" s="221"/>
      <c r="AT177" s="221"/>
      <c r="AU177" s="221"/>
      <c r="AX177" s="13" t="s">
        <v>189</v>
      </c>
      <c r="AY177" s="13">
        <v>86</v>
      </c>
      <c r="BB177" s="13" t="s">
        <v>189</v>
      </c>
      <c r="BC177" s="13">
        <v>66</v>
      </c>
    </row>
    <row r="178" spans="1:55" ht="15">
      <c r="A178" s="150" t="s">
        <v>323</v>
      </c>
      <c r="B178" s="151" t="s">
        <v>24</v>
      </c>
      <c r="C178" s="151" t="s">
        <v>25</v>
      </c>
      <c r="D178" s="151" t="s">
        <v>26</v>
      </c>
      <c r="E178" s="151" t="s">
        <v>27</v>
      </c>
      <c r="F178" s="151" t="s">
        <v>28</v>
      </c>
      <c r="G178" s="151" t="s">
        <v>74</v>
      </c>
      <c r="H178" s="151" t="s">
        <v>75</v>
      </c>
      <c r="I178" s="151" t="s">
        <v>76</v>
      </c>
      <c r="J178" s="151" t="s">
        <v>77</v>
      </c>
      <c r="K178" s="151" t="s">
        <v>78</v>
      </c>
      <c r="L178" s="151" t="s">
        <v>79</v>
      </c>
      <c r="M178" s="151" t="s">
        <v>80</v>
      </c>
      <c r="N178" s="16" t="s">
        <v>81</v>
      </c>
      <c r="O178" s="16" t="s">
        <v>82</v>
      </c>
      <c r="P178" s="16" t="s">
        <v>83</v>
      </c>
      <c r="Q178" s="16" t="s">
        <v>84</v>
      </c>
      <c r="R178" s="151" t="s">
        <v>85</v>
      </c>
      <c r="S178" s="16" t="s">
        <v>86</v>
      </c>
      <c r="T178" s="16" t="s">
        <v>87</v>
      </c>
      <c r="U178" s="16" t="s">
        <v>88</v>
      </c>
      <c r="V178" s="16" t="s">
        <v>89</v>
      </c>
      <c r="W178" s="151" t="s">
        <v>90</v>
      </c>
      <c r="Y178" s="222" t="s">
        <v>323</v>
      </c>
      <c r="Z178" s="43" t="s">
        <v>24</v>
      </c>
      <c r="AA178" s="43" t="s">
        <v>25</v>
      </c>
      <c r="AB178" s="43" t="s">
        <v>26</v>
      </c>
      <c r="AC178" s="43" t="s">
        <v>27</v>
      </c>
      <c r="AD178" s="43" t="s">
        <v>28</v>
      </c>
      <c r="AE178" s="43" t="s">
        <v>74</v>
      </c>
      <c r="AF178" s="43" t="s">
        <v>75</v>
      </c>
      <c r="AG178" s="43" t="s">
        <v>76</v>
      </c>
      <c r="AH178" s="43" t="s">
        <v>77</v>
      </c>
      <c r="AI178" s="43" t="s">
        <v>78</v>
      </c>
      <c r="AJ178" s="43" t="s">
        <v>79</v>
      </c>
      <c r="AK178" s="43" t="s">
        <v>80</v>
      </c>
      <c r="AL178" s="15" t="s">
        <v>81</v>
      </c>
      <c r="AM178" s="15" t="s">
        <v>82</v>
      </c>
      <c r="AN178" s="15" t="s">
        <v>83</v>
      </c>
      <c r="AO178" s="15" t="s">
        <v>84</v>
      </c>
      <c r="AP178" s="43" t="s">
        <v>85</v>
      </c>
      <c r="AQ178" s="15" t="s">
        <v>86</v>
      </c>
      <c r="AR178" s="15" t="s">
        <v>87</v>
      </c>
      <c r="AS178" s="15" t="s">
        <v>88</v>
      </c>
      <c r="AT178" s="15" t="s">
        <v>89</v>
      </c>
      <c r="AU178" s="43" t="s">
        <v>90</v>
      </c>
      <c r="AX178" s="13" t="s">
        <v>366</v>
      </c>
      <c r="AY178" s="13">
        <v>64</v>
      </c>
      <c r="BB178" s="13" t="s">
        <v>366</v>
      </c>
      <c r="BC178" s="13">
        <v>50</v>
      </c>
    </row>
    <row r="179" spans="1:55" ht="15">
      <c r="A179" s="50" t="s">
        <v>387</v>
      </c>
      <c r="B179" s="155">
        <f t="array" ref="B179:W184">INT($Z$179:$AU$184*1.3)</f>
        <v>145</v>
      </c>
      <c r="C179" s="155">
        <v>145</v>
      </c>
      <c r="D179" s="155">
        <v>145</v>
      </c>
      <c r="E179" s="155">
        <v>145</v>
      </c>
      <c r="F179" s="155">
        <v>145</v>
      </c>
      <c r="G179" s="155">
        <v>140</v>
      </c>
      <c r="H179" s="155">
        <v>135</v>
      </c>
      <c r="I179" s="155">
        <v>124</v>
      </c>
      <c r="J179" s="155">
        <v>114</v>
      </c>
      <c r="K179" s="155">
        <v>104</v>
      </c>
      <c r="L179" s="155">
        <v>93</v>
      </c>
      <c r="M179" s="155">
        <v>88</v>
      </c>
      <c r="N179" s="155">
        <v>84</v>
      </c>
      <c r="O179" s="155">
        <v>80</v>
      </c>
      <c r="P179" s="155">
        <v>76</v>
      </c>
      <c r="Q179" s="155">
        <v>76</v>
      </c>
      <c r="R179" s="155">
        <v>76</v>
      </c>
      <c r="S179" s="155">
        <v>76</v>
      </c>
      <c r="T179" s="155">
        <v>76</v>
      </c>
      <c r="U179" s="155">
        <v>76</v>
      </c>
      <c r="V179" s="155">
        <v>76</v>
      </c>
      <c r="W179" s="155">
        <v>76</v>
      </c>
      <c r="Y179" s="157" t="s">
        <v>387</v>
      </c>
      <c r="Z179" s="161">
        <v>112</v>
      </c>
      <c r="AA179" s="161">
        <v>112</v>
      </c>
      <c r="AB179" s="161">
        <v>112</v>
      </c>
      <c r="AC179" s="161">
        <v>112</v>
      </c>
      <c r="AD179" s="161">
        <v>112</v>
      </c>
      <c r="AE179" s="161">
        <v>108</v>
      </c>
      <c r="AF179" s="161">
        <v>104</v>
      </c>
      <c r="AG179" s="161">
        <v>96</v>
      </c>
      <c r="AH179" s="161">
        <v>88</v>
      </c>
      <c r="AI179" s="161">
        <v>80</v>
      </c>
      <c r="AJ179" s="161">
        <v>72</v>
      </c>
      <c r="AK179" s="161">
        <v>68</v>
      </c>
      <c r="AL179" s="161">
        <v>65</v>
      </c>
      <c r="AM179" s="161">
        <v>62</v>
      </c>
      <c r="AN179" s="161">
        <v>59</v>
      </c>
      <c r="AO179" s="161">
        <v>59</v>
      </c>
      <c r="AP179" s="161">
        <v>59</v>
      </c>
      <c r="AQ179" s="161">
        <v>59</v>
      </c>
      <c r="AR179" s="161">
        <v>59</v>
      </c>
      <c r="AS179" s="161">
        <v>59</v>
      </c>
      <c r="AT179" s="161">
        <v>59</v>
      </c>
      <c r="AU179" s="161">
        <v>59</v>
      </c>
      <c r="AX179" s="13" t="s">
        <v>199</v>
      </c>
      <c r="AY179" s="13">
        <v>57</v>
      </c>
      <c r="BB179" s="13" t="s">
        <v>199</v>
      </c>
      <c r="BC179" s="13">
        <v>44</v>
      </c>
    </row>
    <row r="180" spans="1:55" ht="15">
      <c r="A180" s="50" t="s">
        <v>118</v>
      </c>
      <c r="B180" s="155">
        <v>130</v>
      </c>
      <c r="C180" s="155">
        <v>130</v>
      </c>
      <c r="D180" s="155">
        <v>130</v>
      </c>
      <c r="E180" s="155">
        <v>130</v>
      </c>
      <c r="F180" s="155">
        <v>130</v>
      </c>
      <c r="G180" s="155">
        <v>124</v>
      </c>
      <c r="H180" s="155">
        <v>120</v>
      </c>
      <c r="I180" s="155">
        <v>110</v>
      </c>
      <c r="J180" s="155">
        <v>101</v>
      </c>
      <c r="K180" s="155">
        <v>92</v>
      </c>
      <c r="L180" s="155">
        <v>83</v>
      </c>
      <c r="M180" s="155">
        <v>79</v>
      </c>
      <c r="N180" s="155">
        <v>75</v>
      </c>
      <c r="O180" s="155">
        <v>71</v>
      </c>
      <c r="P180" s="155">
        <v>68</v>
      </c>
      <c r="Q180" s="155">
        <v>67</v>
      </c>
      <c r="R180" s="156">
        <v>67</v>
      </c>
      <c r="S180" s="156">
        <v>67</v>
      </c>
      <c r="T180" s="156">
        <v>67</v>
      </c>
      <c r="U180" s="156">
        <v>67</v>
      </c>
      <c r="V180" s="156">
        <v>67</v>
      </c>
      <c r="W180" s="156">
        <v>67</v>
      </c>
      <c r="Y180" s="157" t="s">
        <v>118</v>
      </c>
      <c r="Z180" s="161">
        <v>100</v>
      </c>
      <c r="AA180" s="161">
        <v>100</v>
      </c>
      <c r="AB180" s="161">
        <v>100</v>
      </c>
      <c r="AC180" s="161">
        <v>100</v>
      </c>
      <c r="AD180" s="161">
        <v>100</v>
      </c>
      <c r="AE180" s="161">
        <v>96</v>
      </c>
      <c r="AF180" s="161">
        <v>93</v>
      </c>
      <c r="AG180" s="161">
        <v>85</v>
      </c>
      <c r="AH180" s="161">
        <v>78</v>
      </c>
      <c r="AI180" s="161">
        <v>71</v>
      </c>
      <c r="AJ180" s="161">
        <v>64</v>
      </c>
      <c r="AK180" s="161">
        <v>61</v>
      </c>
      <c r="AL180" s="161">
        <v>58</v>
      </c>
      <c r="AM180" s="161">
        <v>55</v>
      </c>
      <c r="AN180" s="161">
        <v>53</v>
      </c>
      <c r="AO180" s="161">
        <v>52</v>
      </c>
      <c r="AP180" s="161">
        <v>52</v>
      </c>
      <c r="AQ180" s="161">
        <v>52</v>
      </c>
      <c r="AR180" s="161">
        <v>52</v>
      </c>
      <c r="AS180" s="161">
        <v>52</v>
      </c>
      <c r="AT180" s="161">
        <v>52</v>
      </c>
      <c r="AU180" s="161">
        <v>52</v>
      </c>
    </row>
    <row r="181" spans="1:55" ht="12.75">
      <c r="A181" s="209" t="s">
        <v>138</v>
      </c>
      <c r="B181" s="164">
        <v>126</v>
      </c>
      <c r="C181" s="155">
        <v>126</v>
      </c>
      <c r="D181" s="155">
        <v>126</v>
      </c>
      <c r="E181" s="155">
        <v>126</v>
      </c>
      <c r="F181" s="155">
        <v>126</v>
      </c>
      <c r="G181" s="155">
        <v>120</v>
      </c>
      <c r="H181" s="186">
        <v>117</v>
      </c>
      <c r="I181" s="155">
        <v>107</v>
      </c>
      <c r="J181" s="155">
        <v>98</v>
      </c>
      <c r="K181" s="155">
        <v>89</v>
      </c>
      <c r="L181" s="155">
        <v>80</v>
      </c>
      <c r="M181" s="155">
        <v>76</v>
      </c>
      <c r="N181" s="155">
        <v>72</v>
      </c>
      <c r="O181" s="155">
        <v>70</v>
      </c>
      <c r="P181" s="155">
        <v>66</v>
      </c>
      <c r="Q181" s="155">
        <v>66</v>
      </c>
      <c r="R181" s="155">
        <v>66</v>
      </c>
      <c r="S181" s="155">
        <v>66</v>
      </c>
      <c r="T181" s="155">
        <v>66</v>
      </c>
      <c r="U181" s="155">
        <v>66</v>
      </c>
      <c r="V181" s="155">
        <v>66</v>
      </c>
      <c r="W181" s="155">
        <v>66</v>
      </c>
      <c r="Y181" s="226" t="s">
        <v>138</v>
      </c>
      <c r="Z181" s="161">
        <v>97</v>
      </c>
      <c r="AA181" s="161">
        <v>97</v>
      </c>
      <c r="AB181" s="161">
        <v>97</v>
      </c>
      <c r="AC181" s="161">
        <v>97</v>
      </c>
      <c r="AD181" s="161">
        <v>97</v>
      </c>
      <c r="AE181" s="161">
        <v>93</v>
      </c>
      <c r="AF181" s="161">
        <v>90</v>
      </c>
      <c r="AG181" s="161">
        <v>83</v>
      </c>
      <c r="AH181" s="161">
        <v>76</v>
      </c>
      <c r="AI181" s="161">
        <v>69</v>
      </c>
      <c r="AJ181" s="161">
        <v>62</v>
      </c>
      <c r="AK181" s="161">
        <v>59</v>
      </c>
      <c r="AL181" s="161">
        <v>56</v>
      </c>
      <c r="AM181" s="161">
        <v>54</v>
      </c>
      <c r="AN181" s="161">
        <v>51</v>
      </c>
      <c r="AO181" s="161">
        <v>51</v>
      </c>
      <c r="AP181" s="161">
        <v>51</v>
      </c>
      <c r="AQ181" s="161">
        <v>51</v>
      </c>
      <c r="AR181" s="161">
        <v>51</v>
      </c>
      <c r="AS181" s="161">
        <v>51</v>
      </c>
      <c r="AT181" s="161">
        <v>51</v>
      </c>
      <c r="AU181" s="161">
        <v>51</v>
      </c>
    </row>
    <row r="182" spans="1:55" ht="15">
      <c r="A182" s="8" t="s">
        <v>388</v>
      </c>
      <c r="B182" s="218">
        <v>123</v>
      </c>
      <c r="C182" s="155">
        <v>123</v>
      </c>
      <c r="D182" s="155">
        <v>123</v>
      </c>
      <c r="E182" s="155">
        <v>123</v>
      </c>
      <c r="F182" s="155">
        <v>123</v>
      </c>
      <c r="G182" s="155">
        <v>118</v>
      </c>
      <c r="H182" s="155">
        <v>114</v>
      </c>
      <c r="I182" s="155">
        <v>105</v>
      </c>
      <c r="J182" s="155">
        <v>96</v>
      </c>
      <c r="K182" s="155">
        <v>88</v>
      </c>
      <c r="L182" s="155">
        <v>79</v>
      </c>
      <c r="M182" s="155">
        <v>75</v>
      </c>
      <c r="N182" s="155">
        <v>71</v>
      </c>
      <c r="O182" s="155">
        <v>68</v>
      </c>
      <c r="P182" s="155">
        <v>65</v>
      </c>
      <c r="Q182" s="155">
        <v>65</v>
      </c>
      <c r="R182" s="155">
        <v>65</v>
      </c>
      <c r="S182" s="155">
        <v>65</v>
      </c>
      <c r="T182" s="155">
        <v>65</v>
      </c>
      <c r="U182" s="155">
        <v>65</v>
      </c>
      <c r="V182" s="155">
        <v>65</v>
      </c>
      <c r="W182" s="155">
        <v>65</v>
      </c>
      <c r="Y182" s="169" t="s">
        <v>388</v>
      </c>
      <c r="Z182" s="161">
        <v>95</v>
      </c>
      <c r="AA182" s="161">
        <v>95</v>
      </c>
      <c r="AB182" s="161">
        <v>95</v>
      </c>
      <c r="AC182" s="161">
        <v>95</v>
      </c>
      <c r="AD182" s="161">
        <v>95</v>
      </c>
      <c r="AE182" s="161">
        <v>91</v>
      </c>
      <c r="AF182" s="161">
        <v>88</v>
      </c>
      <c r="AG182" s="161">
        <v>81</v>
      </c>
      <c r="AH182" s="161">
        <v>74</v>
      </c>
      <c r="AI182" s="161">
        <v>68</v>
      </c>
      <c r="AJ182" s="161">
        <v>61</v>
      </c>
      <c r="AK182" s="161">
        <v>58</v>
      </c>
      <c r="AL182" s="161">
        <v>55</v>
      </c>
      <c r="AM182" s="161">
        <v>53</v>
      </c>
      <c r="AN182" s="161">
        <v>50</v>
      </c>
      <c r="AO182" s="161">
        <v>50</v>
      </c>
      <c r="AP182" s="161">
        <v>50</v>
      </c>
      <c r="AQ182" s="161">
        <v>50</v>
      </c>
      <c r="AR182" s="161">
        <v>50</v>
      </c>
      <c r="AS182" s="161">
        <v>50</v>
      </c>
      <c r="AT182" s="161">
        <v>50</v>
      </c>
      <c r="AU182" s="161">
        <v>50</v>
      </c>
      <c r="BA182" s="13">
        <v>107</v>
      </c>
    </row>
    <row r="183" spans="1:55" ht="12.75">
      <c r="A183" s="227" t="s">
        <v>389</v>
      </c>
      <c r="B183" s="155">
        <v>120</v>
      </c>
      <c r="C183" s="155">
        <v>120</v>
      </c>
      <c r="D183" s="155">
        <v>120</v>
      </c>
      <c r="E183" s="155">
        <v>120</v>
      </c>
      <c r="F183" s="155">
        <v>120</v>
      </c>
      <c r="G183" s="155">
        <v>115</v>
      </c>
      <c r="H183" s="155">
        <v>111</v>
      </c>
      <c r="I183" s="155">
        <v>102</v>
      </c>
      <c r="J183" s="155">
        <v>94</v>
      </c>
      <c r="K183" s="155">
        <v>85</v>
      </c>
      <c r="L183" s="155">
        <v>76</v>
      </c>
      <c r="M183" s="155">
        <v>74</v>
      </c>
      <c r="N183" s="155">
        <v>70</v>
      </c>
      <c r="O183" s="155">
        <v>67</v>
      </c>
      <c r="P183" s="155">
        <v>63</v>
      </c>
      <c r="Q183" s="155">
        <v>63</v>
      </c>
      <c r="R183" s="155">
        <v>63</v>
      </c>
      <c r="S183" s="155">
        <v>63</v>
      </c>
      <c r="T183" s="155">
        <v>63</v>
      </c>
      <c r="U183" s="155">
        <v>63</v>
      </c>
      <c r="V183" s="155">
        <v>63</v>
      </c>
      <c r="W183" s="155">
        <v>63</v>
      </c>
      <c r="Y183" s="228" t="s">
        <v>389</v>
      </c>
      <c r="Z183" s="161">
        <v>93</v>
      </c>
      <c r="AA183" s="161">
        <v>93</v>
      </c>
      <c r="AB183" s="161">
        <v>93</v>
      </c>
      <c r="AC183" s="161">
        <v>93</v>
      </c>
      <c r="AD183" s="161">
        <v>93</v>
      </c>
      <c r="AE183" s="161">
        <v>89</v>
      </c>
      <c r="AF183" s="161">
        <v>86</v>
      </c>
      <c r="AG183" s="161">
        <v>79</v>
      </c>
      <c r="AH183" s="161">
        <v>73</v>
      </c>
      <c r="AI183" s="161">
        <v>66</v>
      </c>
      <c r="AJ183" s="161">
        <v>59</v>
      </c>
      <c r="AK183" s="161">
        <v>57</v>
      </c>
      <c r="AL183" s="161">
        <v>54</v>
      </c>
      <c r="AM183" s="161">
        <v>52</v>
      </c>
      <c r="AN183" s="161">
        <v>49</v>
      </c>
      <c r="AO183" s="161">
        <v>49</v>
      </c>
      <c r="AP183" s="161">
        <v>49</v>
      </c>
      <c r="AQ183" s="161">
        <v>49</v>
      </c>
      <c r="AR183" s="161">
        <v>49</v>
      </c>
      <c r="AS183" s="161">
        <v>49</v>
      </c>
      <c r="AT183" s="161">
        <v>49</v>
      </c>
      <c r="AU183" s="161">
        <v>49</v>
      </c>
      <c r="AX183" s="13" t="s">
        <v>189</v>
      </c>
      <c r="AY183" s="13">
        <v>128</v>
      </c>
      <c r="AZ183" s="2" t="e">
        <f>#REF!*(12/13)</f>
        <v>#REF!</v>
      </c>
      <c r="BA183" s="148">
        <f>BA182*1.2</f>
        <v>128.4</v>
      </c>
    </row>
    <row r="184" spans="1:55" ht="15">
      <c r="A184" s="50" t="s">
        <v>148</v>
      </c>
      <c r="B184" s="155">
        <v>118</v>
      </c>
      <c r="C184" s="155">
        <v>118</v>
      </c>
      <c r="D184" s="155">
        <v>118</v>
      </c>
      <c r="E184" s="155">
        <v>118</v>
      </c>
      <c r="F184" s="155">
        <v>118</v>
      </c>
      <c r="G184" s="155">
        <v>114</v>
      </c>
      <c r="H184" s="155">
        <v>109</v>
      </c>
      <c r="I184" s="155">
        <v>101</v>
      </c>
      <c r="J184" s="155">
        <v>92</v>
      </c>
      <c r="K184" s="155">
        <v>84</v>
      </c>
      <c r="L184" s="155">
        <v>75</v>
      </c>
      <c r="M184" s="155">
        <v>71</v>
      </c>
      <c r="N184" s="155">
        <v>68</v>
      </c>
      <c r="O184" s="155">
        <v>65</v>
      </c>
      <c r="P184" s="155">
        <v>62</v>
      </c>
      <c r="Q184" s="155">
        <v>62</v>
      </c>
      <c r="R184" s="155">
        <v>62</v>
      </c>
      <c r="S184" s="155">
        <v>62</v>
      </c>
      <c r="T184" s="155">
        <v>62</v>
      </c>
      <c r="U184" s="155">
        <v>62</v>
      </c>
      <c r="V184" s="155">
        <v>62</v>
      </c>
      <c r="W184" s="155">
        <v>62</v>
      </c>
      <c r="Y184" s="157" t="s">
        <v>148</v>
      </c>
      <c r="Z184" s="161">
        <v>91</v>
      </c>
      <c r="AA184" s="161">
        <v>91</v>
      </c>
      <c r="AB184" s="161">
        <v>91</v>
      </c>
      <c r="AC184" s="161">
        <v>91</v>
      </c>
      <c r="AD184" s="161">
        <v>91</v>
      </c>
      <c r="AE184" s="161">
        <v>88</v>
      </c>
      <c r="AF184" s="161">
        <v>84</v>
      </c>
      <c r="AG184" s="161">
        <v>78</v>
      </c>
      <c r="AH184" s="161">
        <v>71</v>
      </c>
      <c r="AI184" s="161">
        <v>65</v>
      </c>
      <c r="AJ184" s="161">
        <v>58</v>
      </c>
      <c r="AK184" s="161">
        <v>55</v>
      </c>
      <c r="AL184" s="161">
        <v>53</v>
      </c>
      <c r="AM184" s="161">
        <v>50</v>
      </c>
      <c r="AN184" s="161">
        <v>48</v>
      </c>
      <c r="AO184" s="161">
        <v>48</v>
      </c>
      <c r="AP184" s="161">
        <v>48</v>
      </c>
      <c r="AQ184" s="161">
        <v>48</v>
      </c>
      <c r="AR184" s="161">
        <v>48</v>
      </c>
      <c r="AS184" s="161">
        <v>48</v>
      </c>
      <c r="AT184" s="161">
        <v>48</v>
      </c>
      <c r="AU184" s="161">
        <v>48</v>
      </c>
      <c r="AX184" s="13" t="s">
        <v>366</v>
      </c>
      <c r="AY184" s="13">
        <v>96</v>
      </c>
      <c r="AZ184" s="2" t="e">
        <f>#REF!*(9/13)</f>
        <v>#REF!</v>
      </c>
      <c r="BA184" s="148">
        <f>BA182*0.9</f>
        <v>96.3</v>
      </c>
    </row>
    <row r="185" spans="1:55" ht="15">
      <c r="A185" s="150" t="s">
        <v>328</v>
      </c>
      <c r="B185" s="151" t="s">
        <v>24</v>
      </c>
      <c r="C185" s="151" t="s">
        <v>25</v>
      </c>
      <c r="D185" s="151" t="s">
        <v>26</v>
      </c>
      <c r="E185" s="151" t="s">
        <v>27</v>
      </c>
      <c r="F185" s="151" t="s">
        <v>28</v>
      </c>
      <c r="G185" s="151" t="s">
        <v>74</v>
      </c>
      <c r="H185" s="151" t="s">
        <v>75</v>
      </c>
      <c r="I185" s="151" t="s">
        <v>76</v>
      </c>
      <c r="J185" s="151" t="s">
        <v>77</v>
      </c>
      <c r="K185" s="151" t="s">
        <v>78</v>
      </c>
      <c r="L185" s="151" t="s">
        <v>79</v>
      </c>
      <c r="M185" s="151" t="s">
        <v>80</v>
      </c>
      <c r="N185" s="16" t="s">
        <v>81</v>
      </c>
      <c r="O185" s="16" t="s">
        <v>82</v>
      </c>
      <c r="P185" s="16" t="s">
        <v>83</v>
      </c>
      <c r="Q185" s="16" t="s">
        <v>84</v>
      </c>
      <c r="R185" s="151" t="s">
        <v>85</v>
      </c>
      <c r="S185" s="16" t="s">
        <v>86</v>
      </c>
      <c r="T185" s="16" t="s">
        <v>87</v>
      </c>
      <c r="U185" s="16" t="s">
        <v>88</v>
      </c>
      <c r="V185" s="16" t="s">
        <v>89</v>
      </c>
      <c r="W185" s="151" t="s">
        <v>90</v>
      </c>
      <c r="Y185" s="222" t="s">
        <v>328</v>
      </c>
      <c r="Z185" s="43" t="s">
        <v>24</v>
      </c>
      <c r="AA185" s="43" t="s">
        <v>25</v>
      </c>
      <c r="AB185" s="43" t="s">
        <v>26</v>
      </c>
      <c r="AC185" s="43" t="s">
        <v>27</v>
      </c>
      <c r="AD185" s="43" t="s">
        <v>28</v>
      </c>
      <c r="AE185" s="43" t="s">
        <v>74</v>
      </c>
      <c r="AF185" s="43" t="s">
        <v>75</v>
      </c>
      <c r="AG185" s="43" t="s">
        <v>76</v>
      </c>
      <c r="AH185" s="43" t="s">
        <v>77</v>
      </c>
      <c r="AI185" s="43" t="s">
        <v>78</v>
      </c>
      <c r="AJ185" s="43" t="s">
        <v>79</v>
      </c>
      <c r="AK185" s="43" t="s">
        <v>80</v>
      </c>
      <c r="AL185" s="15" t="s">
        <v>81</v>
      </c>
      <c r="AM185" s="15" t="s">
        <v>82</v>
      </c>
      <c r="AN185" s="15" t="s">
        <v>83</v>
      </c>
      <c r="AO185" s="15" t="s">
        <v>84</v>
      </c>
      <c r="AP185" s="43" t="s">
        <v>85</v>
      </c>
      <c r="AQ185" s="15" t="s">
        <v>86</v>
      </c>
      <c r="AR185" s="15" t="s">
        <v>87</v>
      </c>
      <c r="AS185" s="15" t="s">
        <v>88</v>
      </c>
      <c r="AT185" s="15" t="s">
        <v>89</v>
      </c>
      <c r="AU185" s="43" t="s">
        <v>90</v>
      </c>
      <c r="AX185" s="13" t="s">
        <v>199</v>
      </c>
      <c r="AY185" s="13">
        <v>85</v>
      </c>
      <c r="AZ185" s="2" t="e">
        <f>#REF!*(8/13)</f>
        <v>#REF!</v>
      </c>
      <c r="BA185" s="148">
        <f>BA182*0.8</f>
        <v>85.600000000000009</v>
      </c>
    </row>
    <row r="186" spans="1:55" ht="15">
      <c r="A186" s="8" t="s">
        <v>106</v>
      </c>
      <c r="B186" s="155">
        <f t="array" ref="B186:W188">INT($Z$186:$AU$188*1.3)</f>
        <v>114</v>
      </c>
      <c r="C186" s="155">
        <v>114</v>
      </c>
      <c r="D186" s="155">
        <v>114</v>
      </c>
      <c r="E186" s="155">
        <v>114</v>
      </c>
      <c r="F186" s="155">
        <v>114</v>
      </c>
      <c r="G186" s="155">
        <v>106</v>
      </c>
      <c r="H186" s="155">
        <v>97</v>
      </c>
      <c r="I186" s="155">
        <v>80</v>
      </c>
      <c r="J186" s="155">
        <v>62</v>
      </c>
      <c r="K186" s="155">
        <v>57</v>
      </c>
      <c r="L186" s="155">
        <v>57</v>
      </c>
      <c r="M186" s="155">
        <v>57</v>
      </c>
      <c r="N186" s="155">
        <v>57</v>
      </c>
      <c r="O186" s="155">
        <v>57</v>
      </c>
      <c r="P186" s="155">
        <v>57</v>
      </c>
      <c r="Q186" s="155">
        <v>57</v>
      </c>
      <c r="R186" s="155">
        <v>57</v>
      </c>
      <c r="S186" s="155">
        <v>57</v>
      </c>
      <c r="T186" s="155">
        <v>57</v>
      </c>
      <c r="U186" s="155">
        <v>57</v>
      </c>
      <c r="V186" s="155">
        <v>57</v>
      </c>
      <c r="W186" s="155">
        <v>57</v>
      </c>
      <c r="Y186" s="169" t="s">
        <v>390</v>
      </c>
      <c r="Z186" s="161">
        <v>88</v>
      </c>
      <c r="AA186" s="161">
        <v>88</v>
      </c>
      <c r="AB186" s="161">
        <v>88</v>
      </c>
      <c r="AC186" s="161">
        <v>88</v>
      </c>
      <c r="AD186" s="161">
        <v>88</v>
      </c>
      <c r="AE186" s="161">
        <v>82</v>
      </c>
      <c r="AF186" s="161">
        <v>75</v>
      </c>
      <c r="AG186" s="161">
        <v>62</v>
      </c>
      <c r="AH186" s="161">
        <v>48</v>
      </c>
      <c r="AI186" s="161">
        <v>44</v>
      </c>
      <c r="AJ186" s="161">
        <v>44</v>
      </c>
      <c r="AK186" s="161">
        <v>44</v>
      </c>
      <c r="AL186" s="161">
        <v>44</v>
      </c>
      <c r="AM186" s="161">
        <v>44</v>
      </c>
      <c r="AN186" s="161">
        <v>44</v>
      </c>
      <c r="AO186" s="161">
        <v>44</v>
      </c>
      <c r="AP186" s="161">
        <v>44</v>
      </c>
      <c r="AQ186" s="161">
        <v>44</v>
      </c>
      <c r="AR186" s="161">
        <v>44</v>
      </c>
      <c r="AS186" s="161">
        <v>44</v>
      </c>
      <c r="AT186" s="161">
        <v>44</v>
      </c>
      <c r="AU186" s="161">
        <v>44</v>
      </c>
    </row>
    <row r="187" spans="1:55" ht="15">
      <c r="A187" s="38" t="s">
        <v>108</v>
      </c>
      <c r="B187" s="155">
        <v>110</v>
      </c>
      <c r="C187" s="155">
        <v>110</v>
      </c>
      <c r="D187" s="155">
        <v>110</v>
      </c>
      <c r="E187" s="155">
        <v>110</v>
      </c>
      <c r="F187" s="155">
        <v>110</v>
      </c>
      <c r="G187" s="155">
        <v>102</v>
      </c>
      <c r="H187" s="155">
        <v>93</v>
      </c>
      <c r="I187" s="155">
        <v>78</v>
      </c>
      <c r="J187" s="155">
        <v>61</v>
      </c>
      <c r="K187" s="155">
        <v>54</v>
      </c>
      <c r="L187" s="155">
        <v>54</v>
      </c>
      <c r="M187" s="155">
        <v>54</v>
      </c>
      <c r="N187" s="155">
        <v>54</v>
      </c>
      <c r="O187" s="155">
        <v>54</v>
      </c>
      <c r="P187" s="155">
        <v>54</v>
      </c>
      <c r="Q187" s="155">
        <v>54</v>
      </c>
      <c r="R187" s="155">
        <v>54</v>
      </c>
      <c r="S187" s="155">
        <v>54</v>
      </c>
      <c r="T187" s="155">
        <v>54</v>
      </c>
      <c r="U187" s="155">
        <v>54</v>
      </c>
      <c r="V187" s="155">
        <v>54</v>
      </c>
      <c r="W187" s="155">
        <v>54</v>
      </c>
      <c r="Y187" s="157" t="s">
        <v>108</v>
      </c>
      <c r="Z187" s="161">
        <v>85</v>
      </c>
      <c r="AA187" s="161">
        <v>85</v>
      </c>
      <c r="AB187" s="161">
        <v>85</v>
      </c>
      <c r="AC187" s="161">
        <v>85</v>
      </c>
      <c r="AD187" s="161">
        <v>85</v>
      </c>
      <c r="AE187" s="161">
        <v>79</v>
      </c>
      <c r="AF187" s="161">
        <v>72</v>
      </c>
      <c r="AG187" s="161">
        <v>60</v>
      </c>
      <c r="AH187" s="161">
        <v>47</v>
      </c>
      <c r="AI187" s="161">
        <v>42</v>
      </c>
      <c r="AJ187" s="161">
        <v>42</v>
      </c>
      <c r="AK187" s="161">
        <v>42</v>
      </c>
      <c r="AL187" s="161">
        <v>42</v>
      </c>
      <c r="AM187" s="161">
        <v>42</v>
      </c>
      <c r="AN187" s="161">
        <v>42</v>
      </c>
      <c r="AO187" s="161">
        <v>42</v>
      </c>
      <c r="AP187" s="161">
        <v>42</v>
      </c>
      <c r="AQ187" s="161">
        <v>42</v>
      </c>
      <c r="AR187" s="161">
        <v>42</v>
      </c>
      <c r="AS187" s="161">
        <v>42</v>
      </c>
      <c r="AT187" s="161">
        <v>42</v>
      </c>
      <c r="AU187" s="161">
        <v>42</v>
      </c>
    </row>
    <row r="188" spans="1:55" ht="15">
      <c r="A188" s="8" t="s">
        <v>391</v>
      </c>
      <c r="B188" s="155">
        <v>107</v>
      </c>
      <c r="C188" s="155">
        <v>107</v>
      </c>
      <c r="D188" s="155">
        <v>107</v>
      </c>
      <c r="E188" s="155">
        <v>107</v>
      </c>
      <c r="F188" s="155">
        <v>107</v>
      </c>
      <c r="G188" s="155">
        <v>100</v>
      </c>
      <c r="H188" s="155">
        <v>92</v>
      </c>
      <c r="I188" s="155">
        <v>75</v>
      </c>
      <c r="J188" s="155">
        <v>59</v>
      </c>
      <c r="K188" s="155">
        <v>53</v>
      </c>
      <c r="L188" s="155">
        <v>53</v>
      </c>
      <c r="M188" s="155">
        <v>53</v>
      </c>
      <c r="N188" s="155">
        <v>53</v>
      </c>
      <c r="O188" s="155">
        <v>53</v>
      </c>
      <c r="P188" s="155">
        <v>53</v>
      </c>
      <c r="Q188" s="155">
        <v>53</v>
      </c>
      <c r="R188" s="155">
        <v>53</v>
      </c>
      <c r="S188" s="155">
        <v>53</v>
      </c>
      <c r="T188" s="155">
        <v>53</v>
      </c>
      <c r="U188" s="155">
        <v>53</v>
      </c>
      <c r="V188" s="155">
        <v>53</v>
      </c>
      <c r="W188" s="155">
        <v>53</v>
      </c>
      <c r="Y188" s="226" t="s">
        <v>391</v>
      </c>
      <c r="Z188" s="161">
        <v>83</v>
      </c>
      <c r="AA188" s="161">
        <v>83</v>
      </c>
      <c r="AB188" s="161">
        <v>83</v>
      </c>
      <c r="AC188" s="161">
        <v>83</v>
      </c>
      <c r="AD188" s="161">
        <v>83</v>
      </c>
      <c r="AE188" s="161">
        <v>77</v>
      </c>
      <c r="AF188" s="161">
        <v>71</v>
      </c>
      <c r="AG188" s="161">
        <v>58</v>
      </c>
      <c r="AH188" s="161">
        <v>46</v>
      </c>
      <c r="AI188" s="161">
        <v>41</v>
      </c>
      <c r="AJ188" s="161">
        <v>41</v>
      </c>
      <c r="AK188" s="161">
        <v>41</v>
      </c>
      <c r="AL188" s="161">
        <v>41</v>
      </c>
      <c r="AM188" s="161">
        <v>41</v>
      </c>
      <c r="AN188" s="161">
        <v>41</v>
      </c>
      <c r="AO188" s="161">
        <v>41</v>
      </c>
      <c r="AP188" s="161">
        <v>41</v>
      </c>
      <c r="AQ188" s="161">
        <v>41</v>
      </c>
      <c r="AR188" s="161">
        <v>41</v>
      </c>
      <c r="AS188" s="161">
        <v>41</v>
      </c>
      <c r="AT188" s="161">
        <v>41</v>
      </c>
      <c r="AU188" s="161">
        <v>41</v>
      </c>
    </row>
    <row r="189" spans="1:55" ht="15">
      <c r="A189" s="145" t="s">
        <v>340</v>
      </c>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Y189" s="145" t="s">
        <v>340</v>
      </c>
    </row>
    <row r="190" spans="1:55" ht="15">
      <c r="A190" s="150" t="s">
        <v>323</v>
      </c>
      <c r="B190" s="151" t="s">
        <v>24</v>
      </c>
      <c r="C190" s="151" t="s">
        <v>25</v>
      </c>
      <c r="D190" s="151" t="s">
        <v>26</v>
      </c>
      <c r="E190" s="151" t="s">
        <v>27</v>
      </c>
      <c r="F190" s="151" t="s">
        <v>28</v>
      </c>
      <c r="G190" s="151" t="s">
        <v>74</v>
      </c>
      <c r="H190" s="151" t="s">
        <v>75</v>
      </c>
      <c r="I190" s="151" t="s">
        <v>76</v>
      </c>
      <c r="J190" s="151" t="s">
        <v>77</v>
      </c>
      <c r="K190" s="151" t="s">
        <v>78</v>
      </c>
      <c r="L190" s="151" t="s">
        <v>79</v>
      </c>
      <c r="M190" s="151" t="s">
        <v>80</v>
      </c>
      <c r="N190" s="16" t="s">
        <v>81</v>
      </c>
      <c r="O190" s="16" t="s">
        <v>82</v>
      </c>
      <c r="P190" s="16" t="s">
        <v>83</v>
      </c>
      <c r="Q190" s="16" t="s">
        <v>84</v>
      </c>
      <c r="R190" s="151" t="s">
        <v>85</v>
      </c>
      <c r="S190" s="16" t="s">
        <v>86</v>
      </c>
      <c r="T190" s="16" t="s">
        <v>87</v>
      </c>
      <c r="U190" s="16" t="s">
        <v>88</v>
      </c>
      <c r="V190" s="16" t="s">
        <v>89</v>
      </c>
      <c r="W190" s="151" t="s">
        <v>90</v>
      </c>
      <c r="Y190" s="222" t="s">
        <v>323</v>
      </c>
      <c r="Z190" s="43" t="s">
        <v>24</v>
      </c>
      <c r="AA190" s="43" t="s">
        <v>25</v>
      </c>
      <c r="AB190" s="43" t="s">
        <v>26</v>
      </c>
      <c r="AC190" s="43" t="s">
        <v>27</v>
      </c>
      <c r="AD190" s="43" t="s">
        <v>28</v>
      </c>
      <c r="AE190" s="43" t="s">
        <v>74</v>
      </c>
      <c r="AF190" s="43" t="s">
        <v>75</v>
      </c>
      <c r="AG190" s="43" t="s">
        <v>76</v>
      </c>
      <c r="AH190" s="43" t="s">
        <v>77</v>
      </c>
      <c r="AI190" s="43" t="s">
        <v>78</v>
      </c>
      <c r="AJ190" s="43" t="s">
        <v>79</v>
      </c>
      <c r="AK190" s="43" t="s">
        <v>80</v>
      </c>
      <c r="AL190" s="15" t="s">
        <v>81</v>
      </c>
      <c r="AM190" s="15" t="s">
        <v>82</v>
      </c>
      <c r="AN190" s="15" t="s">
        <v>83</v>
      </c>
      <c r="AO190" s="15" t="s">
        <v>84</v>
      </c>
      <c r="AP190" s="43" t="s">
        <v>85</v>
      </c>
      <c r="AQ190" s="15" t="s">
        <v>86</v>
      </c>
      <c r="AR190" s="15" t="s">
        <v>87</v>
      </c>
      <c r="AS190" s="15" t="s">
        <v>88</v>
      </c>
      <c r="AT190" s="15" t="s">
        <v>89</v>
      </c>
      <c r="AU190" s="43" t="s">
        <v>90</v>
      </c>
    </row>
    <row r="191" spans="1:55" ht="15">
      <c r="A191" s="8" t="s">
        <v>392</v>
      </c>
      <c r="B191" s="155">
        <f t="array" ref="B191:W193">INT($Z$191:$AU$193*1.3)</f>
        <v>113</v>
      </c>
      <c r="C191" s="155">
        <v>113</v>
      </c>
      <c r="D191" s="155">
        <v>113</v>
      </c>
      <c r="E191" s="155">
        <v>105</v>
      </c>
      <c r="F191" s="155">
        <v>98</v>
      </c>
      <c r="G191" s="155">
        <v>92</v>
      </c>
      <c r="H191" s="155">
        <v>84</v>
      </c>
      <c r="I191" s="155">
        <v>70</v>
      </c>
      <c r="J191" s="155">
        <v>67</v>
      </c>
      <c r="K191" s="155">
        <v>65</v>
      </c>
      <c r="L191" s="155">
        <v>62</v>
      </c>
      <c r="M191" s="155">
        <v>59</v>
      </c>
      <c r="N191" s="155">
        <v>59</v>
      </c>
      <c r="O191" s="155">
        <v>59</v>
      </c>
      <c r="P191" s="155">
        <v>59</v>
      </c>
      <c r="Q191" s="155">
        <v>59</v>
      </c>
      <c r="R191" s="155">
        <v>59</v>
      </c>
      <c r="S191" s="155">
        <v>59</v>
      </c>
      <c r="T191" s="155">
        <v>59</v>
      </c>
      <c r="U191" s="155">
        <v>59</v>
      </c>
      <c r="V191" s="155">
        <v>59</v>
      </c>
      <c r="W191" s="155">
        <v>59</v>
      </c>
      <c r="Y191" s="169" t="s">
        <v>392</v>
      </c>
      <c r="Z191" s="161">
        <v>87</v>
      </c>
      <c r="AA191" s="161">
        <v>87</v>
      </c>
      <c r="AB191" s="161">
        <v>87</v>
      </c>
      <c r="AC191" s="161">
        <v>81</v>
      </c>
      <c r="AD191" s="161">
        <v>76</v>
      </c>
      <c r="AE191" s="161">
        <v>71</v>
      </c>
      <c r="AF191" s="161">
        <v>65</v>
      </c>
      <c r="AG191" s="161">
        <v>54</v>
      </c>
      <c r="AH191" s="161">
        <v>52</v>
      </c>
      <c r="AI191" s="161">
        <v>50</v>
      </c>
      <c r="AJ191" s="161">
        <v>48</v>
      </c>
      <c r="AK191" s="161">
        <v>46</v>
      </c>
      <c r="AL191" s="161">
        <v>46</v>
      </c>
      <c r="AM191" s="161">
        <v>46</v>
      </c>
      <c r="AN191" s="161">
        <v>46</v>
      </c>
      <c r="AO191" s="161">
        <v>46</v>
      </c>
      <c r="AP191" s="161">
        <v>46</v>
      </c>
      <c r="AQ191" s="161">
        <v>46</v>
      </c>
      <c r="AR191" s="161">
        <v>46</v>
      </c>
      <c r="AS191" s="161">
        <v>46</v>
      </c>
      <c r="AT191" s="161">
        <v>46</v>
      </c>
      <c r="AU191" s="161">
        <v>46</v>
      </c>
    </row>
    <row r="192" spans="1:55" ht="12.75">
      <c r="A192" s="229" t="s">
        <v>393</v>
      </c>
      <c r="B192" s="155">
        <v>110</v>
      </c>
      <c r="C192" s="155">
        <v>110</v>
      </c>
      <c r="D192" s="155">
        <v>110</v>
      </c>
      <c r="E192" s="155">
        <v>104</v>
      </c>
      <c r="F192" s="155">
        <v>96</v>
      </c>
      <c r="G192" s="155">
        <v>89</v>
      </c>
      <c r="H192" s="155">
        <v>81</v>
      </c>
      <c r="I192" s="155">
        <v>68</v>
      </c>
      <c r="J192" s="155">
        <v>65</v>
      </c>
      <c r="K192" s="155">
        <v>63</v>
      </c>
      <c r="L192" s="155">
        <v>61</v>
      </c>
      <c r="M192" s="155">
        <v>58</v>
      </c>
      <c r="N192" s="155">
        <v>58</v>
      </c>
      <c r="O192" s="155">
        <v>58</v>
      </c>
      <c r="P192" s="155">
        <v>58</v>
      </c>
      <c r="Q192" s="155">
        <v>58</v>
      </c>
      <c r="R192" s="155">
        <v>58</v>
      </c>
      <c r="S192" s="155">
        <v>58</v>
      </c>
      <c r="T192" s="155">
        <v>58</v>
      </c>
      <c r="U192" s="155">
        <v>58</v>
      </c>
      <c r="V192" s="155">
        <v>58</v>
      </c>
      <c r="W192" s="155">
        <v>58</v>
      </c>
      <c r="Y192" s="228" t="s">
        <v>393</v>
      </c>
      <c r="Z192" s="161">
        <v>85</v>
      </c>
      <c r="AA192" s="161">
        <v>85</v>
      </c>
      <c r="AB192" s="161">
        <v>85</v>
      </c>
      <c r="AC192" s="161">
        <v>80</v>
      </c>
      <c r="AD192" s="161">
        <v>74</v>
      </c>
      <c r="AE192" s="161">
        <v>69</v>
      </c>
      <c r="AF192" s="161">
        <v>63</v>
      </c>
      <c r="AG192" s="161">
        <v>53</v>
      </c>
      <c r="AH192" s="161">
        <v>50</v>
      </c>
      <c r="AI192" s="161">
        <v>49</v>
      </c>
      <c r="AJ192" s="161">
        <v>47</v>
      </c>
      <c r="AK192" s="161">
        <v>45</v>
      </c>
      <c r="AL192" s="161">
        <v>45</v>
      </c>
      <c r="AM192" s="161">
        <v>45</v>
      </c>
      <c r="AN192" s="161">
        <v>45</v>
      </c>
      <c r="AO192" s="161">
        <v>45</v>
      </c>
      <c r="AP192" s="161">
        <v>45</v>
      </c>
      <c r="AQ192" s="161">
        <v>45</v>
      </c>
      <c r="AR192" s="161">
        <v>45</v>
      </c>
      <c r="AS192" s="161">
        <v>45</v>
      </c>
      <c r="AT192" s="161">
        <v>45</v>
      </c>
      <c r="AU192" s="161">
        <v>45</v>
      </c>
    </row>
    <row r="193" spans="1:47" ht="12.75">
      <c r="A193" s="189" t="s">
        <v>394</v>
      </c>
      <c r="B193" s="155">
        <v>107</v>
      </c>
      <c r="C193" s="155">
        <v>107</v>
      </c>
      <c r="D193" s="155">
        <v>107</v>
      </c>
      <c r="E193" s="155">
        <v>101</v>
      </c>
      <c r="F193" s="155">
        <v>93</v>
      </c>
      <c r="G193" s="155">
        <v>87</v>
      </c>
      <c r="H193" s="155">
        <v>80</v>
      </c>
      <c r="I193" s="155">
        <v>66</v>
      </c>
      <c r="J193" s="155">
        <v>63</v>
      </c>
      <c r="K193" s="155">
        <v>61</v>
      </c>
      <c r="L193" s="155">
        <v>58</v>
      </c>
      <c r="M193" s="155">
        <v>57</v>
      </c>
      <c r="N193" s="155">
        <v>55</v>
      </c>
      <c r="O193" s="155">
        <v>55</v>
      </c>
      <c r="P193" s="155">
        <v>55</v>
      </c>
      <c r="Q193" s="155">
        <v>55</v>
      </c>
      <c r="R193" s="155">
        <v>55</v>
      </c>
      <c r="S193" s="155">
        <v>55</v>
      </c>
      <c r="T193" s="155">
        <v>55</v>
      </c>
      <c r="U193" s="155">
        <v>55</v>
      </c>
      <c r="V193" s="155">
        <v>55</v>
      </c>
      <c r="W193" s="155">
        <v>55</v>
      </c>
      <c r="Y193" s="166" t="s">
        <v>395</v>
      </c>
      <c r="Z193" s="161">
        <v>83</v>
      </c>
      <c r="AA193" s="161">
        <v>83</v>
      </c>
      <c r="AB193" s="161">
        <v>83</v>
      </c>
      <c r="AC193" s="161">
        <v>78</v>
      </c>
      <c r="AD193" s="161">
        <v>72</v>
      </c>
      <c r="AE193" s="161">
        <v>67</v>
      </c>
      <c r="AF193" s="161">
        <v>62</v>
      </c>
      <c r="AG193" s="161">
        <v>51</v>
      </c>
      <c r="AH193" s="161">
        <v>49</v>
      </c>
      <c r="AI193" s="161">
        <v>47</v>
      </c>
      <c r="AJ193" s="161">
        <v>45</v>
      </c>
      <c r="AK193" s="161">
        <v>44</v>
      </c>
      <c r="AL193" s="161">
        <v>43</v>
      </c>
      <c r="AM193" s="161">
        <v>43</v>
      </c>
      <c r="AN193" s="161">
        <v>43</v>
      </c>
      <c r="AO193" s="161">
        <v>43</v>
      </c>
      <c r="AP193" s="161">
        <v>43</v>
      </c>
      <c r="AQ193" s="161">
        <v>43</v>
      </c>
      <c r="AR193" s="161">
        <v>43</v>
      </c>
      <c r="AS193" s="161">
        <v>43</v>
      </c>
      <c r="AT193" s="161">
        <v>43</v>
      </c>
      <c r="AU193" s="161">
        <v>43</v>
      </c>
    </row>
    <row r="194" spans="1:47" ht="15">
      <c r="A194" s="150" t="s">
        <v>328</v>
      </c>
      <c r="B194" s="151" t="s">
        <v>24</v>
      </c>
      <c r="C194" s="151" t="s">
        <v>25</v>
      </c>
      <c r="D194" s="151" t="s">
        <v>26</v>
      </c>
      <c r="E194" s="151" t="s">
        <v>27</v>
      </c>
      <c r="F194" s="151" t="s">
        <v>28</v>
      </c>
      <c r="G194" s="151" t="s">
        <v>74</v>
      </c>
      <c r="H194" s="151" t="s">
        <v>75</v>
      </c>
      <c r="I194" s="151" t="s">
        <v>76</v>
      </c>
      <c r="J194" s="151" t="s">
        <v>77</v>
      </c>
      <c r="K194" s="151" t="s">
        <v>78</v>
      </c>
      <c r="L194" s="151" t="s">
        <v>79</v>
      </c>
      <c r="M194" s="151" t="s">
        <v>80</v>
      </c>
      <c r="N194" s="16" t="s">
        <v>81</v>
      </c>
      <c r="O194" s="16" t="s">
        <v>82</v>
      </c>
      <c r="P194" s="16" t="s">
        <v>83</v>
      </c>
      <c r="Q194" s="16" t="s">
        <v>84</v>
      </c>
      <c r="R194" s="151" t="s">
        <v>85</v>
      </c>
      <c r="S194" s="16" t="s">
        <v>86</v>
      </c>
      <c r="T194" s="16" t="s">
        <v>87</v>
      </c>
      <c r="U194" s="16" t="s">
        <v>88</v>
      </c>
      <c r="V194" s="16" t="s">
        <v>89</v>
      </c>
      <c r="W194" s="151" t="s">
        <v>90</v>
      </c>
      <c r="Y194" s="222" t="s">
        <v>328</v>
      </c>
      <c r="Z194" s="43" t="s">
        <v>24</v>
      </c>
      <c r="AA194" s="43" t="s">
        <v>25</v>
      </c>
      <c r="AB194" s="43" t="s">
        <v>26</v>
      </c>
      <c r="AC194" s="43" t="s">
        <v>27</v>
      </c>
      <c r="AD194" s="43" t="s">
        <v>28</v>
      </c>
      <c r="AE194" s="43" t="s">
        <v>74</v>
      </c>
      <c r="AF194" s="43" t="s">
        <v>75</v>
      </c>
      <c r="AG194" s="43" t="s">
        <v>76</v>
      </c>
      <c r="AH194" s="43" t="s">
        <v>77</v>
      </c>
      <c r="AI194" s="43" t="s">
        <v>78</v>
      </c>
      <c r="AJ194" s="43" t="s">
        <v>79</v>
      </c>
      <c r="AK194" s="43" t="s">
        <v>80</v>
      </c>
      <c r="AL194" s="15" t="s">
        <v>81</v>
      </c>
      <c r="AM194" s="15" t="s">
        <v>82</v>
      </c>
      <c r="AN194" s="15" t="s">
        <v>83</v>
      </c>
      <c r="AO194" s="15" t="s">
        <v>84</v>
      </c>
      <c r="AP194" s="43" t="s">
        <v>85</v>
      </c>
      <c r="AQ194" s="15" t="s">
        <v>86</v>
      </c>
      <c r="AR194" s="15" t="s">
        <v>87</v>
      </c>
      <c r="AS194" s="15" t="s">
        <v>88</v>
      </c>
      <c r="AT194" s="15" t="s">
        <v>89</v>
      </c>
      <c r="AU194" s="43" t="s">
        <v>90</v>
      </c>
    </row>
    <row r="195" spans="1:47" ht="15">
      <c r="A195" s="41" t="s">
        <v>396</v>
      </c>
      <c r="B195" s="155">
        <f t="array" ref="B195:W196">INT($Z$195:$AU$196*1.3)</f>
        <v>104</v>
      </c>
      <c r="C195" s="155">
        <v>104</v>
      </c>
      <c r="D195" s="155">
        <v>104</v>
      </c>
      <c r="E195" s="155">
        <v>96</v>
      </c>
      <c r="F195" s="155">
        <v>88</v>
      </c>
      <c r="G195" s="155">
        <v>80</v>
      </c>
      <c r="H195" s="155">
        <v>72</v>
      </c>
      <c r="I195" s="155">
        <v>57</v>
      </c>
      <c r="J195" s="155">
        <v>52</v>
      </c>
      <c r="K195" s="155">
        <v>52</v>
      </c>
      <c r="L195" s="155">
        <v>52</v>
      </c>
      <c r="M195" s="155">
        <v>52</v>
      </c>
      <c r="N195" s="155">
        <v>52</v>
      </c>
      <c r="O195" s="155">
        <v>52</v>
      </c>
      <c r="P195" s="155">
        <v>52</v>
      </c>
      <c r="Q195" s="155">
        <v>52</v>
      </c>
      <c r="R195" s="155">
        <v>52</v>
      </c>
      <c r="S195" s="155">
        <v>52</v>
      </c>
      <c r="T195" s="155">
        <v>52</v>
      </c>
      <c r="U195" s="155">
        <v>52</v>
      </c>
      <c r="V195" s="155">
        <v>52</v>
      </c>
      <c r="W195" s="155">
        <v>52</v>
      </c>
      <c r="Y195" s="50" t="s">
        <v>397</v>
      </c>
      <c r="Z195" s="161">
        <v>80</v>
      </c>
      <c r="AA195" s="161">
        <v>80</v>
      </c>
      <c r="AB195" s="161">
        <v>80</v>
      </c>
      <c r="AC195" s="161">
        <v>74</v>
      </c>
      <c r="AD195" s="161">
        <v>68</v>
      </c>
      <c r="AE195" s="161">
        <v>62</v>
      </c>
      <c r="AF195" s="161">
        <v>56</v>
      </c>
      <c r="AG195" s="161">
        <v>44</v>
      </c>
      <c r="AH195" s="161">
        <v>40</v>
      </c>
      <c r="AI195" s="161">
        <v>40</v>
      </c>
      <c r="AJ195" s="161">
        <v>40</v>
      </c>
      <c r="AK195" s="161">
        <v>40</v>
      </c>
      <c r="AL195" s="161">
        <v>40</v>
      </c>
      <c r="AM195" s="161">
        <v>40</v>
      </c>
      <c r="AN195" s="161">
        <v>40</v>
      </c>
      <c r="AO195" s="161">
        <v>40</v>
      </c>
      <c r="AP195" s="161">
        <v>40</v>
      </c>
      <c r="AQ195" s="161">
        <v>40</v>
      </c>
      <c r="AR195" s="161">
        <v>40</v>
      </c>
      <c r="AS195" s="161">
        <v>40</v>
      </c>
      <c r="AT195" s="161">
        <v>40</v>
      </c>
      <c r="AU195" s="161">
        <v>40</v>
      </c>
    </row>
    <row r="196" spans="1:47" ht="12.75">
      <c r="A196" s="41" t="s">
        <v>398</v>
      </c>
      <c r="B196" s="155">
        <v>97</v>
      </c>
      <c r="C196" s="155">
        <v>97</v>
      </c>
      <c r="D196" s="155">
        <v>97</v>
      </c>
      <c r="E196" s="155">
        <v>89</v>
      </c>
      <c r="F196" s="155">
        <v>83</v>
      </c>
      <c r="G196" s="155">
        <v>75</v>
      </c>
      <c r="H196" s="155">
        <v>68</v>
      </c>
      <c r="I196" s="155">
        <v>53</v>
      </c>
      <c r="J196" s="155">
        <v>48</v>
      </c>
      <c r="K196" s="155">
        <v>48</v>
      </c>
      <c r="L196" s="155">
        <v>48</v>
      </c>
      <c r="M196" s="155">
        <v>48</v>
      </c>
      <c r="N196" s="155">
        <v>48</v>
      </c>
      <c r="O196" s="155">
        <v>48</v>
      </c>
      <c r="P196" s="155">
        <v>48</v>
      </c>
      <c r="Q196" s="155">
        <v>48</v>
      </c>
      <c r="R196" s="155">
        <v>48</v>
      </c>
      <c r="S196" s="155">
        <v>48</v>
      </c>
      <c r="T196" s="155">
        <v>48</v>
      </c>
      <c r="U196" s="155">
        <v>48</v>
      </c>
      <c r="V196" s="155">
        <v>48</v>
      </c>
      <c r="W196" s="155">
        <v>48</v>
      </c>
      <c r="Y196" s="228" t="s">
        <v>399</v>
      </c>
      <c r="Z196" s="161">
        <v>75</v>
      </c>
      <c r="AA196" s="161">
        <v>75</v>
      </c>
      <c r="AB196" s="161">
        <v>75</v>
      </c>
      <c r="AC196" s="161">
        <v>69</v>
      </c>
      <c r="AD196" s="161">
        <v>64</v>
      </c>
      <c r="AE196" s="161">
        <v>58</v>
      </c>
      <c r="AF196" s="161">
        <v>53</v>
      </c>
      <c r="AG196" s="161">
        <v>41</v>
      </c>
      <c r="AH196" s="161">
        <v>37</v>
      </c>
      <c r="AI196" s="161">
        <v>37</v>
      </c>
      <c r="AJ196" s="161">
        <v>37</v>
      </c>
      <c r="AK196" s="161">
        <v>37</v>
      </c>
      <c r="AL196" s="161">
        <v>37</v>
      </c>
      <c r="AM196" s="161">
        <v>37</v>
      </c>
      <c r="AN196" s="161">
        <v>37</v>
      </c>
      <c r="AO196" s="161">
        <v>37</v>
      </c>
      <c r="AP196" s="161">
        <v>37</v>
      </c>
      <c r="AQ196" s="161">
        <v>37</v>
      </c>
      <c r="AR196" s="161">
        <v>37</v>
      </c>
      <c r="AS196" s="161">
        <v>37</v>
      </c>
      <c r="AT196" s="161">
        <v>37</v>
      </c>
      <c r="AU196" s="161">
        <v>37</v>
      </c>
    </row>
    <row r="197" spans="1:47" ht="23.25">
      <c r="A197" s="230" t="s">
        <v>400</v>
      </c>
      <c r="B197" s="220"/>
      <c r="C197" s="220"/>
      <c r="D197" s="220"/>
      <c r="E197" s="220"/>
      <c r="F197" s="220"/>
      <c r="G197" s="220"/>
      <c r="H197" s="220"/>
      <c r="I197" s="220"/>
      <c r="J197" s="220"/>
      <c r="K197" s="220"/>
      <c r="L197" s="220"/>
      <c r="M197" s="220"/>
      <c r="N197" s="220"/>
      <c r="O197" s="220"/>
      <c r="P197" s="220"/>
      <c r="Q197" s="220"/>
      <c r="R197" s="220"/>
      <c r="S197" s="220"/>
      <c r="T197" s="220"/>
      <c r="U197" s="220"/>
      <c r="V197" s="220"/>
      <c r="W197" s="220"/>
      <c r="Y197" s="230" t="s">
        <v>400</v>
      </c>
    </row>
    <row r="198" spans="1:47" ht="15">
      <c r="A198" s="150" t="s">
        <v>323</v>
      </c>
      <c r="B198" s="151" t="s">
        <v>24</v>
      </c>
      <c r="C198" s="151" t="s">
        <v>25</v>
      </c>
      <c r="D198" s="151" t="s">
        <v>26</v>
      </c>
      <c r="E198" s="151" t="s">
        <v>27</v>
      </c>
      <c r="F198" s="151" t="s">
        <v>28</v>
      </c>
      <c r="G198" s="151" t="s">
        <v>74</v>
      </c>
      <c r="H198" s="151" t="s">
        <v>75</v>
      </c>
      <c r="I198" s="151" t="s">
        <v>76</v>
      </c>
      <c r="J198" s="151" t="s">
        <v>77</v>
      </c>
      <c r="K198" s="151" t="s">
        <v>78</v>
      </c>
      <c r="L198" s="151" t="s">
        <v>79</v>
      </c>
      <c r="M198" s="151" t="s">
        <v>80</v>
      </c>
      <c r="N198" s="16" t="s">
        <v>81</v>
      </c>
      <c r="O198" s="16" t="s">
        <v>82</v>
      </c>
      <c r="P198" s="16" t="s">
        <v>83</v>
      </c>
      <c r="Q198" s="16" t="s">
        <v>84</v>
      </c>
      <c r="R198" s="151" t="s">
        <v>85</v>
      </c>
      <c r="S198" s="16" t="s">
        <v>86</v>
      </c>
      <c r="T198" s="16" t="s">
        <v>87</v>
      </c>
      <c r="U198" s="16" t="s">
        <v>88</v>
      </c>
      <c r="V198" s="16" t="s">
        <v>89</v>
      </c>
      <c r="W198" s="151" t="s">
        <v>90</v>
      </c>
      <c r="Y198" s="222" t="s">
        <v>323</v>
      </c>
      <c r="Z198" s="43" t="s">
        <v>24</v>
      </c>
      <c r="AA198" s="43" t="s">
        <v>25</v>
      </c>
      <c r="AB198" s="43" t="s">
        <v>26</v>
      </c>
      <c r="AC198" s="43" t="s">
        <v>27</v>
      </c>
      <c r="AD198" s="43" t="s">
        <v>28</v>
      </c>
      <c r="AE198" s="43" t="s">
        <v>74</v>
      </c>
      <c r="AF198" s="43" t="s">
        <v>75</v>
      </c>
      <c r="AG198" s="43" t="s">
        <v>76</v>
      </c>
      <c r="AH198" s="43" t="s">
        <v>77</v>
      </c>
      <c r="AI198" s="43" t="s">
        <v>78</v>
      </c>
      <c r="AJ198" s="43" t="s">
        <v>79</v>
      </c>
      <c r="AK198" s="43" t="s">
        <v>80</v>
      </c>
      <c r="AL198" s="15" t="s">
        <v>81</v>
      </c>
      <c r="AM198" s="15" t="s">
        <v>82</v>
      </c>
      <c r="AN198" s="15" t="s">
        <v>83</v>
      </c>
      <c r="AO198" s="15" t="s">
        <v>84</v>
      </c>
      <c r="AP198" s="43" t="s">
        <v>85</v>
      </c>
      <c r="AQ198" s="15" t="s">
        <v>86</v>
      </c>
      <c r="AR198" s="15" t="s">
        <v>87</v>
      </c>
      <c r="AS198" s="15" t="s">
        <v>88</v>
      </c>
      <c r="AT198" s="15" t="s">
        <v>89</v>
      </c>
      <c r="AU198" s="43" t="s">
        <v>90</v>
      </c>
    </row>
    <row r="199" spans="1:47" ht="15">
      <c r="A199" s="8" t="s">
        <v>55</v>
      </c>
      <c r="B199" s="164">
        <f t="array" ref="B199:W203">INT($Z$199:$AU$203*1.3)</f>
        <v>117</v>
      </c>
      <c r="C199" s="155">
        <v>117</v>
      </c>
      <c r="D199" s="155">
        <v>117</v>
      </c>
      <c r="E199" s="155">
        <v>117</v>
      </c>
      <c r="F199" s="155">
        <v>117</v>
      </c>
      <c r="G199" s="155">
        <v>111</v>
      </c>
      <c r="H199" s="155">
        <v>107</v>
      </c>
      <c r="I199" s="155">
        <v>98</v>
      </c>
      <c r="J199" s="155">
        <v>89</v>
      </c>
      <c r="K199" s="155">
        <v>81</v>
      </c>
      <c r="L199" s="155">
        <v>72</v>
      </c>
      <c r="M199" s="155">
        <v>71</v>
      </c>
      <c r="N199" s="155">
        <v>71</v>
      </c>
      <c r="O199" s="155">
        <v>70</v>
      </c>
      <c r="P199" s="155">
        <v>70</v>
      </c>
      <c r="Q199" s="155">
        <v>70</v>
      </c>
      <c r="R199" s="155">
        <v>68</v>
      </c>
      <c r="S199" s="155">
        <v>68</v>
      </c>
      <c r="T199" s="155">
        <v>68</v>
      </c>
      <c r="U199" s="155">
        <v>67</v>
      </c>
      <c r="V199" s="155">
        <v>67</v>
      </c>
      <c r="W199" s="155">
        <v>67</v>
      </c>
      <c r="Y199" s="169" t="s">
        <v>55</v>
      </c>
      <c r="Z199" s="161">
        <v>90</v>
      </c>
      <c r="AA199" s="161">
        <v>90</v>
      </c>
      <c r="AB199" s="161">
        <v>90</v>
      </c>
      <c r="AC199" s="161">
        <v>90</v>
      </c>
      <c r="AD199" s="161">
        <v>90</v>
      </c>
      <c r="AE199" s="161">
        <v>86</v>
      </c>
      <c r="AF199" s="161">
        <v>83</v>
      </c>
      <c r="AG199" s="161">
        <v>76</v>
      </c>
      <c r="AH199" s="161">
        <v>69</v>
      </c>
      <c r="AI199" s="161">
        <v>63</v>
      </c>
      <c r="AJ199" s="161">
        <v>56</v>
      </c>
      <c r="AK199" s="161">
        <v>55</v>
      </c>
      <c r="AL199" s="161">
        <v>55</v>
      </c>
      <c r="AM199" s="161">
        <v>54</v>
      </c>
      <c r="AN199" s="161">
        <v>54</v>
      </c>
      <c r="AO199" s="161">
        <v>54</v>
      </c>
      <c r="AP199" s="161">
        <v>53</v>
      </c>
      <c r="AQ199" s="161">
        <v>53</v>
      </c>
      <c r="AR199" s="161">
        <v>53</v>
      </c>
      <c r="AS199" s="161">
        <v>52</v>
      </c>
      <c r="AT199" s="161">
        <v>52</v>
      </c>
      <c r="AU199" s="161">
        <v>52</v>
      </c>
    </row>
    <row r="200" spans="1:47" ht="15">
      <c r="A200" s="50" t="s">
        <v>61</v>
      </c>
      <c r="B200" s="231">
        <v>113</v>
      </c>
      <c r="C200" s="155">
        <v>113</v>
      </c>
      <c r="D200" s="155">
        <v>113</v>
      </c>
      <c r="E200" s="155">
        <v>113</v>
      </c>
      <c r="F200" s="155">
        <v>113</v>
      </c>
      <c r="G200" s="155">
        <v>109</v>
      </c>
      <c r="H200" s="155">
        <v>104</v>
      </c>
      <c r="I200" s="155">
        <v>96</v>
      </c>
      <c r="J200" s="155">
        <v>87</v>
      </c>
      <c r="K200" s="155">
        <v>79</v>
      </c>
      <c r="L200" s="155">
        <v>70</v>
      </c>
      <c r="M200" s="155">
        <v>68</v>
      </c>
      <c r="N200" s="155">
        <v>68</v>
      </c>
      <c r="O200" s="155">
        <v>68</v>
      </c>
      <c r="P200" s="155">
        <v>67</v>
      </c>
      <c r="Q200" s="155">
        <v>67</v>
      </c>
      <c r="R200" s="155">
        <v>67</v>
      </c>
      <c r="S200" s="156">
        <v>66</v>
      </c>
      <c r="T200" s="156">
        <v>66</v>
      </c>
      <c r="U200" s="156">
        <v>66</v>
      </c>
      <c r="V200" s="156">
        <v>65</v>
      </c>
      <c r="W200" s="156">
        <v>65</v>
      </c>
      <c r="Y200" s="157" t="s">
        <v>61</v>
      </c>
      <c r="Z200" s="161">
        <v>87</v>
      </c>
      <c r="AA200" s="161">
        <v>87</v>
      </c>
      <c r="AB200" s="161">
        <v>87</v>
      </c>
      <c r="AC200" s="161">
        <v>87</v>
      </c>
      <c r="AD200" s="161">
        <v>87</v>
      </c>
      <c r="AE200" s="161">
        <v>84</v>
      </c>
      <c r="AF200" s="161">
        <v>80</v>
      </c>
      <c r="AG200" s="161">
        <v>74</v>
      </c>
      <c r="AH200" s="161">
        <v>67</v>
      </c>
      <c r="AI200" s="161">
        <v>61</v>
      </c>
      <c r="AJ200" s="161">
        <v>54</v>
      </c>
      <c r="AK200" s="161">
        <v>53</v>
      </c>
      <c r="AL200" s="161">
        <v>53</v>
      </c>
      <c r="AM200" s="161">
        <v>53</v>
      </c>
      <c r="AN200" s="161">
        <v>52</v>
      </c>
      <c r="AO200" s="161">
        <v>52</v>
      </c>
      <c r="AP200" s="161">
        <v>52</v>
      </c>
      <c r="AQ200" s="161">
        <v>51</v>
      </c>
      <c r="AR200" s="161">
        <v>51</v>
      </c>
      <c r="AS200" s="161">
        <v>51</v>
      </c>
      <c r="AT200" s="161">
        <v>50</v>
      </c>
      <c r="AU200" s="161">
        <v>50</v>
      </c>
    </row>
    <row r="201" spans="1:47" ht="15">
      <c r="A201" s="50" t="s">
        <v>326</v>
      </c>
      <c r="B201" s="231">
        <v>110</v>
      </c>
      <c r="C201" s="155">
        <v>110</v>
      </c>
      <c r="D201" s="155">
        <v>110</v>
      </c>
      <c r="E201" s="155">
        <v>110</v>
      </c>
      <c r="F201" s="155">
        <v>110</v>
      </c>
      <c r="G201" s="155">
        <v>106</v>
      </c>
      <c r="H201" s="155">
        <v>101</v>
      </c>
      <c r="I201" s="155">
        <v>93</v>
      </c>
      <c r="J201" s="155">
        <v>84</v>
      </c>
      <c r="K201" s="155">
        <v>76</v>
      </c>
      <c r="L201" s="155">
        <v>68</v>
      </c>
      <c r="M201" s="155">
        <v>67</v>
      </c>
      <c r="N201" s="155">
        <v>67</v>
      </c>
      <c r="O201" s="155">
        <v>66</v>
      </c>
      <c r="P201" s="155">
        <v>66</v>
      </c>
      <c r="Q201" s="156">
        <v>66</v>
      </c>
      <c r="R201" s="156">
        <v>65</v>
      </c>
      <c r="S201" s="156">
        <v>65</v>
      </c>
      <c r="T201" s="156">
        <v>65</v>
      </c>
      <c r="U201" s="156">
        <v>63</v>
      </c>
      <c r="V201" s="156">
        <v>63</v>
      </c>
      <c r="W201" s="156">
        <v>63</v>
      </c>
      <c r="Y201" s="157" t="s">
        <v>326</v>
      </c>
      <c r="Z201" s="161">
        <v>85</v>
      </c>
      <c r="AA201" s="161">
        <v>85</v>
      </c>
      <c r="AB201" s="161">
        <v>85</v>
      </c>
      <c r="AC201" s="161">
        <v>85</v>
      </c>
      <c r="AD201" s="161">
        <v>85</v>
      </c>
      <c r="AE201" s="161">
        <v>82</v>
      </c>
      <c r="AF201" s="161">
        <v>78</v>
      </c>
      <c r="AG201" s="161">
        <v>72</v>
      </c>
      <c r="AH201" s="161">
        <v>65</v>
      </c>
      <c r="AI201" s="161">
        <v>59</v>
      </c>
      <c r="AJ201" s="161">
        <v>53</v>
      </c>
      <c r="AK201" s="161">
        <v>52</v>
      </c>
      <c r="AL201" s="161">
        <v>52</v>
      </c>
      <c r="AM201" s="161">
        <v>51</v>
      </c>
      <c r="AN201" s="161">
        <v>51</v>
      </c>
      <c r="AO201" s="161">
        <v>51</v>
      </c>
      <c r="AP201" s="161">
        <v>50</v>
      </c>
      <c r="AQ201" s="161">
        <v>50</v>
      </c>
      <c r="AR201" s="161">
        <v>50</v>
      </c>
      <c r="AS201" s="161">
        <v>49</v>
      </c>
      <c r="AT201" s="161">
        <v>49</v>
      </c>
      <c r="AU201" s="161">
        <v>49</v>
      </c>
    </row>
    <row r="202" spans="1:47" ht="15">
      <c r="A202" s="50" t="s">
        <v>401</v>
      </c>
      <c r="B202" s="231">
        <v>109</v>
      </c>
      <c r="C202" s="155">
        <v>109</v>
      </c>
      <c r="D202" s="155">
        <v>109</v>
      </c>
      <c r="E202" s="155">
        <v>109</v>
      </c>
      <c r="F202" s="155">
        <v>109</v>
      </c>
      <c r="G202" s="155">
        <v>105</v>
      </c>
      <c r="H202" s="155">
        <v>100</v>
      </c>
      <c r="I202" s="155">
        <v>92</v>
      </c>
      <c r="J202" s="155">
        <v>84</v>
      </c>
      <c r="K202" s="155">
        <v>75</v>
      </c>
      <c r="L202" s="155">
        <v>67</v>
      </c>
      <c r="M202" s="155">
        <v>66</v>
      </c>
      <c r="N202" s="155">
        <v>66</v>
      </c>
      <c r="O202" s="155">
        <v>66</v>
      </c>
      <c r="P202" s="155">
        <v>65</v>
      </c>
      <c r="Q202" s="155">
        <v>65</v>
      </c>
      <c r="R202" s="155">
        <v>65</v>
      </c>
      <c r="S202" s="155">
        <v>63</v>
      </c>
      <c r="T202" s="155">
        <v>63</v>
      </c>
      <c r="U202" s="155">
        <v>63</v>
      </c>
      <c r="V202" s="155">
        <v>63</v>
      </c>
      <c r="W202" s="155">
        <v>62</v>
      </c>
      <c r="Y202" s="157" t="s">
        <v>401</v>
      </c>
      <c r="Z202" s="161">
        <v>84</v>
      </c>
      <c r="AA202" s="161">
        <v>84</v>
      </c>
      <c r="AB202" s="161">
        <v>84</v>
      </c>
      <c r="AC202" s="161">
        <v>84</v>
      </c>
      <c r="AD202" s="161">
        <v>84</v>
      </c>
      <c r="AE202" s="161">
        <v>81</v>
      </c>
      <c r="AF202" s="161">
        <v>77</v>
      </c>
      <c r="AG202" s="161">
        <v>71</v>
      </c>
      <c r="AH202" s="161">
        <v>65</v>
      </c>
      <c r="AI202" s="161">
        <v>58</v>
      </c>
      <c r="AJ202" s="161">
        <v>52</v>
      </c>
      <c r="AK202" s="161">
        <v>51</v>
      </c>
      <c r="AL202" s="161">
        <v>51</v>
      </c>
      <c r="AM202" s="161">
        <v>51</v>
      </c>
      <c r="AN202" s="161">
        <v>50</v>
      </c>
      <c r="AO202" s="161">
        <v>50</v>
      </c>
      <c r="AP202" s="161">
        <v>50</v>
      </c>
      <c r="AQ202" s="161">
        <v>49</v>
      </c>
      <c r="AR202" s="161">
        <v>49</v>
      </c>
      <c r="AS202" s="161">
        <v>49</v>
      </c>
      <c r="AT202" s="161">
        <v>49</v>
      </c>
      <c r="AU202" s="161">
        <v>48</v>
      </c>
    </row>
    <row r="203" spans="1:47" ht="15">
      <c r="A203" s="8" t="s">
        <v>402</v>
      </c>
      <c r="B203" s="231">
        <v>106</v>
      </c>
      <c r="C203" s="155">
        <v>106</v>
      </c>
      <c r="D203" s="155">
        <v>106</v>
      </c>
      <c r="E203" s="155">
        <v>106</v>
      </c>
      <c r="F203" s="155">
        <v>106</v>
      </c>
      <c r="G203" s="155">
        <v>102</v>
      </c>
      <c r="H203" s="155">
        <v>98</v>
      </c>
      <c r="I203" s="155">
        <v>89</v>
      </c>
      <c r="J203" s="155">
        <v>81</v>
      </c>
      <c r="K203" s="155">
        <v>74</v>
      </c>
      <c r="L203" s="155">
        <v>66</v>
      </c>
      <c r="M203" s="155">
        <v>65</v>
      </c>
      <c r="N203" s="155">
        <v>65</v>
      </c>
      <c r="O203" s="155">
        <v>63</v>
      </c>
      <c r="P203" s="155">
        <v>63</v>
      </c>
      <c r="Q203" s="155">
        <v>63</v>
      </c>
      <c r="R203" s="155">
        <v>63</v>
      </c>
      <c r="S203" s="155">
        <v>62</v>
      </c>
      <c r="T203" s="155">
        <v>62</v>
      </c>
      <c r="U203" s="155">
        <v>62</v>
      </c>
      <c r="V203" s="155">
        <v>61</v>
      </c>
      <c r="W203" s="155">
        <v>61</v>
      </c>
      <c r="Y203" s="169" t="s">
        <v>402</v>
      </c>
      <c r="Z203" s="161">
        <v>82</v>
      </c>
      <c r="AA203" s="161">
        <v>82</v>
      </c>
      <c r="AB203" s="161">
        <v>82</v>
      </c>
      <c r="AC203" s="161">
        <v>82</v>
      </c>
      <c r="AD203" s="161">
        <v>82</v>
      </c>
      <c r="AE203" s="161">
        <v>79</v>
      </c>
      <c r="AF203" s="161">
        <v>76</v>
      </c>
      <c r="AG203" s="161">
        <v>69</v>
      </c>
      <c r="AH203" s="161">
        <v>63</v>
      </c>
      <c r="AI203" s="161">
        <v>57</v>
      </c>
      <c r="AJ203" s="161">
        <v>51</v>
      </c>
      <c r="AK203" s="161">
        <v>50</v>
      </c>
      <c r="AL203" s="161">
        <v>50</v>
      </c>
      <c r="AM203" s="161">
        <v>49</v>
      </c>
      <c r="AN203" s="161">
        <v>49</v>
      </c>
      <c r="AO203" s="161">
        <v>49</v>
      </c>
      <c r="AP203" s="161">
        <v>49</v>
      </c>
      <c r="AQ203" s="161">
        <v>48</v>
      </c>
      <c r="AR203" s="161">
        <v>48</v>
      </c>
      <c r="AS203" s="161">
        <v>48</v>
      </c>
      <c r="AT203" s="161">
        <v>47</v>
      </c>
      <c r="AU203" s="161">
        <v>47</v>
      </c>
    </row>
    <row r="204" spans="1:47" ht="22.5">
      <c r="A204" s="219" t="s">
        <v>403</v>
      </c>
      <c r="Y204" s="219" t="s">
        <v>403</v>
      </c>
    </row>
    <row r="205" spans="1:47" ht="15">
      <c r="A205" s="52" t="s">
        <v>404</v>
      </c>
      <c r="B205" s="15" t="s">
        <v>121</v>
      </c>
      <c r="C205" s="15" t="s">
        <v>122</v>
      </c>
      <c r="D205" s="15" t="s">
        <v>123</v>
      </c>
      <c r="E205" s="15" t="s">
        <v>124</v>
      </c>
      <c r="F205" s="15" t="s">
        <v>125</v>
      </c>
      <c r="G205" s="15" t="s">
        <v>126</v>
      </c>
      <c r="H205" s="15" t="s">
        <v>127</v>
      </c>
      <c r="I205" s="15" t="s">
        <v>128</v>
      </c>
      <c r="J205" s="15" t="s">
        <v>129</v>
      </c>
      <c r="K205" s="15" t="s">
        <v>130</v>
      </c>
      <c r="L205" s="15" t="s">
        <v>131</v>
      </c>
      <c r="M205" s="15" t="s">
        <v>132</v>
      </c>
      <c r="N205" s="15" t="s">
        <v>24</v>
      </c>
      <c r="O205" s="15" t="s">
        <v>25</v>
      </c>
      <c r="P205" s="15" t="s">
        <v>26</v>
      </c>
      <c r="Q205" s="15" t="s">
        <v>27</v>
      </c>
      <c r="R205" s="15" t="s">
        <v>28</v>
      </c>
      <c r="S205" s="15" t="s">
        <v>74</v>
      </c>
      <c r="T205" s="15" t="s">
        <v>75</v>
      </c>
      <c r="U205" s="15" t="s">
        <v>133</v>
      </c>
      <c r="V205" s="15" t="s">
        <v>76</v>
      </c>
      <c r="W205" s="15" t="s">
        <v>134</v>
      </c>
      <c r="Z205" s="15" t="s">
        <v>121</v>
      </c>
      <c r="AA205" s="15" t="s">
        <v>122</v>
      </c>
      <c r="AB205" s="15" t="s">
        <v>123</v>
      </c>
      <c r="AC205" s="15" t="s">
        <v>124</v>
      </c>
      <c r="AD205" s="15" t="s">
        <v>125</v>
      </c>
      <c r="AE205" s="15" t="s">
        <v>126</v>
      </c>
      <c r="AF205" s="15" t="s">
        <v>127</v>
      </c>
      <c r="AG205" s="15" t="s">
        <v>128</v>
      </c>
      <c r="AH205" s="15" t="s">
        <v>129</v>
      </c>
      <c r="AI205" s="15" t="s">
        <v>130</v>
      </c>
      <c r="AJ205" s="15" t="s">
        <v>131</v>
      </c>
      <c r="AK205" s="15" t="s">
        <v>132</v>
      </c>
      <c r="AL205" s="15" t="s">
        <v>24</v>
      </c>
      <c r="AM205" s="15" t="s">
        <v>25</v>
      </c>
      <c r="AN205" s="15" t="s">
        <v>26</v>
      </c>
      <c r="AO205" s="15" t="s">
        <v>27</v>
      </c>
      <c r="AP205" s="15" t="s">
        <v>28</v>
      </c>
      <c r="AQ205" s="15" t="s">
        <v>74</v>
      </c>
      <c r="AR205" s="15" t="s">
        <v>75</v>
      </c>
      <c r="AS205" s="15" t="s">
        <v>133</v>
      </c>
      <c r="AT205" s="15" t="s">
        <v>76</v>
      </c>
      <c r="AU205" s="15" t="s">
        <v>134</v>
      </c>
    </row>
    <row r="206" spans="1:47" ht="15">
      <c r="A206" s="50" t="s">
        <v>405</v>
      </c>
      <c r="B206" s="164">
        <f t="array" ref="B206:W212">INT($Z$206:$AU$212*1.3)</f>
        <v>253</v>
      </c>
      <c r="C206" s="155">
        <v>244</v>
      </c>
      <c r="D206" s="155">
        <v>231</v>
      </c>
      <c r="E206" s="155">
        <v>213</v>
      </c>
      <c r="F206" s="155">
        <v>197</v>
      </c>
      <c r="G206" s="155">
        <v>183</v>
      </c>
      <c r="H206" s="155">
        <v>179</v>
      </c>
      <c r="I206" s="155">
        <v>174</v>
      </c>
      <c r="J206" s="155">
        <v>167</v>
      </c>
      <c r="K206" s="155">
        <v>162</v>
      </c>
      <c r="L206" s="155">
        <v>157</v>
      </c>
      <c r="M206" s="155">
        <v>152</v>
      </c>
      <c r="N206" s="155">
        <v>140</v>
      </c>
      <c r="O206" s="155">
        <v>130</v>
      </c>
      <c r="P206" s="155">
        <v>117</v>
      </c>
      <c r="Q206" s="155">
        <v>102</v>
      </c>
      <c r="R206" s="155">
        <v>89</v>
      </c>
      <c r="S206" s="155">
        <v>76</v>
      </c>
      <c r="T206" s="155">
        <v>74</v>
      </c>
      <c r="U206" s="155">
        <v>72</v>
      </c>
      <c r="V206" s="155">
        <v>71</v>
      </c>
      <c r="W206" s="155">
        <v>71</v>
      </c>
      <c r="Y206" s="50" t="s">
        <v>405</v>
      </c>
      <c r="Z206" s="161">
        <v>195</v>
      </c>
      <c r="AA206" s="161">
        <v>188</v>
      </c>
      <c r="AB206" s="161">
        <v>178</v>
      </c>
      <c r="AC206" s="161">
        <v>164</v>
      </c>
      <c r="AD206" s="161">
        <v>152</v>
      </c>
      <c r="AE206" s="161">
        <v>141</v>
      </c>
      <c r="AF206" s="161">
        <v>138</v>
      </c>
      <c r="AG206" s="161">
        <v>134</v>
      </c>
      <c r="AH206" s="161">
        <v>129</v>
      </c>
      <c r="AI206" s="161">
        <v>125</v>
      </c>
      <c r="AJ206" s="161">
        <v>121</v>
      </c>
      <c r="AK206" s="161">
        <v>117</v>
      </c>
      <c r="AL206" s="161">
        <v>108</v>
      </c>
      <c r="AM206" s="161">
        <v>100</v>
      </c>
      <c r="AN206" s="161">
        <v>90</v>
      </c>
      <c r="AO206" s="161">
        <v>79</v>
      </c>
      <c r="AP206" s="161">
        <v>69</v>
      </c>
      <c r="AQ206" s="161">
        <v>59</v>
      </c>
      <c r="AR206" s="161">
        <v>57</v>
      </c>
      <c r="AS206" s="161">
        <v>56</v>
      </c>
      <c r="AT206" s="161">
        <v>55</v>
      </c>
      <c r="AU206" s="161">
        <v>55</v>
      </c>
    </row>
    <row r="207" spans="1:47" ht="12.75">
      <c r="A207" s="232" t="s">
        <v>406</v>
      </c>
      <c r="B207" s="164">
        <v>253</v>
      </c>
      <c r="C207" s="155">
        <v>244</v>
      </c>
      <c r="D207" s="155">
        <v>231</v>
      </c>
      <c r="E207" s="155">
        <v>213</v>
      </c>
      <c r="F207" s="155">
        <v>197</v>
      </c>
      <c r="G207" s="155">
        <v>183</v>
      </c>
      <c r="H207" s="164">
        <v>179</v>
      </c>
      <c r="I207" s="155">
        <v>174</v>
      </c>
      <c r="J207" s="155">
        <v>167</v>
      </c>
      <c r="K207" s="155">
        <v>162</v>
      </c>
      <c r="L207" s="155">
        <v>157</v>
      </c>
      <c r="M207" s="155">
        <v>152</v>
      </c>
      <c r="N207" s="155">
        <v>140</v>
      </c>
      <c r="O207" s="155">
        <v>130</v>
      </c>
      <c r="P207" s="155">
        <v>117</v>
      </c>
      <c r="Q207" s="155">
        <v>102</v>
      </c>
      <c r="R207" s="155">
        <v>89</v>
      </c>
      <c r="S207" s="155">
        <v>76</v>
      </c>
      <c r="T207" s="155">
        <v>74</v>
      </c>
      <c r="U207" s="155">
        <v>72</v>
      </c>
      <c r="V207" s="155">
        <v>71</v>
      </c>
      <c r="W207" s="155">
        <v>71</v>
      </c>
      <c r="Y207" s="232" t="s">
        <v>406</v>
      </c>
      <c r="Z207" s="161">
        <v>195</v>
      </c>
      <c r="AA207" s="161">
        <v>188</v>
      </c>
      <c r="AB207" s="161">
        <v>178</v>
      </c>
      <c r="AC207" s="161">
        <v>164</v>
      </c>
      <c r="AD207" s="161">
        <v>152</v>
      </c>
      <c r="AE207" s="161">
        <v>141</v>
      </c>
      <c r="AF207" s="161">
        <v>138</v>
      </c>
      <c r="AG207" s="161">
        <v>134</v>
      </c>
      <c r="AH207" s="161">
        <v>129</v>
      </c>
      <c r="AI207" s="161">
        <v>125</v>
      </c>
      <c r="AJ207" s="161">
        <v>121</v>
      </c>
      <c r="AK207" s="161">
        <v>117</v>
      </c>
      <c r="AL207" s="161">
        <v>108</v>
      </c>
      <c r="AM207" s="161">
        <v>100</v>
      </c>
      <c r="AN207" s="161">
        <v>90</v>
      </c>
      <c r="AO207" s="161">
        <v>79</v>
      </c>
      <c r="AP207" s="161">
        <v>69</v>
      </c>
      <c r="AQ207" s="161">
        <v>59</v>
      </c>
      <c r="AR207" s="161">
        <v>57</v>
      </c>
      <c r="AS207" s="161">
        <v>56</v>
      </c>
      <c r="AT207" s="161">
        <v>55</v>
      </c>
      <c r="AU207" s="161">
        <v>55</v>
      </c>
    </row>
    <row r="208" spans="1:47" ht="12.75">
      <c r="A208" s="233" t="s">
        <v>407</v>
      </c>
      <c r="B208" s="234">
        <v>253</v>
      </c>
      <c r="C208" s="155">
        <v>244</v>
      </c>
      <c r="D208" s="155">
        <v>223</v>
      </c>
      <c r="E208" s="155">
        <v>208</v>
      </c>
      <c r="F208" s="155">
        <v>188</v>
      </c>
      <c r="G208" s="155">
        <v>170</v>
      </c>
      <c r="H208" s="155">
        <v>165</v>
      </c>
      <c r="I208" s="155">
        <v>159</v>
      </c>
      <c r="J208" s="155">
        <v>156</v>
      </c>
      <c r="K208" s="155">
        <v>152</v>
      </c>
      <c r="L208" s="155">
        <v>149</v>
      </c>
      <c r="M208" s="155">
        <v>146</v>
      </c>
      <c r="N208" s="155">
        <v>131</v>
      </c>
      <c r="O208" s="155">
        <v>114</v>
      </c>
      <c r="P208" s="155">
        <v>102</v>
      </c>
      <c r="Q208" s="155">
        <v>91</v>
      </c>
      <c r="R208" s="155">
        <v>79</v>
      </c>
      <c r="S208" s="155">
        <v>67</v>
      </c>
      <c r="T208" s="155">
        <v>66</v>
      </c>
      <c r="U208" s="155">
        <v>66</v>
      </c>
      <c r="V208" s="155">
        <v>65</v>
      </c>
      <c r="W208" s="155">
        <v>65</v>
      </c>
      <c r="Y208" s="233" t="s">
        <v>407</v>
      </c>
      <c r="Z208" s="161">
        <v>195</v>
      </c>
      <c r="AA208" s="161">
        <v>188</v>
      </c>
      <c r="AB208" s="161">
        <v>172</v>
      </c>
      <c r="AC208" s="161">
        <v>160</v>
      </c>
      <c r="AD208" s="161">
        <v>145</v>
      </c>
      <c r="AE208" s="161">
        <v>131</v>
      </c>
      <c r="AF208" s="161">
        <v>127</v>
      </c>
      <c r="AG208" s="161">
        <v>123</v>
      </c>
      <c r="AH208" s="161">
        <v>120</v>
      </c>
      <c r="AI208" s="161">
        <v>117</v>
      </c>
      <c r="AJ208" s="161">
        <v>115</v>
      </c>
      <c r="AK208" s="161">
        <v>113</v>
      </c>
      <c r="AL208" s="161">
        <v>101</v>
      </c>
      <c r="AM208" s="161">
        <v>88</v>
      </c>
      <c r="AN208" s="161">
        <v>79</v>
      </c>
      <c r="AO208" s="161">
        <v>70</v>
      </c>
      <c r="AP208" s="161">
        <v>61</v>
      </c>
      <c r="AQ208" s="161">
        <v>52</v>
      </c>
      <c r="AR208" s="161">
        <v>51</v>
      </c>
      <c r="AS208" s="161">
        <v>51</v>
      </c>
      <c r="AT208" s="161">
        <v>50</v>
      </c>
      <c r="AU208" s="161">
        <v>50</v>
      </c>
    </row>
    <row r="209" spans="1:47" ht="12.75">
      <c r="A209" s="227" t="s">
        <v>408</v>
      </c>
      <c r="B209" s="164">
        <v>253</v>
      </c>
      <c r="C209" s="155">
        <v>244</v>
      </c>
      <c r="D209" s="155">
        <v>223</v>
      </c>
      <c r="E209" s="155">
        <v>208</v>
      </c>
      <c r="F209" s="155">
        <v>188</v>
      </c>
      <c r="G209" s="155">
        <v>170</v>
      </c>
      <c r="H209" s="164">
        <v>165</v>
      </c>
      <c r="I209" s="155">
        <v>159</v>
      </c>
      <c r="J209" s="155">
        <v>156</v>
      </c>
      <c r="K209" s="155">
        <v>152</v>
      </c>
      <c r="L209" s="155">
        <v>149</v>
      </c>
      <c r="M209" s="155">
        <v>146</v>
      </c>
      <c r="N209" s="155">
        <v>131</v>
      </c>
      <c r="O209" s="155">
        <v>114</v>
      </c>
      <c r="P209" s="155">
        <v>102</v>
      </c>
      <c r="Q209" s="155">
        <v>91</v>
      </c>
      <c r="R209" s="155">
        <v>79</v>
      </c>
      <c r="S209" s="155">
        <v>67</v>
      </c>
      <c r="T209" s="155">
        <v>66</v>
      </c>
      <c r="U209" s="155">
        <v>66</v>
      </c>
      <c r="V209" s="155">
        <v>65</v>
      </c>
      <c r="W209" s="155">
        <v>65</v>
      </c>
      <c r="Y209" s="227" t="s">
        <v>408</v>
      </c>
      <c r="Z209" s="161">
        <v>195</v>
      </c>
      <c r="AA209" s="161">
        <v>188</v>
      </c>
      <c r="AB209" s="161">
        <v>172</v>
      </c>
      <c r="AC209" s="161">
        <v>160</v>
      </c>
      <c r="AD209" s="161">
        <v>145</v>
      </c>
      <c r="AE209" s="161">
        <v>131</v>
      </c>
      <c r="AF209" s="161">
        <v>127</v>
      </c>
      <c r="AG209" s="161">
        <v>123</v>
      </c>
      <c r="AH209" s="161">
        <v>120</v>
      </c>
      <c r="AI209" s="161">
        <v>117</v>
      </c>
      <c r="AJ209" s="161">
        <v>115</v>
      </c>
      <c r="AK209" s="161">
        <v>113</v>
      </c>
      <c r="AL209" s="161">
        <v>101</v>
      </c>
      <c r="AM209" s="161">
        <v>88</v>
      </c>
      <c r="AN209" s="161">
        <v>79</v>
      </c>
      <c r="AO209" s="161">
        <v>70</v>
      </c>
      <c r="AP209" s="161">
        <v>61</v>
      </c>
      <c r="AQ209" s="161">
        <v>52</v>
      </c>
      <c r="AR209" s="161">
        <v>51</v>
      </c>
      <c r="AS209" s="161">
        <v>51</v>
      </c>
      <c r="AT209" s="161">
        <v>50</v>
      </c>
      <c r="AU209" s="161">
        <v>50</v>
      </c>
    </row>
    <row r="210" spans="1:47" ht="12.75">
      <c r="A210" s="209" t="s">
        <v>409</v>
      </c>
      <c r="B210" s="164">
        <v>253</v>
      </c>
      <c r="C210" s="155">
        <v>244</v>
      </c>
      <c r="D210" s="155">
        <v>223</v>
      </c>
      <c r="E210" s="155">
        <v>202</v>
      </c>
      <c r="F210" s="155">
        <v>183</v>
      </c>
      <c r="G210" s="155">
        <v>162</v>
      </c>
      <c r="H210" s="155">
        <v>157</v>
      </c>
      <c r="I210" s="155">
        <v>150</v>
      </c>
      <c r="J210" s="155">
        <v>146</v>
      </c>
      <c r="K210" s="155">
        <v>143</v>
      </c>
      <c r="L210" s="155">
        <v>137</v>
      </c>
      <c r="M210" s="155">
        <v>133</v>
      </c>
      <c r="N210" s="155">
        <v>111</v>
      </c>
      <c r="O210" s="155">
        <v>89</v>
      </c>
      <c r="P210" s="155">
        <v>81</v>
      </c>
      <c r="Q210" s="155">
        <v>75</v>
      </c>
      <c r="R210" s="155">
        <v>68</v>
      </c>
      <c r="S210" s="155">
        <v>63</v>
      </c>
      <c r="T210" s="155">
        <v>61</v>
      </c>
      <c r="U210" s="155">
        <v>61</v>
      </c>
      <c r="V210" s="155">
        <v>59</v>
      </c>
      <c r="W210" s="155">
        <v>58</v>
      </c>
      <c r="Y210" s="209" t="s">
        <v>409</v>
      </c>
      <c r="Z210" s="161">
        <v>195</v>
      </c>
      <c r="AA210" s="161">
        <v>188</v>
      </c>
      <c r="AB210" s="161">
        <v>172</v>
      </c>
      <c r="AC210" s="161">
        <v>156</v>
      </c>
      <c r="AD210" s="161">
        <v>141</v>
      </c>
      <c r="AE210" s="161">
        <v>125</v>
      </c>
      <c r="AF210" s="161">
        <v>121</v>
      </c>
      <c r="AG210" s="161">
        <v>116</v>
      </c>
      <c r="AH210" s="161">
        <v>113</v>
      </c>
      <c r="AI210" s="161">
        <v>110</v>
      </c>
      <c r="AJ210" s="161">
        <v>106</v>
      </c>
      <c r="AK210" s="161">
        <v>103</v>
      </c>
      <c r="AL210" s="161">
        <v>86</v>
      </c>
      <c r="AM210" s="161">
        <v>69</v>
      </c>
      <c r="AN210" s="161">
        <v>63</v>
      </c>
      <c r="AO210" s="161">
        <v>58</v>
      </c>
      <c r="AP210" s="161">
        <v>53</v>
      </c>
      <c r="AQ210" s="161">
        <v>49</v>
      </c>
      <c r="AR210" s="161">
        <v>47</v>
      </c>
      <c r="AS210" s="161">
        <v>47</v>
      </c>
      <c r="AT210" s="161">
        <v>46</v>
      </c>
      <c r="AU210" s="161">
        <v>45</v>
      </c>
    </row>
    <row r="211" spans="1:47" ht="12.75">
      <c r="A211" s="209" t="s">
        <v>410</v>
      </c>
      <c r="B211" s="234">
        <v>253</v>
      </c>
      <c r="C211" s="155">
        <v>244</v>
      </c>
      <c r="D211" s="155">
        <v>223</v>
      </c>
      <c r="E211" s="155">
        <v>202</v>
      </c>
      <c r="F211" s="155">
        <v>183</v>
      </c>
      <c r="G211" s="155">
        <v>162</v>
      </c>
      <c r="H211" s="164">
        <v>157</v>
      </c>
      <c r="I211" s="155">
        <v>150</v>
      </c>
      <c r="J211" s="155">
        <v>146</v>
      </c>
      <c r="K211" s="155">
        <v>143</v>
      </c>
      <c r="L211" s="155">
        <v>137</v>
      </c>
      <c r="M211" s="155">
        <v>133</v>
      </c>
      <c r="N211" s="155">
        <v>111</v>
      </c>
      <c r="O211" s="155">
        <v>89</v>
      </c>
      <c r="P211" s="155">
        <v>81</v>
      </c>
      <c r="Q211" s="155">
        <v>75</v>
      </c>
      <c r="R211" s="155">
        <v>68</v>
      </c>
      <c r="S211" s="155">
        <v>63</v>
      </c>
      <c r="T211" s="155">
        <v>61</v>
      </c>
      <c r="U211" s="155">
        <v>61</v>
      </c>
      <c r="V211" s="155">
        <v>59</v>
      </c>
      <c r="W211" s="155">
        <v>58</v>
      </c>
      <c r="Y211" s="209" t="s">
        <v>410</v>
      </c>
      <c r="Z211" s="161">
        <v>195</v>
      </c>
      <c r="AA211" s="161">
        <v>188</v>
      </c>
      <c r="AB211" s="161">
        <v>172</v>
      </c>
      <c r="AC211" s="161">
        <v>156</v>
      </c>
      <c r="AD211" s="161">
        <v>141</v>
      </c>
      <c r="AE211" s="161">
        <v>125</v>
      </c>
      <c r="AF211" s="161">
        <v>121</v>
      </c>
      <c r="AG211" s="161">
        <v>116</v>
      </c>
      <c r="AH211" s="161">
        <v>113</v>
      </c>
      <c r="AI211" s="161">
        <v>110</v>
      </c>
      <c r="AJ211" s="161">
        <v>106</v>
      </c>
      <c r="AK211" s="161">
        <v>103</v>
      </c>
      <c r="AL211" s="161">
        <v>86</v>
      </c>
      <c r="AM211" s="161">
        <v>69</v>
      </c>
      <c r="AN211" s="161">
        <v>63</v>
      </c>
      <c r="AO211" s="161">
        <v>58</v>
      </c>
      <c r="AP211" s="161">
        <v>53</v>
      </c>
      <c r="AQ211" s="161">
        <v>49</v>
      </c>
      <c r="AR211" s="161">
        <v>47</v>
      </c>
      <c r="AS211" s="161">
        <v>47</v>
      </c>
      <c r="AT211" s="161">
        <v>46</v>
      </c>
      <c r="AU211" s="161">
        <v>45</v>
      </c>
    </row>
    <row r="212" spans="1:47" ht="12.75">
      <c r="A212" s="235" t="s">
        <v>411</v>
      </c>
      <c r="B212" s="236">
        <v>253</v>
      </c>
      <c r="C212" s="155">
        <v>244</v>
      </c>
      <c r="D212" s="155">
        <v>223</v>
      </c>
      <c r="E212" s="155">
        <v>202</v>
      </c>
      <c r="F212" s="155">
        <v>183</v>
      </c>
      <c r="G212" s="155">
        <v>162</v>
      </c>
      <c r="H212" s="164">
        <v>157</v>
      </c>
      <c r="I212" s="155">
        <v>150</v>
      </c>
      <c r="J212" s="155">
        <v>146</v>
      </c>
      <c r="K212" s="155">
        <v>143</v>
      </c>
      <c r="L212" s="155">
        <v>137</v>
      </c>
      <c r="M212" s="155">
        <v>133</v>
      </c>
      <c r="N212" s="155">
        <v>111</v>
      </c>
      <c r="O212" s="155">
        <v>89</v>
      </c>
      <c r="P212" s="155">
        <v>81</v>
      </c>
      <c r="Q212" s="155">
        <v>75</v>
      </c>
      <c r="R212" s="155">
        <v>68</v>
      </c>
      <c r="S212" s="155">
        <v>63</v>
      </c>
      <c r="T212" s="155">
        <v>61</v>
      </c>
      <c r="U212" s="155">
        <v>61</v>
      </c>
      <c r="V212" s="155">
        <v>59</v>
      </c>
      <c r="W212" s="155">
        <v>58</v>
      </c>
      <c r="Y212" s="235" t="s">
        <v>411</v>
      </c>
      <c r="Z212" s="161">
        <v>195</v>
      </c>
      <c r="AA212" s="161">
        <v>188</v>
      </c>
      <c r="AB212" s="161">
        <v>172</v>
      </c>
      <c r="AC212" s="161">
        <v>156</v>
      </c>
      <c r="AD212" s="161">
        <v>141</v>
      </c>
      <c r="AE212" s="161">
        <v>125</v>
      </c>
      <c r="AF212" s="161">
        <v>121</v>
      </c>
      <c r="AG212" s="161">
        <v>116</v>
      </c>
      <c r="AH212" s="161">
        <v>113</v>
      </c>
      <c r="AI212" s="161">
        <v>110</v>
      </c>
      <c r="AJ212" s="161">
        <v>106</v>
      </c>
      <c r="AK212" s="161">
        <v>103</v>
      </c>
      <c r="AL212" s="161">
        <v>86</v>
      </c>
      <c r="AM212" s="161">
        <v>69</v>
      </c>
      <c r="AN212" s="161">
        <v>63</v>
      </c>
      <c r="AO212" s="161">
        <v>58</v>
      </c>
      <c r="AP212" s="161">
        <v>53</v>
      </c>
      <c r="AQ212" s="161">
        <v>49</v>
      </c>
      <c r="AR212" s="161">
        <v>47</v>
      </c>
      <c r="AS212" s="161">
        <v>47</v>
      </c>
      <c r="AT212" s="161">
        <v>46</v>
      </c>
      <c r="AU212" s="161">
        <v>45</v>
      </c>
    </row>
    <row r="214" spans="1:47" ht="36">
      <c r="A214" s="145"/>
      <c r="B214" s="358" t="s">
        <v>412</v>
      </c>
      <c r="C214" s="346"/>
      <c r="D214" s="346"/>
      <c r="E214" s="346"/>
      <c r="F214" s="346"/>
      <c r="G214" s="346"/>
      <c r="H214" s="346"/>
      <c r="I214" s="346"/>
      <c r="J214" s="346"/>
      <c r="K214" s="346"/>
      <c r="L214" s="346"/>
      <c r="M214" s="346"/>
      <c r="N214" s="346"/>
      <c r="O214" s="346"/>
      <c r="P214" s="346"/>
      <c r="Q214" s="346"/>
      <c r="R214" s="346"/>
      <c r="S214" s="346"/>
      <c r="T214" s="346"/>
      <c r="U214" s="346"/>
      <c r="V214" s="346"/>
      <c r="W214" s="346"/>
      <c r="Y214" s="237" t="s">
        <v>413</v>
      </c>
    </row>
    <row r="215" spans="1:47" ht="15">
      <c r="A215" s="145" t="s">
        <v>322</v>
      </c>
      <c r="B215" s="238"/>
      <c r="C215" s="238"/>
      <c r="D215" s="238"/>
      <c r="E215" s="238"/>
      <c r="F215" s="238"/>
      <c r="G215" s="238"/>
      <c r="H215" s="238"/>
      <c r="I215" s="238"/>
      <c r="J215" s="238"/>
      <c r="K215" s="238"/>
      <c r="L215" s="238"/>
      <c r="M215" s="238"/>
      <c r="N215" s="238"/>
      <c r="O215" s="238"/>
      <c r="P215" s="238"/>
      <c r="Q215" s="238"/>
      <c r="R215" s="238"/>
      <c r="S215" s="238"/>
      <c r="T215" s="238"/>
      <c r="U215" s="238"/>
      <c r="V215" s="238"/>
      <c r="W215" s="238"/>
      <c r="Y215" s="145" t="s">
        <v>322</v>
      </c>
      <c r="Z215" s="221"/>
      <c r="AA215" s="221"/>
      <c r="AB215" s="221"/>
      <c r="AC215" s="221"/>
      <c r="AD215" s="221"/>
      <c r="AE215" s="221"/>
      <c r="AF215" s="221"/>
      <c r="AG215" s="221"/>
      <c r="AH215" s="221"/>
      <c r="AI215" s="221"/>
      <c r="AJ215" s="221"/>
      <c r="AK215" s="221"/>
      <c r="AL215" s="221"/>
      <c r="AM215" s="221"/>
      <c r="AN215" s="221"/>
      <c r="AO215" s="221"/>
      <c r="AP215" s="221"/>
      <c r="AQ215" s="221"/>
      <c r="AR215" s="221"/>
      <c r="AS215" s="221"/>
      <c r="AT215" s="221"/>
      <c r="AU215" s="221"/>
    </row>
    <row r="216" spans="1:47" ht="15">
      <c r="A216" s="150" t="s">
        <v>323</v>
      </c>
      <c r="B216" s="151" t="s">
        <v>24</v>
      </c>
      <c r="C216" s="151" t="s">
        <v>25</v>
      </c>
      <c r="D216" s="151" t="s">
        <v>26</v>
      </c>
      <c r="E216" s="151" t="s">
        <v>27</v>
      </c>
      <c r="F216" s="151" t="s">
        <v>28</v>
      </c>
      <c r="G216" s="151" t="s">
        <v>74</v>
      </c>
      <c r="H216" s="151" t="s">
        <v>75</v>
      </c>
      <c r="I216" s="151" t="s">
        <v>76</v>
      </c>
      <c r="J216" s="151" t="s">
        <v>77</v>
      </c>
      <c r="K216" s="151" t="s">
        <v>78</v>
      </c>
      <c r="L216" s="151" t="s">
        <v>79</v>
      </c>
      <c r="M216" s="151" t="s">
        <v>80</v>
      </c>
      <c r="N216" s="16" t="s">
        <v>81</v>
      </c>
      <c r="O216" s="16" t="s">
        <v>82</v>
      </c>
      <c r="P216" s="16" t="s">
        <v>83</v>
      </c>
      <c r="Q216" s="16" t="s">
        <v>84</v>
      </c>
      <c r="R216" s="151" t="s">
        <v>85</v>
      </c>
      <c r="S216" s="16" t="s">
        <v>86</v>
      </c>
      <c r="T216" s="16" t="s">
        <v>87</v>
      </c>
      <c r="U216" s="16" t="s">
        <v>88</v>
      </c>
      <c r="V216" s="16" t="s">
        <v>89</v>
      </c>
      <c r="W216" s="151" t="s">
        <v>90</v>
      </c>
      <c r="Y216" s="222" t="s">
        <v>323</v>
      </c>
      <c r="Z216" s="43" t="s">
        <v>24</v>
      </c>
      <c r="AA216" s="43" t="s">
        <v>25</v>
      </c>
      <c r="AB216" s="43" t="s">
        <v>26</v>
      </c>
      <c r="AC216" s="43" t="s">
        <v>27</v>
      </c>
      <c r="AD216" s="43" t="s">
        <v>28</v>
      </c>
      <c r="AE216" s="43" t="s">
        <v>74</v>
      </c>
      <c r="AF216" s="43" t="s">
        <v>75</v>
      </c>
      <c r="AG216" s="43" t="s">
        <v>76</v>
      </c>
      <c r="AH216" s="43" t="s">
        <v>77</v>
      </c>
      <c r="AI216" s="43" t="s">
        <v>78</v>
      </c>
      <c r="AJ216" s="43" t="s">
        <v>79</v>
      </c>
      <c r="AK216" s="43" t="s">
        <v>80</v>
      </c>
      <c r="AL216" s="15" t="s">
        <v>81</v>
      </c>
      <c r="AM216" s="15" t="s">
        <v>82</v>
      </c>
      <c r="AN216" s="15" t="s">
        <v>83</v>
      </c>
      <c r="AO216" s="15" t="s">
        <v>84</v>
      </c>
      <c r="AP216" s="43" t="s">
        <v>85</v>
      </c>
      <c r="AQ216" s="15" t="s">
        <v>86</v>
      </c>
      <c r="AR216" s="15" t="s">
        <v>87</v>
      </c>
      <c r="AS216" s="15" t="s">
        <v>88</v>
      </c>
      <c r="AT216" s="15" t="s">
        <v>89</v>
      </c>
      <c r="AU216" s="43" t="s">
        <v>90</v>
      </c>
    </row>
    <row r="217" spans="1:47" ht="15">
      <c r="A217" s="50" t="s">
        <v>46</v>
      </c>
      <c r="B217" s="155">
        <f t="array" ref="B217:W225">INT($Z$75:$AU$83*1.2)</f>
        <v>138</v>
      </c>
      <c r="C217" s="155">
        <v>138</v>
      </c>
      <c r="D217" s="155">
        <v>138</v>
      </c>
      <c r="E217" s="155">
        <v>138</v>
      </c>
      <c r="F217" s="155">
        <v>138</v>
      </c>
      <c r="G217" s="155">
        <v>133</v>
      </c>
      <c r="H217" s="155">
        <v>127</v>
      </c>
      <c r="I217" s="155">
        <v>116</v>
      </c>
      <c r="J217" s="155">
        <v>106</v>
      </c>
      <c r="K217" s="155">
        <v>96</v>
      </c>
      <c r="L217" s="155">
        <v>85</v>
      </c>
      <c r="M217" s="155">
        <v>84</v>
      </c>
      <c r="N217" s="155">
        <v>82</v>
      </c>
      <c r="O217" s="155">
        <v>81</v>
      </c>
      <c r="P217" s="155">
        <v>80</v>
      </c>
      <c r="Q217" s="156">
        <v>79</v>
      </c>
      <c r="R217" s="156">
        <v>78</v>
      </c>
      <c r="S217" s="156">
        <v>76</v>
      </c>
      <c r="T217" s="156">
        <v>75</v>
      </c>
      <c r="U217" s="156">
        <v>74</v>
      </c>
      <c r="V217" s="156">
        <v>73</v>
      </c>
      <c r="W217" s="156">
        <v>72</v>
      </c>
      <c r="Y217" s="50" t="s">
        <v>46</v>
      </c>
      <c r="Z217" s="161">
        <v>103</v>
      </c>
      <c r="AA217" s="161">
        <v>103</v>
      </c>
      <c r="AB217" s="161">
        <v>103</v>
      </c>
      <c r="AC217" s="161">
        <v>103</v>
      </c>
      <c r="AD217" s="161">
        <v>103</v>
      </c>
      <c r="AE217" s="161">
        <v>103</v>
      </c>
      <c r="AF217" s="161">
        <v>103</v>
      </c>
      <c r="AG217" s="161">
        <v>86</v>
      </c>
      <c r="AH217" s="161">
        <v>68</v>
      </c>
      <c r="AI217" s="161">
        <v>51</v>
      </c>
      <c r="AJ217" s="161">
        <v>47</v>
      </c>
      <c r="AK217" s="161">
        <v>47</v>
      </c>
      <c r="AL217" s="161">
        <v>47</v>
      </c>
      <c r="AM217" s="161">
        <v>47</v>
      </c>
      <c r="AN217" s="161">
        <v>47</v>
      </c>
      <c r="AO217" s="161">
        <v>47</v>
      </c>
      <c r="AP217" s="161">
        <v>47</v>
      </c>
      <c r="AQ217" s="161">
        <v>47</v>
      </c>
      <c r="AR217" s="161">
        <v>47</v>
      </c>
      <c r="AS217" s="161">
        <v>47</v>
      </c>
      <c r="AT217" s="161">
        <v>47</v>
      </c>
      <c r="AU217" s="161">
        <v>47</v>
      </c>
    </row>
    <row r="218" spans="1:47" ht="15">
      <c r="A218" s="50" t="s">
        <v>49</v>
      </c>
      <c r="B218" s="155">
        <v>132</v>
      </c>
      <c r="C218" s="155">
        <v>132</v>
      </c>
      <c r="D218" s="155">
        <v>132</v>
      </c>
      <c r="E218" s="155">
        <v>132</v>
      </c>
      <c r="F218" s="155">
        <v>132</v>
      </c>
      <c r="G218" s="155">
        <v>127</v>
      </c>
      <c r="H218" s="155">
        <v>122</v>
      </c>
      <c r="I218" s="155">
        <v>111</v>
      </c>
      <c r="J218" s="155">
        <v>102</v>
      </c>
      <c r="K218" s="155">
        <v>92</v>
      </c>
      <c r="L218" s="155">
        <v>81</v>
      </c>
      <c r="M218" s="155">
        <v>80</v>
      </c>
      <c r="N218" s="155">
        <v>79</v>
      </c>
      <c r="O218" s="155">
        <v>78</v>
      </c>
      <c r="P218" s="155">
        <v>76</v>
      </c>
      <c r="Q218" s="155">
        <v>75</v>
      </c>
      <c r="R218" s="156">
        <v>74</v>
      </c>
      <c r="S218" s="156">
        <v>73</v>
      </c>
      <c r="T218" s="156">
        <v>73</v>
      </c>
      <c r="U218" s="156">
        <v>72</v>
      </c>
      <c r="V218" s="156">
        <v>70</v>
      </c>
      <c r="W218" s="156">
        <v>69</v>
      </c>
      <c r="Y218" s="52" t="s">
        <v>64</v>
      </c>
      <c r="Z218" s="161">
        <v>87</v>
      </c>
      <c r="AA218" s="161">
        <v>87</v>
      </c>
      <c r="AB218" s="161">
        <v>87</v>
      </c>
      <c r="AC218" s="161">
        <v>87</v>
      </c>
      <c r="AD218" s="161">
        <v>87</v>
      </c>
      <c r="AE218" s="161">
        <v>87</v>
      </c>
      <c r="AF218" s="161">
        <v>87</v>
      </c>
      <c r="AG218" s="161">
        <v>72</v>
      </c>
      <c r="AH218" s="161">
        <v>58</v>
      </c>
      <c r="AI218" s="161">
        <v>43</v>
      </c>
      <c r="AJ218" s="161">
        <v>40</v>
      </c>
      <c r="AK218" s="161">
        <v>40</v>
      </c>
      <c r="AL218" s="161">
        <v>40</v>
      </c>
      <c r="AM218" s="161">
        <v>40</v>
      </c>
      <c r="AN218" s="161">
        <v>40</v>
      </c>
      <c r="AO218" s="161">
        <v>40</v>
      </c>
      <c r="AP218" s="161">
        <v>40</v>
      </c>
      <c r="AQ218" s="161">
        <v>40</v>
      </c>
      <c r="AR218" s="161">
        <v>40</v>
      </c>
      <c r="AS218" s="161">
        <v>40</v>
      </c>
      <c r="AT218" s="161">
        <v>40</v>
      </c>
      <c r="AU218" s="161">
        <v>40</v>
      </c>
    </row>
    <row r="219" spans="1:47" ht="15">
      <c r="A219" s="50" t="s">
        <v>324</v>
      </c>
      <c r="B219" s="164">
        <v>128</v>
      </c>
      <c r="C219" s="164">
        <v>128</v>
      </c>
      <c r="D219" s="164">
        <v>128</v>
      </c>
      <c r="E219" s="164">
        <v>128</v>
      </c>
      <c r="F219" s="164">
        <v>128</v>
      </c>
      <c r="G219" s="155">
        <v>123</v>
      </c>
      <c r="H219" s="155">
        <v>118</v>
      </c>
      <c r="I219" s="155">
        <v>109</v>
      </c>
      <c r="J219" s="155">
        <v>98</v>
      </c>
      <c r="K219" s="155">
        <v>88</v>
      </c>
      <c r="L219" s="155">
        <v>79</v>
      </c>
      <c r="M219" s="155">
        <v>78</v>
      </c>
      <c r="N219" s="155">
        <v>76</v>
      </c>
      <c r="O219" s="155">
        <v>75</v>
      </c>
      <c r="P219" s="155">
        <v>74</v>
      </c>
      <c r="Q219" s="155">
        <v>74</v>
      </c>
      <c r="R219" s="156">
        <v>73</v>
      </c>
      <c r="S219" s="156">
        <v>72</v>
      </c>
      <c r="T219" s="156">
        <v>70</v>
      </c>
      <c r="U219" s="156">
        <v>69</v>
      </c>
      <c r="V219" s="156">
        <v>68</v>
      </c>
      <c r="W219" s="156">
        <v>67</v>
      </c>
      <c r="Y219" s="222" t="s">
        <v>328</v>
      </c>
      <c r="Z219" s="43" t="s">
        <v>24</v>
      </c>
      <c r="AA219" s="43" t="s">
        <v>25</v>
      </c>
      <c r="AB219" s="43" t="s">
        <v>26</v>
      </c>
      <c r="AC219" s="43" t="s">
        <v>27</v>
      </c>
      <c r="AD219" s="43" t="s">
        <v>28</v>
      </c>
      <c r="AE219" s="43" t="s">
        <v>74</v>
      </c>
      <c r="AF219" s="43" t="s">
        <v>75</v>
      </c>
      <c r="AG219" s="43" t="s">
        <v>76</v>
      </c>
      <c r="AH219" s="43" t="s">
        <v>77</v>
      </c>
      <c r="AI219" s="43" t="s">
        <v>78</v>
      </c>
      <c r="AJ219" s="43" t="s">
        <v>79</v>
      </c>
      <c r="AK219" s="43" t="s">
        <v>80</v>
      </c>
      <c r="AL219" s="15" t="s">
        <v>81</v>
      </c>
      <c r="AM219" s="15" t="s">
        <v>82</v>
      </c>
      <c r="AN219" s="15" t="s">
        <v>83</v>
      </c>
      <c r="AO219" s="15" t="s">
        <v>84</v>
      </c>
      <c r="AP219" s="43" t="s">
        <v>85</v>
      </c>
      <c r="AQ219" s="15" t="s">
        <v>86</v>
      </c>
      <c r="AR219" s="15" t="s">
        <v>87</v>
      </c>
      <c r="AS219" s="15" t="s">
        <v>88</v>
      </c>
      <c r="AT219" s="15" t="s">
        <v>89</v>
      </c>
      <c r="AU219" s="43" t="s">
        <v>90</v>
      </c>
    </row>
    <row r="220" spans="1:47" ht="15">
      <c r="A220" s="165" t="s">
        <v>325</v>
      </c>
      <c r="B220" s="155">
        <v>126</v>
      </c>
      <c r="C220" s="155">
        <v>126</v>
      </c>
      <c r="D220" s="155">
        <v>126</v>
      </c>
      <c r="E220" s="155">
        <v>126</v>
      </c>
      <c r="F220" s="155">
        <v>126</v>
      </c>
      <c r="G220" s="155">
        <v>121</v>
      </c>
      <c r="H220" s="155">
        <v>116</v>
      </c>
      <c r="I220" s="155">
        <v>106</v>
      </c>
      <c r="J220" s="155">
        <v>97</v>
      </c>
      <c r="K220" s="155">
        <v>87</v>
      </c>
      <c r="L220" s="155">
        <v>78</v>
      </c>
      <c r="M220" s="155">
        <v>76</v>
      </c>
      <c r="N220" s="155">
        <v>75</v>
      </c>
      <c r="O220" s="155">
        <v>74</v>
      </c>
      <c r="P220" s="155">
        <v>73</v>
      </c>
      <c r="Q220" s="155">
        <v>72</v>
      </c>
      <c r="R220" s="156">
        <v>70</v>
      </c>
      <c r="S220" s="156">
        <v>70</v>
      </c>
      <c r="T220" s="156">
        <v>69</v>
      </c>
      <c r="U220" s="156">
        <v>68</v>
      </c>
      <c r="V220" s="156">
        <v>67</v>
      </c>
      <c r="W220" s="156">
        <v>66</v>
      </c>
      <c r="Y220" s="50" t="s">
        <v>46</v>
      </c>
      <c r="Z220" s="161">
        <v>103</v>
      </c>
      <c r="AA220" s="161">
        <v>103</v>
      </c>
      <c r="AB220" s="161">
        <v>103</v>
      </c>
      <c r="AC220" s="161">
        <v>103</v>
      </c>
      <c r="AD220" s="161">
        <v>103</v>
      </c>
      <c r="AE220" s="161">
        <v>103</v>
      </c>
      <c r="AF220" s="161">
        <v>103</v>
      </c>
      <c r="AG220" s="161">
        <v>85</v>
      </c>
      <c r="AH220" s="161">
        <v>67</v>
      </c>
      <c r="AI220" s="161">
        <v>49</v>
      </c>
      <c r="AJ220" s="161">
        <v>45</v>
      </c>
      <c r="AK220" s="161">
        <v>45</v>
      </c>
      <c r="AL220" s="161">
        <v>45</v>
      </c>
      <c r="AM220" s="161">
        <v>45</v>
      </c>
      <c r="AN220" s="161">
        <v>45</v>
      </c>
      <c r="AO220" s="161">
        <v>45</v>
      </c>
      <c r="AP220" s="161">
        <v>45</v>
      </c>
      <c r="AQ220" s="161">
        <v>45</v>
      </c>
      <c r="AR220" s="161">
        <v>45</v>
      </c>
      <c r="AS220" s="161">
        <v>45</v>
      </c>
      <c r="AT220" s="161">
        <v>45</v>
      </c>
      <c r="AU220" s="161">
        <v>45</v>
      </c>
    </row>
    <row r="221" spans="1:47" ht="15">
      <c r="A221" s="8" t="s">
        <v>58</v>
      </c>
      <c r="B221" s="155">
        <v>123</v>
      </c>
      <c r="C221" s="155">
        <v>123</v>
      </c>
      <c r="D221" s="155">
        <v>123</v>
      </c>
      <c r="E221" s="155">
        <v>123</v>
      </c>
      <c r="F221" s="155">
        <v>123</v>
      </c>
      <c r="G221" s="155">
        <v>118</v>
      </c>
      <c r="H221" s="155">
        <v>114</v>
      </c>
      <c r="I221" s="155">
        <v>104</v>
      </c>
      <c r="J221" s="155">
        <v>94</v>
      </c>
      <c r="K221" s="155">
        <v>86</v>
      </c>
      <c r="L221" s="155">
        <v>76</v>
      </c>
      <c r="M221" s="155">
        <v>75</v>
      </c>
      <c r="N221" s="155">
        <v>74</v>
      </c>
      <c r="O221" s="155">
        <v>73</v>
      </c>
      <c r="P221" s="155">
        <v>72</v>
      </c>
      <c r="Q221" s="156">
        <v>70</v>
      </c>
      <c r="R221" s="156">
        <v>69</v>
      </c>
      <c r="S221" s="156">
        <v>69</v>
      </c>
      <c r="T221" s="156">
        <v>68</v>
      </c>
      <c r="U221" s="156">
        <v>67</v>
      </c>
      <c r="V221" s="156">
        <v>66</v>
      </c>
      <c r="W221" s="156">
        <v>64</v>
      </c>
      <c r="Y221" s="225" t="s">
        <v>338</v>
      </c>
      <c r="Z221" s="221"/>
      <c r="AA221" s="221"/>
      <c r="AB221" s="221"/>
      <c r="AC221" s="221"/>
      <c r="AD221" s="221"/>
      <c r="AE221" s="221"/>
      <c r="AF221" s="221"/>
      <c r="AG221" s="221"/>
      <c r="AH221" s="221"/>
      <c r="AI221" s="221"/>
      <c r="AJ221" s="221"/>
      <c r="AK221" s="221"/>
      <c r="AL221" s="221"/>
      <c r="AM221" s="221"/>
      <c r="AN221" s="221"/>
      <c r="AO221" s="221"/>
      <c r="AP221" s="221"/>
      <c r="AQ221" s="221"/>
      <c r="AR221" s="221"/>
      <c r="AS221" s="221"/>
      <c r="AT221" s="221"/>
      <c r="AU221" s="221"/>
    </row>
    <row r="222" spans="1:47" ht="15">
      <c r="A222" s="52" t="s">
        <v>61</v>
      </c>
      <c r="B222" s="155">
        <v>122</v>
      </c>
      <c r="C222" s="155">
        <v>122</v>
      </c>
      <c r="D222" s="155">
        <v>122</v>
      </c>
      <c r="E222" s="155">
        <v>122</v>
      </c>
      <c r="F222" s="155">
        <v>122</v>
      </c>
      <c r="G222" s="155">
        <v>117</v>
      </c>
      <c r="H222" s="155">
        <v>112</v>
      </c>
      <c r="I222" s="155">
        <v>103</v>
      </c>
      <c r="J222" s="155">
        <v>94</v>
      </c>
      <c r="K222" s="155">
        <v>85</v>
      </c>
      <c r="L222" s="155">
        <v>75</v>
      </c>
      <c r="M222" s="155">
        <v>74</v>
      </c>
      <c r="N222" s="155">
        <v>73</v>
      </c>
      <c r="O222" s="155">
        <v>72</v>
      </c>
      <c r="P222" s="155">
        <v>70</v>
      </c>
      <c r="Q222" s="156">
        <v>70</v>
      </c>
      <c r="R222" s="156">
        <v>69</v>
      </c>
      <c r="S222" s="156">
        <v>68</v>
      </c>
      <c r="T222" s="156">
        <v>67</v>
      </c>
      <c r="U222" s="156">
        <v>66</v>
      </c>
      <c r="V222" s="156">
        <v>64</v>
      </c>
      <c r="W222" s="156">
        <v>64</v>
      </c>
      <c r="Y222" s="222" t="s">
        <v>323</v>
      </c>
      <c r="Z222" s="43" t="s">
        <v>24</v>
      </c>
      <c r="AA222" s="43" t="s">
        <v>25</v>
      </c>
      <c r="AB222" s="43" t="s">
        <v>26</v>
      </c>
      <c r="AC222" s="43" t="s">
        <v>27</v>
      </c>
      <c r="AD222" s="43" t="s">
        <v>28</v>
      </c>
      <c r="AE222" s="43" t="s">
        <v>74</v>
      </c>
      <c r="AF222" s="43" t="s">
        <v>75</v>
      </c>
      <c r="AG222" s="43" t="s">
        <v>76</v>
      </c>
      <c r="AH222" s="43" t="s">
        <v>77</v>
      </c>
      <c r="AI222" s="43" t="s">
        <v>78</v>
      </c>
      <c r="AJ222" s="43" t="s">
        <v>79</v>
      </c>
      <c r="AK222" s="43" t="s">
        <v>80</v>
      </c>
      <c r="AL222" s="15" t="s">
        <v>81</v>
      </c>
      <c r="AM222" s="15" t="s">
        <v>82</v>
      </c>
      <c r="AN222" s="15" t="s">
        <v>83</v>
      </c>
      <c r="AO222" s="15" t="s">
        <v>84</v>
      </c>
      <c r="AP222" s="43" t="s">
        <v>85</v>
      </c>
      <c r="AQ222" s="15" t="s">
        <v>86</v>
      </c>
      <c r="AR222" s="15" t="s">
        <v>87</v>
      </c>
      <c r="AS222" s="15" t="s">
        <v>88</v>
      </c>
      <c r="AT222" s="15" t="s">
        <v>89</v>
      </c>
      <c r="AU222" s="43" t="s">
        <v>90</v>
      </c>
    </row>
    <row r="223" spans="1:47" ht="15">
      <c r="A223" s="50" t="s">
        <v>326</v>
      </c>
      <c r="B223" s="155">
        <v>120</v>
      </c>
      <c r="C223" s="155">
        <v>120</v>
      </c>
      <c r="D223" s="155">
        <v>120</v>
      </c>
      <c r="E223" s="155">
        <v>120</v>
      </c>
      <c r="F223" s="155">
        <v>120</v>
      </c>
      <c r="G223" s="155">
        <v>115</v>
      </c>
      <c r="H223" s="155">
        <v>110</v>
      </c>
      <c r="I223" s="155">
        <v>102</v>
      </c>
      <c r="J223" s="155">
        <v>92</v>
      </c>
      <c r="K223" s="155">
        <v>82</v>
      </c>
      <c r="L223" s="155">
        <v>74</v>
      </c>
      <c r="M223" s="155">
        <v>73</v>
      </c>
      <c r="N223" s="155">
        <v>72</v>
      </c>
      <c r="O223" s="155">
        <v>70</v>
      </c>
      <c r="P223" s="155">
        <v>69</v>
      </c>
      <c r="Q223" s="156">
        <v>68</v>
      </c>
      <c r="R223" s="156">
        <v>68</v>
      </c>
      <c r="S223" s="156">
        <v>67</v>
      </c>
      <c r="T223" s="156">
        <v>66</v>
      </c>
      <c r="U223" s="156">
        <v>64</v>
      </c>
      <c r="V223" s="156">
        <v>63</v>
      </c>
      <c r="W223" s="156">
        <v>63</v>
      </c>
      <c r="Y223" s="52" t="s">
        <v>387</v>
      </c>
      <c r="Z223" s="161">
        <v>106</v>
      </c>
      <c r="AA223" s="161">
        <v>106</v>
      </c>
      <c r="AB223" s="161">
        <v>106</v>
      </c>
      <c r="AC223" s="161">
        <v>106</v>
      </c>
      <c r="AD223" s="161">
        <v>106</v>
      </c>
      <c r="AE223" s="161">
        <v>97</v>
      </c>
      <c r="AF223" s="161">
        <v>88</v>
      </c>
      <c r="AG223" s="161">
        <v>70</v>
      </c>
      <c r="AH223" s="161">
        <v>52</v>
      </c>
      <c r="AI223" s="161">
        <v>48</v>
      </c>
      <c r="AJ223" s="161">
        <v>48</v>
      </c>
      <c r="AK223" s="161">
        <v>48</v>
      </c>
      <c r="AL223" s="161">
        <v>48</v>
      </c>
      <c r="AM223" s="161">
        <v>48</v>
      </c>
      <c r="AN223" s="161">
        <v>48</v>
      </c>
      <c r="AO223" s="161">
        <v>48</v>
      </c>
      <c r="AP223" s="161">
        <v>48</v>
      </c>
      <c r="AQ223" s="161">
        <v>48</v>
      </c>
      <c r="AR223" s="161">
        <v>48</v>
      </c>
      <c r="AS223" s="161">
        <v>48</v>
      </c>
      <c r="AT223" s="161">
        <v>48</v>
      </c>
      <c r="AU223" s="161">
        <v>48</v>
      </c>
    </row>
    <row r="224" spans="1:47" ht="15">
      <c r="A224" s="50" t="s">
        <v>66</v>
      </c>
      <c r="B224" s="164">
        <v>118</v>
      </c>
      <c r="C224" s="164">
        <v>118</v>
      </c>
      <c r="D224" s="164">
        <v>118</v>
      </c>
      <c r="E224" s="164">
        <v>118</v>
      </c>
      <c r="F224" s="164">
        <v>118</v>
      </c>
      <c r="G224" s="155">
        <v>114</v>
      </c>
      <c r="H224" s="155">
        <v>109</v>
      </c>
      <c r="I224" s="155">
        <v>100</v>
      </c>
      <c r="J224" s="155">
        <v>91</v>
      </c>
      <c r="K224" s="155">
        <v>82</v>
      </c>
      <c r="L224" s="155">
        <v>73</v>
      </c>
      <c r="M224" s="155">
        <v>72</v>
      </c>
      <c r="N224" s="155">
        <v>70</v>
      </c>
      <c r="O224" s="155">
        <v>70</v>
      </c>
      <c r="P224" s="155">
        <v>69</v>
      </c>
      <c r="Q224" s="155">
        <v>68</v>
      </c>
      <c r="R224" s="155">
        <v>67</v>
      </c>
      <c r="S224" s="156">
        <v>66</v>
      </c>
      <c r="T224" s="156">
        <v>64</v>
      </c>
      <c r="U224" s="156">
        <v>64</v>
      </c>
      <c r="V224" s="156">
        <v>63</v>
      </c>
      <c r="W224" s="156">
        <v>62</v>
      </c>
      <c r="Y224" s="50" t="s">
        <v>118</v>
      </c>
      <c r="Z224" s="161">
        <v>95</v>
      </c>
      <c r="AA224" s="161">
        <v>95</v>
      </c>
      <c r="AB224" s="161">
        <v>95</v>
      </c>
      <c r="AC224" s="161">
        <v>95</v>
      </c>
      <c r="AD224" s="161">
        <v>95</v>
      </c>
      <c r="AE224" s="161">
        <v>87</v>
      </c>
      <c r="AF224" s="161">
        <v>79</v>
      </c>
      <c r="AG224" s="161">
        <v>63</v>
      </c>
      <c r="AH224" s="161">
        <v>47</v>
      </c>
      <c r="AI224" s="161">
        <v>43</v>
      </c>
      <c r="AJ224" s="161">
        <v>43</v>
      </c>
      <c r="AK224" s="161">
        <v>43</v>
      </c>
      <c r="AL224" s="161">
        <v>43</v>
      </c>
      <c r="AM224" s="161">
        <v>43</v>
      </c>
      <c r="AN224" s="161">
        <v>43</v>
      </c>
      <c r="AO224" s="161">
        <v>43</v>
      </c>
      <c r="AP224" s="161">
        <v>43</v>
      </c>
      <c r="AQ224" s="161">
        <v>43</v>
      </c>
      <c r="AR224" s="161">
        <v>43</v>
      </c>
      <c r="AS224" s="161">
        <v>43</v>
      </c>
      <c r="AT224" s="161">
        <v>43</v>
      </c>
      <c r="AU224" s="161">
        <v>43</v>
      </c>
    </row>
    <row r="225" spans="1:47" ht="12.75">
      <c r="A225" s="35" t="s">
        <v>327</v>
      </c>
      <c r="B225" s="155">
        <v>116</v>
      </c>
      <c r="C225" s="155">
        <v>116</v>
      </c>
      <c r="D225" s="155">
        <v>116</v>
      </c>
      <c r="E225" s="155">
        <v>116</v>
      </c>
      <c r="F225" s="155">
        <v>116</v>
      </c>
      <c r="G225" s="155">
        <v>111</v>
      </c>
      <c r="H225" s="155">
        <v>108</v>
      </c>
      <c r="I225" s="155">
        <v>98</v>
      </c>
      <c r="J225" s="155">
        <v>90</v>
      </c>
      <c r="K225" s="155">
        <v>81</v>
      </c>
      <c r="L225" s="155">
        <v>72</v>
      </c>
      <c r="M225" s="155">
        <v>70</v>
      </c>
      <c r="N225" s="155">
        <v>69</v>
      </c>
      <c r="O225" s="155">
        <v>68</v>
      </c>
      <c r="P225" s="155">
        <v>68</v>
      </c>
      <c r="Q225" s="155">
        <v>67</v>
      </c>
      <c r="R225" s="155">
        <v>66</v>
      </c>
      <c r="S225" s="155">
        <v>64</v>
      </c>
      <c r="T225" s="155">
        <v>63</v>
      </c>
      <c r="U225" s="155">
        <v>63</v>
      </c>
      <c r="V225" s="155">
        <v>62</v>
      </c>
      <c r="W225" s="155">
        <v>61</v>
      </c>
      <c r="Y225" s="239" t="s">
        <v>414</v>
      </c>
      <c r="Z225" s="161">
        <v>88</v>
      </c>
      <c r="AA225" s="161">
        <v>88</v>
      </c>
      <c r="AB225" s="161">
        <v>88</v>
      </c>
      <c r="AC225" s="161">
        <v>88</v>
      </c>
      <c r="AD225" s="161">
        <v>88</v>
      </c>
      <c r="AE225" s="161">
        <v>81</v>
      </c>
      <c r="AF225" s="161">
        <v>73</v>
      </c>
      <c r="AG225" s="161">
        <v>58</v>
      </c>
      <c r="AH225" s="161">
        <v>43</v>
      </c>
      <c r="AI225" s="161">
        <v>40</v>
      </c>
      <c r="AJ225" s="161">
        <v>40</v>
      </c>
      <c r="AK225" s="161">
        <v>40</v>
      </c>
      <c r="AL225" s="161">
        <v>40</v>
      </c>
      <c r="AM225" s="161">
        <v>40</v>
      </c>
      <c r="AN225" s="161">
        <v>40</v>
      </c>
      <c r="AO225" s="161">
        <v>40</v>
      </c>
      <c r="AP225" s="161">
        <v>40</v>
      </c>
      <c r="AQ225" s="161">
        <v>40</v>
      </c>
      <c r="AR225" s="161">
        <v>40</v>
      </c>
      <c r="AS225" s="161">
        <v>40</v>
      </c>
      <c r="AT225" s="161">
        <v>40</v>
      </c>
      <c r="AU225" s="161">
        <v>40</v>
      </c>
    </row>
    <row r="226" spans="1:47" ht="15">
      <c r="A226" s="150" t="s">
        <v>328</v>
      </c>
      <c r="B226" s="151" t="s">
        <v>24</v>
      </c>
      <c r="C226" s="151" t="s">
        <v>25</v>
      </c>
      <c r="D226" s="151" t="s">
        <v>26</v>
      </c>
      <c r="E226" s="151" t="s">
        <v>27</v>
      </c>
      <c r="F226" s="151" t="s">
        <v>28</v>
      </c>
      <c r="G226" s="151" t="s">
        <v>74</v>
      </c>
      <c r="H226" s="151" t="s">
        <v>75</v>
      </c>
      <c r="I226" s="151" t="s">
        <v>76</v>
      </c>
      <c r="J226" s="151" t="s">
        <v>77</v>
      </c>
      <c r="K226" s="151" t="s">
        <v>78</v>
      </c>
      <c r="L226" s="151" t="s">
        <v>79</v>
      </c>
      <c r="M226" s="151" t="s">
        <v>80</v>
      </c>
      <c r="N226" s="16" t="s">
        <v>81</v>
      </c>
      <c r="O226" s="16" t="s">
        <v>82</v>
      </c>
      <c r="P226" s="16" t="s">
        <v>83</v>
      </c>
      <c r="Q226" s="16" t="s">
        <v>84</v>
      </c>
      <c r="R226" s="151" t="s">
        <v>85</v>
      </c>
      <c r="S226" s="16" t="s">
        <v>86</v>
      </c>
      <c r="T226" s="16" t="s">
        <v>87</v>
      </c>
      <c r="U226" s="16" t="s">
        <v>88</v>
      </c>
      <c r="V226" s="16" t="s">
        <v>89</v>
      </c>
      <c r="W226" s="151" t="s">
        <v>90</v>
      </c>
    </row>
    <row r="227" spans="1:47" ht="15">
      <c r="A227" s="50" t="s">
        <v>329</v>
      </c>
      <c r="B227" s="155">
        <f t="array" ref="B227:W230">INT($Z$85:$AU$88*1.2)</f>
        <v>138</v>
      </c>
      <c r="C227" s="155">
        <v>138</v>
      </c>
      <c r="D227" s="155">
        <v>138</v>
      </c>
      <c r="E227" s="155">
        <v>138</v>
      </c>
      <c r="F227" s="155">
        <v>138</v>
      </c>
      <c r="G227" s="155">
        <v>128</v>
      </c>
      <c r="H227" s="155">
        <v>120</v>
      </c>
      <c r="I227" s="155">
        <v>99</v>
      </c>
      <c r="J227" s="155">
        <v>81</v>
      </c>
      <c r="K227" s="155">
        <v>73</v>
      </c>
      <c r="L227" s="155">
        <v>66</v>
      </c>
      <c r="M227" s="155">
        <v>66</v>
      </c>
      <c r="N227" s="155">
        <v>66</v>
      </c>
      <c r="O227" s="155">
        <v>66</v>
      </c>
      <c r="P227" s="155">
        <v>66</v>
      </c>
      <c r="Q227" s="155">
        <v>66</v>
      </c>
      <c r="R227" s="155">
        <v>66</v>
      </c>
      <c r="S227" s="155">
        <v>66</v>
      </c>
      <c r="T227" s="155">
        <v>66</v>
      </c>
      <c r="U227" s="155">
        <v>66</v>
      </c>
      <c r="V227" s="155">
        <v>66</v>
      </c>
      <c r="W227" s="155">
        <v>66</v>
      </c>
    </row>
    <row r="228" spans="1:47" ht="15">
      <c r="A228" s="50" t="s">
        <v>330</v>
      </c>
      <c r="B228" s="164">
        <v>116</v>
      </c>
      <c r="C228" s="155">
        <v>116</v>
      </c>
      <c r="D228" s="155">
        <v>116</v>
      </c>
      <c r="E228" s="155">
        <v>116</v>
      </c>
      <c r="F228" s="155">
        <v>116</v>
      </c>
      <c r="G228" s="155">
        <v>109</v>
      </c>
      <c r="H228" s="155">
        <v>100</v>
      </c>
      <c r="I228" s="155">
        <v>85</v>
      </c>
      <c r="J228" s="155">
        <v>68</v>
      </c>
      <c r="K228" s="155">
        <v>62</v>
      </c>
      <c r="L228" s="155">
        <v>55</v>
      </c>
      <c r="M228" s="155">
        <v>55</v>
      </c>
      <c r="N228" s="155">
        <v>55</v>
      </c>
      <c r="O228" s="155">
        <v>55</v>
      </c>
      <c r="P228" s="155">
        <v>55</v>
      </c>
      <c r="Q228" s="155">
        <v>55</v>
      </c>
      <c r="R228" s="155">
        <v>55</v>
      </c>
      <c r="S228" s="155">
        <v>55</v>
      </c>
      <c r="T228" s="155">
        <v>55</v>
      </c>
      <c r="U228" s="155">
        <v>55</v>
      </c>
      <c r="V228" s="155">
        <v>55</v>
      </c>
      <c r="W228" s="155">
        <v>55</v>
      </c>
    </row>
    <row r="229" spans="1:47" ht="15">
      <c r="A229" s="175" t="s">
        <v>331</v>
      </c>
      <c r="B229" s="164">
        <v>114</v>
      </c>
      <c r="C229" s="155">
        <v>114</v>
      </c>
      <c r="D229" s="155">
        <v>114</v>
      </c>
      <c r="E229" s="155">
        <v>114</v>
      </c>
      <c r="F229" s="155">
        <v>114</v>
      </c>
      <c r="G229" s="155">
        <v>106</v>
      </c>
      <c r="H229" s="155">
        <v>98</v>
      </c>
      <c r="I229" s="155">
        <v>82</v>
      </c>
      <c r="J229" s="155">
        <v>67</v>
      </c>
      <c r="K229" s="155">
        <v>61</v>
      </c>
      <c r="L229" s="155">
        <v>54</v>
      </c>
      <c r="M229" s="155">
        <v>54</v>
      </c>
      <c r="N229" s="155">
        <v>54</v>
      </c>
      <c r="O229" s="155">
        <v>54</v>
      </c>
      <c r="P229" s="155">
        <v>54</v>
      </c>
      <c r="Q229" s="155">
        <v>54</v>
      </c>
      <c r="R229" s="155">
        <v>54</v>
      </c>
      <c r="S229" s="155">
        <v>54</v>
      </c>
      <c r="T229" s="155">
        <v>54</v>
      </c>
      <c r="U229" s="155">
        <v>54</v>
      </c>
      <c r="V229" s="155">
        <v>54</v>
      </c>
      <c r="W229" s="155">
        <v>54</v>
      </c>
    </row>
    <row r="230" spans="1:47" ht="15">
      <c r="A230" s="50" t="s">
        <v>332</v>
      </c>
      <c r="B230" s="155">
        <v>112</v>
      </c>
      <c r="C230" s="155">
        <v>112</v>
      </c>
      <c r="D230" s="155">
        <v>112</v>
      </c>
      <c r="E230" s="155">
        <v>112</v>
      </c>
      <c r="F230" s="155">
        <v>112</v>
      </c>
      <c r="G230" s="155">
        <v>105</v>
      </c>
      <c r="H230" s="155">
        <v>97</v>
      </c>
      <c r="I230" s="155">
        <v>81</v>
      </c>
      <c r="J230" s="155">
        <v>66</v>
      </c>
      <c r="K230" s="155">
        <v>60</v>
      </c>
      <c r="L230" s="155">
        <v>54</v>
      </c>
      <c r="M230" s="155">
        <v>54</v>
      </c>
      <c r="N230" s="155">
        <v>54</v>
      </c>
      <c r="O230" s="155">
        <v>54</v>
      </c>
      <c r="P230" s="155">
        <v>54</v>
      </c>
      <c r="Q230" s="155">
        <v>54</v>
      </c>
      <c r="R230" s="155">
        <v>54</v>
      </c>
      <c r="S230" s="155">
        <v>54</v>
      </c>
      <c r="T230" s="155">
        <v>54</v>
      </c>
      <c r="U230" s="155">
        <v>54</v>
      </c>
      <c r="V230" s="155">
        <v>54</v>
      </c>
      <c r="W230" s="155">
        <v>54</v>
      </c>
    </row>
    <row r="231" spans="1:47" ht="15">
      <c r="A231" s="150" t="s">
        <v>333</v>
      </c>
      <c r="B231" s="151" t="s">
        <v>24</v>
      </c>
      <c r="C231" s="151" t="s">
        <v>25</v>
      </c>
      <c r="D231" s="151" t="s">
        <v>26</v>
      </c>
      <c r="E231" s="151" t="s">
        <v>27</v>
      </c>
      <c r="F231" s="151" t="s">
        <v>28</v>
      </c>
      <c r="G231" s="151" t="s">
        <v>74</v>
      </c>
      <c r="H231" s="151" t="s">
        <v>75</v>
      </c>
      <c r="I231" s="151" t="s">
        <v>76</v>
      </c>
      <c r="J231" s="151" t="s">
        <v>77</v>
      </c>
      <c r="K231" s="151" t="s">
        <v>78</v>
      </c>
      <c r="L231" s="151" t="s">
        <v>79</v>
      </c>
      <c r="M231" s="151" t="s">
        <v>80</v>
      </c>
      <c r="N231" s="16" t="s">
        <v>81</v>
      </c>
      <c r="O231" s="16" t="s">
        <v>82</v>
      </c>
      <c r="P231" s="16" t="s">
        <v>83</v>
      </c>
      <c r="Q231" s="16" t="s">
        <v>84</v>
      </c>
      <c r="R231" s="151" t="s">
        <v>85</v>
      </c>
      <c r="S231" s="16" t="s">
        <v>86</v>
      </c>
      <c r="T231" s="16" t="s">
        <v>87</v>
      </c>
      <c r="U231" s="16" t="s">
        <v>88</v>
      </c>
      <c r="V231" s="16" t="s">
        <v>89</v>
      </c>
      <c r="W231" s="151" t="s">
        <v>90</v>
      </c>
      <c r="Y231" s="240" t="s">
        <v>346</v>
      </c>
      <c r="Z231" s="241">
        <v>100</v>
      </c>
      <c r="AA231" s="241">
        <v>93</v>
      </c>
      <c r="AB231" s="241">
        <v>87</v>
      </c>
      <c r="AC231" s="241">
        <v>80</v>
      </c>
      <c r="AD231" s="241">
        <v>74</v>
      </c>
      <c r="AE231" s="241">
        <v>68</v>
      </c>
      <c r="AF231" s="241">
        <v>62</v>
      </c>
      <c r="AG231" s="241">
        <v>59</v>
      </c>
      <c r="AH231" s="241">
        <v>57</v>
      </c>
      <c r="AI231" s="241">
        <v>54</v>
      </c>
      <c r="AJ231" s="241">
        <v>53</v>
      </c>
      <c r="AK231" s="241">
        <v>50</v>
      </c>
      <c r="AL231" s="241">
        <v>50</v>
      </c>
      <c r="AM231" s="241">
        <v>50</v>
      </c>
      <c r="AN231" s="241">
        <v>50</v>
      </c>
      <c r="AO231" s="241">
        <v>50</v>
      </c>
      <c r="AP231" s="241">
        <v>50</v>
      </c>
      <c r="AQ231" s="241">
        <v>50</v>
      </c>
      <c r="AR231" s="241">
        <v>50</v>
      </c>
      <c r="AS231" s="241">
        <v>50</v>
      </c>
      <c r="AT231" s="241">
        <v>50</v>
      </c>
      <c r="AU231" s="241">
        <v>50</v>
      </c>
    </row>
    <row r="232" spans="1:47" ht="15">
      <c r="A232" s="8" t="s">
        <v>334</v>
      </c>
      <c r="B232" s="164">
        <f t="array" ref="B232:W233">INT($Z$90:$AU$91*1.2)</f>
        <v>123</v>
      </c>
      <c r="C232" s="155">
        <v>123</v>
      </c>
      <c r="D232" s="155">
        <v>123</v>
      </c>
      <c r="E232" s="155">
        <v>123</v>
      </c>
      <c r="F232" s="155">
        <v>123</v>
      </c>
      <c r="G232" s="155">
        <v>114</v>
      </c>
      <c r="H232" s="155">
        <v>103</v>
      </c>
      <c r="I232" s="155">
        <v>81</v>
      </c>
      <c r="J232" s="155">
        <v>61</v>
      </c>
      <c r="K232" s="155">
        <v>57</v>
      </c>
      <c r="L232" s="155">
        <v>54</v>
      </c>
      <c r="M232" s="155">
        <v>54</v>
      </c>
      <c r="N232" s="155">
        <v>54</v>
      </c>
      <c r="O232" s="155">
        <v>54</v>
      </c>
      <c r="P232" s="155">
        <v>54</v>
      </c>
      <c r="Q232" s="155">
        <v>54</v>
      </c>
      <c r="R232" s="155">
        <v>54</v>
      </c>
      <c r="S232" s="156">
        <v>54</v>
      </c>
      <c r="T232" s="156">
        <v>54</v>
      </c>
      <c r="U232" s="156">
        <v>54</v>
      </c>
      <c r="V232" s="156">
        <v>54</v>
      </c>
      <c r="W232" s="156">
        <v>54</v>
      </c>
    </row>
    <row r="233" spans="1:47" ht="15">
      <c r="A233" s="8" t="s">
        <v>335</v>
      </c>
      <c r="B233" s="164">
        <v>104</v>
      </c>
      <c r="C233" s="155">
        <v>104</v>
      </c>
      <c r="D233" s="155">
        <v>104</v>
      </c>
      <c r="E233" s="155">
        <v>104</v>
      </c>
      <c r="F233" s="155">
        <v>104</v>
      </c>
      <c r="G233" s="155">
        <v>96</v>
      </c>
      <c r="H233" s="155">
        <v>86</v>
      </c>
      <c r="I233" s="155">
        <v>69</v>
      </c>
      <c r="J233" s="155">
        <v>51</v>
      </c>
      <c r="K233" s="155">
        <v>48</v>
      </c>
      <c r="L233" s="155">
        <v>45</v>
      </c>
      <c r="M233" s="155">
        <v>45</v>
      </c>
      <c r="N233" s="155">
        <v>45</v>
      </c>
      <c r="O233" s="155">
        <v>45</v>
      </c>
      <c r="P233" s="155">
        <v>45</v>
      </c>
      <c r="Q233" s="156">
        <v>45</v>
      </c>
      <c r="R233" s="156">
        <v>45</v>
      </c>
      <c r="S233" s="156">
        <v>45</v>
      </c>
      <c r="T233" s="156">
        <v>45</v>
      </c>
      <c r="U233" s="156">
        <v>45</v>
      </c>
      <c r="V233" s="156">
        <v>45</v>
      </c>
      <c r="W233" s="156">
        <v>45</v>
      </c>
      <c r="Y233" s="240" t="s">
        <v>346</v>
      </c>
      <c r="Z233" s="2">
        <f t="array" ref="Z233:AU233">ROUNDUP(Z231:AU231/1.3,0)</f>
        <v>77</v>
      </c>
      <c r="AA233" s="2">
        <v>72</v>
      </c>
      <c r="AB233" s="2">
        <v>67</v>
      </c>
      <c r="AC233" s="2">
        <v>62</v>
      </c>
      <c r="AD233" s="2">
        <v>57</v>
      </c>
      <c r="AE233" s="2">
        <v>53</v>
      </c>
      <c r="AF233" s="2">
        <v>48</v>
      </c>
      <c r="AG233" s="2">
        <v>46</v>
      </c>
      <c r="AH233" s="2">
        <v>44</v>
      </c>
      <c r="AI233" s="2">
        <v>42</v>
      </c>
      <c r="AJ233" s="2">
        <v>41</v>
      </c>
      <c r="AK233" s="2">
        <v>39</v>
      </c>
      <c r="AL233" s="2">
        <v>39</v>
      </c>
      <c r="AM233" s="2">
        <v>39</v>
      </c>
      <c r="AN233" s="2">
        <v>39</v>
      </c>
      <c r="AO233" s="2">
        <v>39</v>
      </c>
      <c r="AP233" s="2">
        <v>39</v>
      </c>
      <c r="AQ233" s="2">
        <v>39</v>
      </c>
      <c r="AR233" s="2">
        <v>39</v>
      </c>
      <c r="AS233" s="2">
        <v>39</v>
      </c>
      <c r="AT233" s="2">
        <v>39</v>
      </c>
      <c r="AU233" s="2">
        <v>39</v>
      </c>
    </row>
    <row r="234" spans="1:47" ht="15">
      <c r="A234" s="150" t="s">
        <v>336</v>
      </c>
      <c r="B234" s="151" t="s">
        <v>24</v>
      </c>
      <c r="C234" s="151" t="s">
        <v>25</v>
      </c>
      <c r="D234" s="151" t="s">
        <v>26</v>
      </c>
      <c r="E234" s="151" t="s">
        <v>27</v>
      </c>
      <c r="F234" s="151" t="s">
        <v>28</v>
      </c>
      <c r="G234" s="151" t="s">
        <v>74</v>
      </c>
      <c r="H234" s="151" t="s">
        <v>75</v>
      </c>
      <c r="I234" s="151" t="s">
        <v>76</v>
      </c>
      <c r="J234" s="151" t="s">
        <v>77</v>
      </c>
      <c r="K234" s="151" t="s">
        <v>78</v>
      </c>
      <c r="L234" s="151" t="s">
        <v>79</v>
      </c>
      <c r="M234" s="151" t="s">
        <v>80</v>
      </c>
      <c r="N234" s="16" t="s">
        <v>81</v>
      </c>
      <c r="O234" s="16" t="s">
        <v>82</v>
      </c>
      <c r="P234" s="16" t="s">
        <v>83</v>
      </c>
      <c r="Q234" s="16" t="s">
        <v>84</v>
      </c>
      <c r="R234" s="151" t="s">
        <v>85</v>
      </c>
      <c r="S234" s="16" t="s">
        <v>86</v>
      </c>
      <c r="T234" s="16" t="s">
        <v>87</v>
      </c>
      <c r="U234" s="16" t="s">
        <v>88</v>
      </c>
      <c r="V234" s="16" t="s">
        <v>89</v>
      </c>
      <c r="W234" s="151" t="s">
        <v>90</v>
      </c>
    </row>
    <row r="235" spans="1:47" ht="12.75">
      <c r="A235" s="178" t="s">
        <v>337</v>
      </c>
      <c r="B235" s="155">
        <f t="array" ref="B235:W235">INT($Z$93:$AU$93*1.2)</f>
        <v>123</v>
      </c>
      <c r="C235" s="155">
        <v>123</v>
      </c>
      <c r="D235" s="155">
        <v>123</v>
      </c>
      <c r="E235" s="155">
        <v>123</v>
      </c>
      <c r="F235" s="155">
        <v>123</v>
      </c>
      <c r="G235" s="155">
        <v>112</v>
      </c>
      <c r="H235" s="155">
        <v>102</v>
      </c>
      <c r="I235" s="155">
        <v>80</v>
      </c>
      <c r="J235" s="155">
        <v>58</v>
      </c>
      <c r="K235" s="155">
        <v>55</v>
      </c>
      <c r="L235" s="155">
        <v>51</v>
      </c>
      <c r="M235" s="155">
        <v>51</v>
      </c>
      <c r="N235" s="155">
        <v>51</v>
      </c>
      <c r="O235" s="155">
        <v>51</v>
      </c>
      <c r="P235" s="155">
        <v>51</v>
      </c>
      <c r="Q235" s="155">
        <v>51</v>
      </c>
      <c r="R235" s="155">
        <v>51</v>
      </c>
      <c r="S235" s="155">
        <v>51</v>
      </c>
      <c r="T235" s="155">
        <v>51</v>
      </c>
      <c r="U235" s="155">
        <v>51</v>
      </c>
      <c r="V235" s="155">
        <v>51</v>
      </c>
      <c r="W235" s="155">
        <v>51</v>
      </c>
    </row>
    <row r="236" spans="1:47" ht="15">
      <c r="A236" s="145" t="s">
        <v>338</v>
      </c>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row>
    <row r="237" spans="1:47" ht="15">
      <c r="A237" s="150" t="s">
        <v>323</v>
      </c>
      <c r="B237" s="151" t="s">
        <v>24</v>
      </c>
      <c r="C237" s="151" t="s">
        <v>25</v>
      </c>
      <c r="D237" s="151" t="s">
        <v>26</v>
      </c>
      <c r="E237" s="151" t="s">
        <v>27</v>
      </c>
      <c r="F237" s="151" t="s">
        <v>28</v>
      </c>
      <c r="G237" s="151" t="s">
        <v>74</v>
      </c>
      <c r="H237" s="151" t="s">
        <v>75</v>
      </c>
      <c r="I237" s="151" t="s">
        <v>76</v>
      </c>
      <c r="J237" s="151" t="s">
        <v>77</v>
      </c>
      <c r="K237" s="151" t="s">
        <v>78</v>
      </c>
      <c r="L237" s="151" t="s">
        <v>79</v>
      </c>
      <c r="M237" s="151" t="s">
        <v>80</v>
      </c>
      <c r="N237" s="16" t="s">
        <v>81</v>
      </c>
      <c r="O237" s="16" t="s">
        <v>82</v>
      </c>
      <c r="P237" s="16" t="s">
        <v>83</v>
      </c>
      <c r="Q237" s="16" t="s">
        <v>84</v>
      </c>
      <c r="R237" s="151" t="s">
        <v>85</v>
      </c>
      <c r="S237" s="16" t="s">
        <v>86</v>
      </c>
      <c r="T237" s="16" t="s">
        <v>87</v>
      </c>
      <c r="U237" s="16" t="s">
        <v>88</v>
      </c>
      <c r="V237" s="16" t="s">
        <v>89</v>
      </c>
      <c r="W237" s="151" t="s">
        <v>90</v>
      </c>
      <c r="Y237" s="242" t="s">
        <v>351</v>
      </c>
      <c r="Z237" s="241">
        <v>92</v>
      </c>
      <c r="AA237" s="241">
        <v>85</v>
      </c>
      <c r="AB237" s="241">
        <v>78</v>
      </c>
      <c r="AC237" s="241">
        <v>71</v>
      </c>
      <c r="AD237" s="241">
        <v>65</v>
      </c>
      <c r="AE237" s="241">
        <v>57</v>
      </c>
      <c r="AF237" s="241">
        <v>50</v>
      </c>
      <c r="AG237" s="241">
        <v>44</v>
      </c>
      <c r="AH237" s="241">
        <v>44</v>
      </c>
      <c r="AI237" s="241">
        <v>44</v>
      </c>
      <c r="AJ237" s="241">
        <v>44</v>
      </c>
      <c r="AK237" s="241">
        <v>44</v>
      </c>
      <c r="AL237" s="241">
        <v>44</v>
      </c>
      <c r="AM237" s="241">
        <v>44</v>
      </c>
      <c r="AN237" s="241">
        <v>44</v>
      </c>
      <c r="AO237" s="241">
        <v>44</v>
      </c>
      <c r="AP237" s="241">
        <v>44</v>
      </c>
      <c r="AQ237" s="241">
        <v>44</v>
      </c>
      <c r="AR237" s="241">
        <v>44</v>
      </c>
      <c r="AS237" s="241">
        <v>44</v>
      </c>
      <c r="AT237" s="241">
        <v>44</v>
      </c>
      <c r="AU237" s="241">
        <v>44</v>
      </c>
    </row>
    <row r="238" spans="1:47" ht="15">
      <c r="A238" s="8" t="s">
        <v>105</v>
      </c>
      <c r="B238" s="155">
        <f t="array" ref="B238:W253">INT($Z$96:$AU$111*1.2)</f>
        <v>134</v>
      </c>
      <c r="C238" s="155">
        <v>134</v>
      </c>
      <c r="D238" s="155">
        <v>134</v>
      </c>
      <c r="E238" s="155">
        <v>129</v>
      </c>
      <c r="F238" s="155">
        <v>124</v>
      </c>
      <c r="G238" s="155">
        <v>120</v>
      </c>
      <c r="H238" s="155">
        <v>115</v>
      </c>
      <c r="I238" s="155">
        <v>105</v>
      </c>
      <c r="J238" s="155">
        <v>96</v>
      </c>
      <c r="K238" s="155">
        <v>86</v>
      </c>
      <c r="L238" s="155">
        <v>81</v>
      </c>
      <c r="M238" s="155">
        <v>78</v>
      </c>
      <c r="N238" s="155">
        <v>75</v>
      </c>
      <c r="O238" s="155">
        <v>72</v>
      </c>
      <c r="P238" s="155">
        <v>68</v>
      </c>
      <c r="Q238" s="155">
        <v>68</v>
      </c>
      <c r="R238" s="155">
        <v>68</v>
      </c>
      <c r="S238" s="155">
        <v>68</v>
      </c>
      <c r="T238" s="155">
        <v>68</v>
      </c>
      <c r="U238" s="155">
        <v>68</v>
      </c>
      <c r="V238" s="155">
        <v>68</v>
      </c>
      <c r="W238" s="155">
        <v>68</v>
      </c>
    </row>
    <row r="239" spans="1:47" ht="15">
      <c r="A239" s="50" t="s">
        <v>107</v>
      </c>
      <c r="B239" s="164">
        <v>133</v>
      </c>
      <c r="C239" s="155">
        <v>133</v>
      </c>
      <c r="D239" s="155">
        <v>133</v>
      </c>
      <c r="E239" s="155">
        <v>128</v>
      </c>
      <c r="F239" s="155">
        <v>123</v>
      </c>
      <c r="G239" s="155">
        <v>118</v>
      </c>
      <c r="H239" s="155">
        <v>114</v>
      </c>
      <c r="I239" s="155">
        <v>104</v>
      </c>
      <c r="J239" s="155">
        <v>94</v>
      </c>
      <c r="K239" s="155">
        <v>85</v>
      </c>
      <c r="L239" s="155">
        <v>81</v>
      </c>
      <c r="M239" s="155">
        <v>78</v>
      </c>
      <c r="N239" s="155">
        <v>74</v>
      </c>
      <c r="O239" s="155">
        <v>70</v>
      </c>
      <c r="P239" s="155">
        <v>67</v>
      </c>
      <c r="Q239" s="155">
        <v>67</v>
      </c>
      <c r="R239" s="155">
        <v>67</v>
      </c>
      <c r="S239" s="155">
        <v>67</v>
      </c>
      <c r="T239" s="155">
        <v>67</v>
      </c>
      <c r="U239" s="155">
        <v>67</v>
      </c>
      <c r="V239" s="155">
        <v>67</v>
      </c>
      <c r="W239" s="155">
        <v>67</v>
      </c>
    </row>
    <row r="240" spans="1:47" ht="15">
      <c r="A240" s="38" t="s">
        <v>109</v>
      </c>
      <c r="B240" s="155">
        <v>128</v>
      </c>
      <c r="C240" s="155">
        <v>128</v>
      </c>
      <c r="D240" s="155">
        <v>128</v>
      </c>
      <c r="E240" s="155">
        <v>123</v>
      </c>
      <c r="F240" s="155">
        <v>118</v>
      </c>
      <c r="G240" s="155">
        <v>114</v>
      </c>
      <c r="H240" s="155">
        <v>109</v>
      </c>
      <c r="I240" s="155">
        <v>100</v>
      </c>
      <c r="J240" s="155">
        <v>91</v>
      </c>
      <c r="K240" s="155">
        <v>81</v>
      </c>
      <c r="L240" s="155">
        <v>78</v>
      </c>
      <c r="M240" s="155">
        <v>75</v>
      </c>
      <c r="N240" s="155">
        <v>72</v>
      </c>
      <c r="O240" s="155">
        <v>68</v>
      </c>
      <c r="P240" s="155">
        <v>64</v>
      </c>
      <c r="Q240" s="155">
        <v>64</v>
      </c>
      <c r="R240" s="155">
        <v>64</v>
      </c>
      <c r="S240" s="155">
        <v>64</v>
      </c>
      <c r="T240" s="155">
        <v>64</v>
      </c>
      <c r="U240" s="155">
        <v>64</v>
      </c>
      <c r="V240" s="155">
        <v>64</v>
      </c>
      <c r="W240" s="155">
        <v>64</v>
      </c>
      <c r="Y240" s="242" t="s">
        <v>351</v>
      </c>
      <c r="Z240" s="2">
        <f t="array" ref="Z240:AU240">ROUNDUP(Z237:AU237/1.3,0)</f>
        <v>71</v>
      </c>
      <c r="AA240" s="2">
        <v>66</v>
      </c>
      <c r="AB240" s="2">
        <v>60</v>
      </c>
      <c r="AC240" s="2">
        <v>55</v>
      </c>
      <c r="AD240" s="2">
        <v>50</v>
      </c>
      <c r="AE240" s="2">
        <v>44</v>
      </c>
      <c r="AF240" s="2">
        <v>39</v>
      </c>
      <c r="AG240" s="2">
        <v>34</v>
      </c>
      <c r="AH240" s="2">
        <v>34</v>
      </c>
      <c r="AI240" s="2">
        <v>34</v>
      </c>
      <c r="AJ240" s="2">
        <v>34</v>
      </c>
      <c r="AK240" s="2">
        <v>34</v>
      </c>
      <c r="AL240" s="2">
        <v>34</v>
      </c>
      <c r="AM240" s="2">
        <v>34</v>
      </c>
      <c r="AN240" s="2">
        <v>34</v>
      </c>
      <c r="AO240" s="2">
        <v>34</v>
      </c>
      <c r="AP240" s="2">
        <v>34</v>
      </c>
      <c r="AQ240" s="2">
        <v>34</v>
      </c>
      <c r="AR240" s="2">
        <v>34</v>
      </c>
      <c r="AS240" s="2">
        <v>34</v>
      </c>
      <c r="AT240" s="2">
        <v>34</v>
      </c>
      <c r="AU240" s="2">
        <v>34</v>
      </c>
    </row>
    <row r="241" spans="1:23" ht="12.75">
      <c r="A241" s="41" t="s">
        <v>111</v>
      </c>
      <c r="B241" s="155">
        <v>127</v>
      </c>
      <c r="C241" s="155">
        <v>127</v>
      </c>
      <c r="D241" s="155">
        <v>127</v>
      </c>
      <c r="E241" s="155">
        <v>122</v>
      </c>
      <c r="F241" s="155">
        <v>117</v>
      </c>
      <c r="G241" s="155">
        <v>112</v>
      </c>
      <c r="H241" s="155">
        <v>109</v>
      </c>
      <c r="I241" s="155">
        <v>99</v>
      </c>
      <c r="J241" s="155">
        <v>90</v>
      </c>
      <c r="K241" s="155">
        <v>81</v>
      </c>
      <c r="L241" s="155">
        <v>78</v>
      </c>
      <c r="M241" s="155">
        <v>74</v>
      </c>
      <c r="N241" s="155">
        <v>70</v>
      </c>
      <c r="O241" s="155">
        <v>67</v>
      </c>
      <c r="P241" s="155">
        <v>64</v>
      </c>
      <c r="Q241" s="155">
        <v>64</v>
      </c>
      <c r="R241" s="156">
        <v>64</v>
      </c>
      <c r="S241" s="156">
        <v>64</v>
      </c>
      <c r="T241" s="156">
        <v>64</v>
      </c>
      <c r="U241" s="156">
        <v>64</v>
      </c>
      <c r="V241" s="156">
        <v>64</v>
      </c>
      <c r="W241" s="156">
        <v>64</v>
      </c>
    </row>
    <row r="242" spans="1:23" ht="12.75">
      <c r="A242" s="184" t="s">
        <v>113</v>
      </c>
      <c r="B242" s="155">
        <v>124</v>
      </c>
      <c r="C242" s="155">
        <v>124</v>
      </c>
      <c r="D242" s="155">
        <v>124</v>
      </c>
      <c r="E242" s="155">
        <v>120</v>
      </c>
      <c r="F242" s="155">
        <v>115</v>
      </c>
      <c r="G242" s="155">
        <v>111</v>
      </c>
      <c r="H242" s="155">
        <v>106</v>
      </c>
      <c r="I242" s="155">
        <v>97</v>
      </c>
      <c r="J242" s="155">
        <v>88</v>
      </c>
      <c r="K242" s="155">
        <v>79</v>
      </c>
      <c r="L242" s="155">
        <v>76</v>
      </c>
      <c r="M242" s="155">
        <v>73</v>
      </c>
      <c r="N242" s="155">
        <v>69</v>
      </c>
      <c r="O242" s="155">
        <v>66</v>
      </c>
      <c r="P242" s="155">
        <v>63</v>
      </c>
      <c r="Q242" s="155">
        <v>63</v>
      </c>
      <c r="R242" s="156">
        <v>63</v>
      </c>
      <c r="S242" s="156">
        <v>63</v>
      </c>
      <c r="T242" s="156">
        <v>63</v>
      </c>
      <c r="U242" s="156">
        <v>63</v>
      </c>
      <c r="V242" s="156">
        <v>63</v>
      </c>
      <c r="W242" s="156">
        <v>63</v>
      </c>
    </row>
    <row r="243" spans="1:23" ht="15">
      <c r="A243" s="8" t="s">
        <v>115</v>
      </c>
      <c r="B243" s="155">
        <v>122</v>
      </c>
      <c r="C243" s="155">
        <v>122</v>
      </c>
      <c r="D243" s="155">
        <v>122</v>
      </c>
      <c r="E243" s="155">
        <v>117</v>
      </c>
      <c r="F243" s="155">
        <v>112</v>
      </c>
      <c r="G243" s="155">
        <v>109</v>
      </c>
      <c r="H243" s="155">
        <v>104</v>
      </c>
      <c r="I243" s="155">
        <v>96</v>
      </c>
      <c r="J243" s="155">
        <v>86</v>
      </c>
      <c r="K243" s="155">
        <v>78</v>
      </c>
      <c r="L243" s="155">
        <v>74</v>
      </c>
      <c r="M243" s="155">
        <v>72</v>
      </c>
      <c r="N243" s="155">
        <v>68</v>
      </c>
      <c r="O243" s="155">
        <v>64</v>
      </c>
      <c r="P243" s="155">
        <v>62</v>
      </c>
      <c r="Q243" s="155">
        <v>62</v>
      </c>
      <c r="R243" s="155">
        <v>62</v>
      </c>
      <c r="S243" s="155">
        <v>62</v>
      </c>
      <c r="T243" s="155">
        <v>62</v>
      </c>
      <c r="U243" s="155">
        <v>62</v>
      </c>
      <c r="V243" s="155">
        <v>62</v>
      </c>
      <c r="W243" s="155">
        <v>62</v>
      </c>
    </row>
    <row r="244" spans="1:23" ht="15">
      <c r="A244" s="8" t="s">
        <v>118</v>
      </c>
      <c r="B244" s="155">
        <v>120</v>
      </c>
      <c r="C244" s="155">
        <v>120</v>
      </c>
      <c r="D244" s="155">
        <v>120</v>
      </c>
      <c r="E244" s="155">
        <v>115</v>
      </c>
      <c r="F244" s="155">
        <v>111</v>
      </c>
      <c r="G244" s="155">
        <v>106</v>
      </c>
      <c r="H244" s="155">
        <v>102</v>
      </c>
      <c r="I244" s="155">
        <v>93</v>
      </c>
      <c r="J244" s="155">
        <v>85</v>
      </c>
      <c r="K244" s="155">
        <v>76</v>
      </c>
      <c r="L244" s="155">
        <v>73</v>
      </c>
      <c r="M244" s="155">
        <v>69</v>
      </c>
      <c r="N244" s="155">
        <v>67</v>
      </c>
      <c r="O244" s="155">
        <v>63</v>
      </c>
      <c r="P244" s="155">
        <v>61</v>
      </c>
      <c r="Q244" s="155">
        <v>61</v>
      </c>
      <c r="R244" s="155">
        <v>61</v>
      </c>
      <c r="S244" s="155">
        <v>61</v>
      </c>
      <c r="T244" s="155">
        <v>61</v>
      </c>
      <c r="U244" s="155">
        <v>61</v>
      </c>
      <c r="V244" s="155">
        <v>61</v>
      </c>
      <c r="W244" s="155">
        <v>61</v>
      </c>
    </row>
    <row r="245" spans="1:23" ht="15">
      <c r="A245" s="8" t="s">
        <v>135</v>
      </c>
      <c r="B245" s="155">
        <v>118</v>
      </c>
      <c r="C245" s="155">
        <v>118</v>
      </c>
      <c r="D245" s="155">
        <v>118</v>
      </c>
      <c r="E245" s="155">
        <v>114</v>
      </c>
      <c r="F245" s="155">
        <v>110</v>
      </c>
      <c r="G245" s="155">
        <v>105</v>
      </c>
      <c r="H245" s="155">
        <v>102</v>
      </c>
      <c r="I245" s="155">
        <v>92</v>
      </c>
      <c r="J245" s="155">
        <v>84</v>
      </c>
      <c r="K245" s="155">
        <v>75</v>
      </c>
      <c r="L245" s="155">
        <v>72</v>
      </c>
      <c r="M245" s="155">
        <v>69</v>
      </c>
      <c r="N245" s="155">
        <v>66</v>
      </c>
      <c r="O245" s="155">
        <v>63</v>
      </c>
      <c r="P245" s="155">
        <v>60</v>
      </c>
      <c r="Q245" s="155">
        <v>60</v>
      </c>
      <c r="R245" s="155">
        <v>60</v>
      </c>
      <c r="S245" s="155">
        <v>60</v>
      </c>
      <c r="T245" s="155">
        <v>60</v>
      </c>
      <c r="U245" s="155">
        <v>60</v>
      </c>
      <c r="V245" s="155">
        <v>60</v>
      </c>
      <c r="W245" s="155">
        <v>60</v>
      </c>
    </row>
    <row r="246" spans="1:23" ht="15">
      <c r="A246" s="8" t="s">
        <v>138</v>
      </c>
      <c r="B246" s="155">
        <v>116</v>
      </c>
      <c r="C246" s="155">
        <v>116</v>
      </c>
      <c r="D246" s="155">
        <v>116</v>
      </c>
      <c r="E246" s="155">
        <v>111</v>
      </c>
      <c r="F246" s="243">
        <v>108</v>
      </c>
      <c r="G246" s="155">
        <v>103</v>
      </c>
      <c r="H246" s="155">
        <v>99</v>
      </c>
      <c r="I246" s="155">
        <v>91</v>
      </c>
      <c r="J246" s="155">
        <v>82</v>
      </c>
      <c r="K246" s="155">
        <v>74</v>
      </c>
      <c r="L246" s="155">
        <v>70</v>
      </c>
      <c r="M246" s="155">
        <v>68</v>
      </c>
      <c r="N246" s="155">
        <v>64</v>
      </c>
      <c r="O246" s="155">
        <v>62</v>
      </c>
      <c r="P246" s="155">
        <v>58</v>
      </c>
      <c r="Q246" s="155">
        <v>58</v>
      </c>
      <c r="R246" s="155">
        <v>58</v>
      </c>
      <c r="S246" s="155">
        <v>58</v>
      </c>
      <c r="T246" s="155">
        <v>58</v>
      </c>
      <c r="U246" s="155">
        <v>58</v>
      </c>
      <c r="V246" s="155">
        <v>58</v>
      </c>
      <c r="W246" s="155">
        <v>58</v>
      </c>
    </row>
    <row r="247" spans="1:23" ht="12.75">
      <c r="A247" s="187" t="s">
        <v>141</v>
      </c>
      <c r="B247" s="155">
        <v>115</v>
      </c>
      <c r="C247" s="155">
        <v>115</v>
      </c>
      <c r="D247" s="155">
        <v>115</v>
      </c>
      <c r="E247" s="155">
        <v>110</v>
      </c>
      <c r="F247" s="155">
        <v>106</v>
      </c>
      <c r="G247" s="155">
        <v>102</v>
      </c>
      <c r="H247" s="155">
        <v>98</v>
      </c>
      <c r="I247" s="155">
        <v>90</v>
      </c>
      <c r="J247" s="155">
        <v>81</v>
      </c>
      <c r="K247" s="155">
        <v>73</v>
      </c>
      <c r="L247" s="155">
        <v>70</v>
      </c>
      <c r="M247" s="155">
        <v>67</v>
      </c>
      <c r="N247" s="155">
        <v>64</v>
      </c>
      <c r="O247" s="155">
        <v>61</v>
      </c>
      <c r="P247" s="155">
        <v>57</v>
      </c>
      <c r="Q247" s="155">
        <v>57</v>
      </c>
      <c r="R247" s="155">
        <v>57</v>
      </c>
      <c r="S247" s="155">
        <v>57</v>
      </c>
      <c r="T247" s="155">
        <v>57</v>
      </c>
      <c r="U247" s="155">
        <v>57</v>
      </c>
      <c r="V247" s="155">
        <v>57</v>
      </c>
      <c r="W247" s="155">
        <v>57</v>
      </c>
    </row>
    <row r="248" spans="1:23" ht="15">
      <c r="A248" s="8" t="s">
        <v>144</v>
      </c>
      <c r="B248" s="155">
        <v>114</v>
      </c>
      <c r="C248" s="155">
        <v>114</v>
      </c>
      <c r="D248" s="155">
        <v>114</v>
      </c>
      <c r="E248" s="155">
        <v>109</v>
      </c>
      <c r="F248" s="155">
        <v>105</v>
      </c>
      <c r="G248" s="155">
        <v>102</v>
      </c>
      <c r="H248" s="155">
        <v>97</v>
      </c>
      <c r="I248" s="155">
        <v>88</v>
      </c>
      <c r="J248" s="155">
        <v>80</v>
      </c>
      <c r="K248" s="155">
        <v>72</v>
      </c>
      <c r="L248" s="155">
        <v>69</v>
      </c>
      <c r="M248" s="155">
        <v>66</v>
      </c>
      <c r="N248" s="155">
        <v>63</v>
      </c>
      <c r="O248" s="155">
        <v>61</v>
      </c>
      <c r="P248" s="155">
        <v>57</v>
      </c>
      <c r="Q248" s="155">
        <v>57</v>
      </c>
      <c r="R248" s="155">
        <v>57</v>
      </c>
      <c r="S248" s="155">
        <v>57</v>
      </c>
      <c r="T248" s="155">
        <v>57</v>
      </c>
      <c r="U248" s="155">
        <v>57</v>
      </c>
      <c r="V248" s="155">
        <v>57</v>
      </c>
      <c r="W248" s="155">
        <v>57</v>
      </c>
    </row>
    <row r="249" spans="1:23" ht="12.75">
      <c r="A249" s="189" t="s">
        <v>146</v>
      </c>
      <c r="B249" s="155">
        <v>111</v>
      </c>
      <c r="C249" s="155">
        <v>111</v>
      </c>
      <c r="D249" s="155">
        <v>111</v>
      </c>
      <c r="E249" s="155">
        <v>106</v>
      </c>
      <c r="F249" s="155">
        <v>103</v>
      </c>
      <c r="G249" s="155">
        <v>99</v>
      </c>
      <c r="H249" s="155">
        <v>94</v>
      </c>
      <c r="I249" s="155">
        <v>87</v>
      </c>
      <c r="J249" s="155">
        <v>79</v>
      </c>
      <c r="K249" s="155">
        <v>70</v>
      </c>
      <c r="L249" s="155">
        <v>68</v>
      </c>
      <c r="M249" s="155">
        <v>64</v>
      </c>
      <c r="N249" s="155">
        <v>62</v>
      </c>
      <c r="O249" s="155">
        <v>58</v>
      </c>
      <c r="P249" s="155">
        <v>56</v>
      </c>
      <c r="Q249" s="155">
        <v>56</v>
      </c>
      <c r="R249" s="155">
        <v>56</v>
      </c>
      <c r="S249" s="155">
        <v>56</v>
      </c>
      <c r="T249" s="155">
        <v>56</v>
      </c>
      <c r="U249" s="155">
        <v>56</v>
      </c>
      <c r="V249" s="155">
        <v>56</v>
      </c>
      <c r="W249" s="155">
        <v>56</v>
      </c>
    </row>
    <row r="250" spans="1:23" ht="15">
      <c r="A250" s="8" t="s">
        <v>339</v>
      </c>
      <c r="B250" s="155">
        <v>109</v>
      </c>
      <c r="C250" s="155">
        <v>109</v>
      </c>
      <c r="D250" s="155">
        <v>109</v>
      </c>
      <c r="E250" s="155">
        <v>105</v>
      </c>
      <c r="F250" s="155">
        <v>100</v>
      </c>
      <c r="G250" s="155">
        <v>97</v>
      </c>
      <c r="H250" s="155">
        <v>93</v>
      </c>
      <c r="I250" s="155">
        <v>85</v>
      </c>
      <c r="J250" s="155">
        <v>76</v>
      </c>
      <c r="K250" s="155">
        <v>69</v>
      </c>
      <c r="L250" s="155">
        <v>66</v>
      </c>
      <c r="M250" s="155">
        <v>63</v>
      </c>
      <c r="N250" s="155">
        <v>61</v>
      </c>
      <c r="O250" s="155">
        <v>57</v>
      </c>
      <c r="P250" s="155">
        <v>55</v>
      </c>
      <c r="Q250" s="155">
        <v>55</v>
      </c>
      <c r="R250" s="155">
        <v>55</v>
      </c>
      <c r="S250" s="155">
        <v>55</v>
      </c>
      <c r="T250" s="155">
        <v>55</v>
      </c>
      <c r="U250" s="155">
        <v>55</v>
      </c>
      <c r="V250" s="155">
        <v>55</v>
      </c>
      <c r="W250" s="155">
        <v>55</v>
      </c>
    </row>
    <row r="251" spans="1:23" ht="15">
      <c r="A251" s="8" t="s">
        <v>150</v>
      </c>
      <c r="B251" s="243">
        <v>108</v>
      </c>
      <c r="C251" s="243">
        <v>108</v>
      </c>
      <c r="D251" s="243">
        <v>108</v>
      </c>
      <c r="E251" s="155">
        <v>104</v>
      </c>
      <c r="F251" s="155">
        <v>99</v>
      </c>
      <c r="G251" s="155">
        <v>96</v>
      </c>
      <c r="H251" s="155">
        <v>92</v>
      </c>
      <c r="I251" s="155">
        <v>84</v>
      </c>
      <c r="J251" s="155">
        <v>76</v>
      </c>
      <c r="K251" s="155">
        <v>68</v>
      </c>
      <c r="L251" s="155">
        <v>66</v>
      </c>
      <c r="M251" s="155">
        <v>63</v>
      </c>
      <c r="N251" s="155">
        <v>60</v>
      </c>
      <c r="O251" s="155">
        <v>57</v>
      </c>
      <c r="P251" s="155">
        <v>54</v>
      </c>
      <c r="Q251" s="155">
        <v>54</v>
      </c>
      <c r="R251" s="155">
        <v>54</v>
      </c>
      <c r="S251" s="155">
        <v>54</v>
      </c>
      <c r="T251" s="155">
        <v>54</v>
      </c>
      <c r="U251" s="155">
        <v>54</v>
      </c>
      <c r="V251" s="155">
        <v>54</v>
      </c>
      <c r="W251" s="155">
        <v>54</v>
      </c>
    </row>
    <row r="252" spans="1:23" ht="12.75">
      <c r="A252" s="189" t="s">
        <v>151</v>
      </c>
      <c r="B252" s="155">
        <v>105</v>
      </c>
      <c r="C252" s="155">
        <v>105</v>
      </c>
      <c r="D252" s="155">
        <v>105</v>
      </c>
      <c r="E252" s="155">
        <v>102</v>
      </c>
      <c r="F252" s="155">
        <v>98</v>
      </c>
      <c r="G252" s="155">
        <v>93</v>
      </c>
      <c r="H252" s="155">
        <v>90</v>
      </c>
      <c r="I252" s="155">
        <v>82</v>
      </c>
      <c r="J252" s="155">
        <v>74</v>
      </c>
      <c r="K252" s="155">
        <v>67</v>
      </c>
      <c r="L252" s="155">
        <v>64</v>
      </c>
      <c r="M252" s="155">
        <v>61</v>
      </c>
      <c r="N252" s="155">
        <v>58</v>
      </c>
      <c r="O252" s="155">
        <v>56</v>
      </c>
      <c r="P252" s="155">
        <v>52</v>
      </c>
      <c r="Q252" s="155">
        <v>52</v>
      </c>
      <c r="R252" s="155">
        <v>52</v>
      </c>
      <c r="S252" s="155">
        <v>52</v>
      </c>
      <c r="T252" s="155">
        <v>52</v>
      </c>
      <c r="U252" s="155">
        <v>52</v>
      </c>
      <c r="V252" s="155">
        <v>52</v>
      </c>
      <c r="W252" s="155">
        <v>52</v>
      </c>
    </row>
    <row r="253" spans="1:23" ht="15">
      <c r="A253" s="8" t="s">
        <v>152</v>
      </c>
      <c r="B253" s="155">
        <v>104</v>
      </c>
      <c r="C253" s="155">
        <v>104</v>
      </c>
      <c r="D253" s="155">
        <v>104</v>
      </c>
      <c r="E253" s="155">
        <v>100</v>
      </c>
      <c r="F253" s="155">
        <v>97</v>
      </c>
      <c r="G253" s="155">
        <v>92</v>
      </c>
      <c r="H253" s="155">
        <v>88</v>
      </c>
      <c r="I253" s="155">
        <v>81</v>
      </c>
      <c r="J253" s="155">
        <v>74</v>
      </c>
      <c r="K253" s="155">
        <v>66</v>
      </c>
      <c r="L253" s="155">
        <v>63</v>
      </c>
      <c r="M253" s="155">
        <v>61</v>
      </c>
      <c r="N253" s="155">
        <v>58</v>
      </c>
      <c r="O253" s="155">
        <v>55</v>
      </c>
      <c r="P253" s="155">
        <v>52</v>
      </c>
      <c r="Q253" s="155">
        <v>52</v>
      </c>
      <c r="R253" s="155">
        <v>52</v>
      </c>
      <c r="S253" s="155">
        <v>52</v>
      </c>
      <c r="T253" s="155">
        <v>52</v>
      </c>
      <c r="U253" s="155">
        <v>52</v>
      </c>
      <c r="V253" s="155">
        <v>52</v>
      </c>
      <c r="W253" s="155">
        <v>52</v>
      </c>
    </row>
    <row r="254" spans="1:23" ht="15">
      <c r="A254" s="150" t="s">
        <v>328</v>
      </c>
      <c r="B254" s="151" t="s">
        <v>24</v>
      </c>
      <c r="C254" s="151" t="s">
        <v>25</v>
      </c>
      <c r="D254" s="151" t="s">
        <v>26</v>
      </c>
      <c r="E254" s="151" t="s">
        <v>27</v>
      </c>
      <c r="F254" s="151" t="s">
        <v>28</v>
      </c>
      <c r="G254" s="151" t="s">
        <v>74</v>
      </c>
      <c r="H254" s="151" t="s">
        <v>75</v>
      </c>
      <c r="I254" s="151" t="s">
        <v>76</v>
      </c>
      <c r="J254" s="151" t="s">
        <v>77</v>
      </c>
      <c r="K254" s="151" t="s">
        <v>78</v>
      </c>
      <c r="L254" s="151" t="s">
        <v>79</v>
      </c>
      <c r="M254" s="151" t="s">
        <v>80</v>
      </c>
      <c r="N254" s="16" t="s">
        <v>81</v>
      </c>
      <c r="O254" s="16" t="s">
        <v>82</v>
      </c>
      <c r="P254" s="16" t="s">
        <v>83</v>
      </c>
      <c r="Q254" s="16" t="s">
        <v>84</v>
      </c>
      <c r="R254" s="151" t="s">
        <v>85</v>
      </c>
      <c r="S254" s="16" t="s">
        <v>86</v>
      </c>
      <c r="T254" s="16" t="s">
        <v>87</v>
      </c>
      <c r="U254" s="16" t="s">
        <v>88</v>
      </c>
      <c r="V254" s="16" t="s">
        <v>89</v>
      </c>
      <c r="W254" s="151" t="s">
        <v>90</v>
      </c>
    </row>
    <row r="255" spans="1:23" ht="15">
      <c r="A255" s="8" t="s">
        <v>106</v>
      </c>
      <c r="B255" s="155">
        <f t="array" ref="B255:W259">INT($Z$113:$AU$117*1.2)</f>
        <v>105</v>
      </c>
      <c r="C255" s="155">
        <v>105</v>
      </c>
      <c r="D255" s="155">
        <v>105</v>
      </c>
      <c r="E255" s="155">
        <v>98</v>
      </c>
      <c r="F255" s="155">
        <v>90</v>
      </c>
      <c r="G255" s="155">
        <v>81</v>
      </c>
      <c r="H255" s="155">
        <v>74</v>
      </c>
      <c r="I255" s="155">
        <v>58</v>
      </c>
      <c r="J255" s="155">
        <v>54</v>
      </c>
      <c r="K255" s="155">
        <v>50</v>
      </c>
      <c r="L255" s="155">
        <v>50</v>
      </c>
      <c r="M255" s="155">
        <v>50</v>
      </c>
      <c r="N255" s="155">
        <v>50</v>
      </c>
      <c r="O255" s="155">
        <v>50</v>
      </c>
      <c r="P255" s="155">
        <v>50</v>
      </c>
      <c r="Q255" s="155">
        <v>50</v>
      </c>
      <c r="R255" s="155">
        <v>50</v>
      </c>
      <c r="S255" s="155">
        <v>50</v>
      </c>
      <c r="T255" s="155">
        <v>50</v>
      </c>
      <c r="U255" s="155">
        <v>50</v>
      </c>
      <c r="V255" s="155">
        <v>50</v>
      </c>
      <c r="W255" s="155">
        <v>50</v>
      </c>
    </row>
    <row r="256" spans="1:23" ht="15">
      <c r="A256" s="52" t="s">
        <v>108</v>
      </c>
      <c r="B256" s="155">
        <v>102</v>
      </c>
      <c r="C256" s="155">
        <v>102</v>
      </c>
      <c r="D256" s="155">
        <v>102</v>
      </c>
      <c r="E256" s="155">
        <v>93</v>
      </c>
      <c r="F256" s="155">
        <v>86</v>
      </c>
      <c r="G256" s="155">
        <v>79</v>
      </c>
      <c r="H256" s="155">
        <v>70</v>
      </c>
      <c r="I256" s="155">
        <v>56</v>
      </c>
      <c r="J256" s="155">
        <v>51</v>
      </c>
      <c r="K256" s="155">
        <v>48</v>
      </c>
      <c r="L256" s="155">
        <v>48</v>
      </c>
      <c r="M256" s="155">
        <v>48</v>
      </c>
      <c r="N256" s="155">
        <v>48</v>
      </c>
      <c r="O256" s="155">
        <v>48</v>
      </c>
      <c r="P256" s="155">
        <v>48</v>
      </c>
      <c r="Q256" s="155">
        <v>48</v>
      </c>
      <c r="R256" s="155">
        <v>48</v>
      </c>
      <c r="S256" s="155">
        <v>48</v>
      </c>
      <c r="T256" s="155">
        <v>48</v>
      </c>
      <c r="U256" s="155">
        <v>48</v>
      </c>
      <c r="V256" s="155">
        <v>48</v>
      </c>
      <c r="W256" s="155">
        <v>48</v>
      </c>
    </row>
    <row r="257" spans="1:23" ht="15">
      <c r="A257" s="50" t="s">
        <v>110</v>
      </c>
      <c r="B257" s="155">
        <v>99</v>
      </c>
      <c r="C257" s="155">
        <v>99</v>
      </c>
      <c r="D257" s="155">
        <v>99</v>
      </c>
      <c r="E257" s="155">
        <v>92</v>
      </c>
      <c r="F257" s="155">
        <v>85</v>
      </c>
      <c r="G257" s="155">
        <v>76</v>
      </c>
      <c r="H257" s="155">
        <v>69</v>
      </c>
      <c r="I257" s="155">
        <v>54</v>
      </c>
      <c r="J257" s="155">
        <v>50</v>
      </c>
      <c r="K257" s="155">
        <v>46</v>
      </c>
      <c r="L257" s="155">
        <v>46</v>
      </c>
      <c r="M257" s="155">
        <v>46</v>
      </c>
      <c r="N257" s="155">
        <v>46</v>
      </c>
      <c r="O257" s="155">
        <v>46</v>
      </c>
      <c r="P257" s="155">
        <v>46</v>
      </c>
      <c r="Q257" s="155">
        <v>46</v>
      </c>
      <c r="R257" s="155">
        <v>46</v>
      </c>
      <c r="S257" s="155">
        <v>46</v>
      </c>
      <c r="T257" s="155">
        <v>46</v>
      </c>
      <c r="U257" s="155">
        <v>46</v>
      </c>
      <c r="V257" s="155">
        <v>46</v>
      </c>
      <c r="W257" s="155">
        <v>46</v>
      </c>
    </row>
    <row r="258" spans="1:23" ht="15">
      <c r="A258" s="50" t="s">
        <v>112</v>
      </c>
      <c r="B258" s="164">
        <v>96</v>
      </c>
      <c r="C258" s="155">
        <v>96</v>
      </c>
      <c r="D258" s="155">
        <v>96</v>
      </c>
      <c r="E258" s="155">
        <v>88</v>
      </c>
      <c r="F258" s="155">
        <v>81</v>
      </c>
      <c r="G258" s="155">
        <v>74</v>
      </c>
      <c r="H258" s="155">
        <v>67</v>
      </c>
      <c r="I258" s="155">
        <v>52</v>
      </c>
      <c r="J258" s="155">
        <v>49</v>
      </c>
      <c r="K258" s="155">
        <v>45</v>
      </c>
      <c r="L258" s="155">
        <v>45</v>
      </c>
      <c r="M258" s="155">
        <v>45</v>
      </c>
      <c r="N258" s="155">
        <v>45</v>
      </c>
      <c r="O258" s="155">
        <v>45</v>
      </c>
      <c r="P258" s="155">
        <v>45</v>
      </c>
      <c r="Q258" s="155">
        <v>45</v>
      </c>
      <c r="R258" s="155">
        <v>45</v>
      </c>
      <c r="S258" s="155">
        <v>45</v>
      </c>
      <c r="T258" s="155">
        <v>45</v>
      </c>
      <c r="U258" s="155">
        <v>45</v>
      </c>
      <c r="V258" s="155">
        <v>45</v>
      </c>
      <c r="W258" s="155">
        <v>45</v>
      </c>
    </row>
    <row r="259" spans="1:23" ht="15">
      <c r="A259" s="50" t="s">
        <v>114</v>
      </c>
      <c r="B259" s="164">
        <v>93</v>
      </c>
      <c r="C259" s="155">
        <v>93</v>
      </c>
      <c r="D259" s="155">
        <v>93</v>
      </c>
      <c r="E259" s="155">
        <v>86</v>
      </c>
      <c r="F259" s="155">
        <v>79</v>
      </c>
      <c r="G259" s="155">
        <v>73</v>
      </c>
      <c r="H259" s="155">
        <v>66</v>
      </c>
      <c r="I259" s="155">
        <v>51</v>
      </c>
      <c r="J259" s="155">
        <v>48</v>
      </c>
      <c r="K259" s="155">
        <v>44</v>
      </c>
      <c r="L259" s="155">
        <v>44</v>
      </c>
      <c r="M259" s="155">
        <v>44</v>
      </c>
      <c r="N259" s="155">
        <v>44</v>
      </c>
      <c r="O259" s="155">
        <v>44</v>
      </c>
      <c r="P259" s="155">
        <v>44</v>
      </c>
      <c r="Q259" s="155">
        <v>44</v>
      </c>
      <c r="R259" s="155">
        <v>44</v>
      </c>
      <c r="S259" s="155">
        <v>44</v>
      </c>
      <c r="T259" s="155">
        <v>44</v>
      </c>
      <c r="U259" s="155">
        <v>44</v>
      </c>
      <c r="V259" s="155">
        <v>44</v>
      </c>
      <c r="W259" s="155">
        <v>44</v>
      </c>
    </row>
    <row r="260" spans="1:23" ht="15">
      <c r="A260" s="150" t="s">
        <v>333</v>
      </c>
      <c r="B260" s="151" t="s">
        <v>24</v>
      </c>
      <c r="C260" s="151" t="s">
        <v>25</v>
      </c>
      <c r="D260" s="151" t="s">
        <v>26</v>
      </c>
      <c r="E260" s="151" t="s">
        <v>27</v>
      </c>
      <c r="F260" s="151" t="s">
        <v>28</v>
      </c>
      <c r="G260" s="151" t="s">
        <v>74</v>
      </c>
      <c r="H260" s="151" t="s">
        <v>75</v>
      </c>
      <c r="I260" s="151" t="s">
        <v>76</v>
      </c>
      <c r="J260" s="151" t="s">
        <v>77</v>
      </c>
      <c r="K260" s="151" t="s">
        <v>78</v>
      </c>
      <c r="L260" s="151" t="s">
        <v>79</v>
      </c>
      <c r="M260" s="151" t="s">
        <v>80</v>
      </c>
      <c r="N260" s="16" t="s">
        <v>81</v>
      </c>
      <c r="O260" s="16" t="s">
        <v>82</v>
      </c>
      <c r="P260" s="16" t="s">
        <v>83</v>
      </c>
      <c r="Q260" s="16" t="s">
        <v>84</v>
      </c>
      <c r="R260" s="151" t="s">
        <v>85</v>
      </c>
      <c r="S260" s="16" t="s">
        <v>86</v>
      </c>
      <c r="T260" s="16" t="s">
        <v>87</v>
      </c>
      <c r="U260" s="16" t="s">
        <v>88</v>
      </c>
      <c r="V260" s="16" t="s">
        <v>89</v>
      </c>
      <c r="W260" s="151" t="s">
        <v>90</v>
      </c>
    </row>
    <row r="261" spans="1:23" ht="12.75">
      <c r="A261" s="192" t="s">
        <v>119</v>
      </c>
      <c r="B261" s="155">
        <f t="array" ref="B261:W267">INT($Z$119:$AU$125*1.2)</f>
        <v>127</v>
      </c>
      <c r="C261" s="155">
        <v>127</v>
      </c>
      <c r="D261" s="155">
        <v>127</v>
      </c>
      <c r="E261" s="155">
        <v>116</v>
      </c>
      <c r="F261" s="155">
        <v>105</v>
      </c>
      <c r="G261" s="155">
        <v>94</v>
      </c>
      <c r="H261" s="155">
        <v>84</v>
      </c>
      <c r="I261" s="155">
        <v>62</v>
      </c>
      <c r="J261" s="155">
        <v>58</v>
      </c>
      <c r="K261" s="155">
        <v>55</v>
      </c>
      <c r="L261" s="155">
        <v>55</v>
      </c>
      <c r="M261" s="155">
        <v>55</v>
      </c>
      <c r="N261" s="155">
        <v>55</v>
      </c>
      <c r="O261" s="155">
        <v>55</v>
      </c>
      <c r="P261" s="155">
        <v>55</v>
      </c>
      <c r="Q261" s="155">
        <v>55</v>
      </c>
      <c r="R261" s="155">
        <v>55</v>
      </c>
      <c r="S261" s="155">
        <v>55</v>
      </c>
      <c r="T261" s="155">
        <v>55</v>
      </c>
      <c r="U261" s="155">
        <v>55</v>
      </c>
      <c r="V261" s="155">
        <v>55</v>
      </c>
      <c r="W261" s="155">
        <v>55</v>
      </c>
    </row>
    <row r="262" spans="1:23" ht="12.75">
      <c r="A262" s="194" t="s">
        <v>136</v>
      </c>
      <c r="B262" s="155">
        <v>126</v>
      </c>
      <c r="C262" s="155">
        <v>126</v>
      </c>
      <c r="D262" s="155">
        <v>126</v>
      </c>
      <c r="E262" s="155">
        <v>115</v>
      </c>
      <c r="F262" s="155">
        <v>105</v>
      </c>
      <c r="G262" s="155">
        <v>94</v>
      </c>
      <c r="H262" s="155">
        <v>84</v>
      </c>
      <c r="I262" s="155">
        <v>62</v>
      </c>
      <c r="J262" s="155">
        <v>57</v>
      </c>
      <c r="K262" s="155">
        <v>55</v>
      </c>
      <c r="L262" s="155">
        <v>55</v>
      </c>
      <c r="M262" s="155">
        <v>55</v>
      </c>
      <c r="N262" s="155">
        <v>55</v>
      </c>
      <c r="O262" s="155">
        <v>55</v>
      </c>
      <c r="P262" s="155">
        <v>55</v>
      </c>
      <c r="Q262" s="155">
        <v>55</v>
      </c>
      <c r="R262" s="155">
        <v>55</v>
      </c>
      <c r="S262" s="155">
        <v>55</v>
      </c>
      <c r="T262" s="155">
        <v>55</v>
      </c>
      <c r="U262" s="155">
        <v>55</v>
      </c>
      <c r="V262" s="155">
        <v>55</v>
      </c>
      <c r="W262" s="155">
        <v>55</v>
      </c>
    </row>
    <row r="263" spans="1:23" ht="12.75">
      <c r="A263" s="196" t="s">
        <v>139</v>
      </c>
      <c r="B263" s="155">
        <v>118</v>
      </c>
      <c r="C263" s="155">
        <v>118</v>
      </c>
      <c r="D263" s="155">
        <v>118</v>
      </c>
      <c r="E263" s="155">
        <v>109</v>
      </c>
      <c r="F263" s="155">
        <v>99</v>
      </c>
      <c r="G263" s="155">
        <v>88</v>
      </c>
      <c r="H263" s="155">
        <v>79</v>
      </c>
      <c r="I263" s="155">
        <v>58</v>
      </c>
      <c r="J263" s="155">
        <v>55</v>
      </c>
      <c r="K263" s="155">
        <v>51</v>
      </c>
      <c r="L263" s="155">
        <v>51</v>
      </c>
      <c r="M263" s="155">
        <v>51</v>
      </c>
      <c r="N263" s="155">
        <v>51</v>
      </c>
      <c r="O263" s="155">
        <v>51</v>
      </c>
      <c r="P263" s="155">
        <v>51</v>
      </c>
      <c r="Q263" s="155">
        <v>51</v>
      </c>
      <c r="R263" s="155">
        <v>51</v>
      </c>
      <c r="S263" s="155">
        <v>51</v>
      </c>
      <c r="T263" s="155">
        <v>51</v>
      </c>
      <c r="U263" s="155">
        <v>51</v>
      </c>
      <c r="V263" s="155">
        <v>51</v>
      </c>
      <c r="W263" s="155">
        <v>51</v>
      </c>
    </row>
    <row r="264" spans="1:23" ht="12.75">
      <c r="A264" s="197" t="s">
        <v>142</v>
      </c>
      <c r="B264" s="155">
        <v>114</v>
      </c>
      <c r="C264" s="155">
        <v>114</v>
      </c>
      <c r="D264" s="155">
        <v>114</v>
      </c>
      <c r="E264" s="155">
        <v>104</v>
      </c>
      <c r="F264" s="155">
        <v>94</v>
      </c>
      <c r="G264" s="155">
        <v>85</v>
      </c>
      <c r="H264" s="155">
        <v>75</v>
      </c>
      <c r="I264" s="155">
        <v>56</v>
      </c>
      <c r="J264" s="155">
        <v>52</v>
      </c>
      <c r="K264" s="155">
        <v>49</v>
      </c>
      <c r="L264" s="155">
        <v>49</v>
      </c>
      <c r="M264" s="155">
        <v>49</v>
      </c>
      <c r="N264" s="155">
        <v>49</v>
      </c>
      <c r="O264" s="155">
        <v>49</v>
      </c>
      <c r="P264" s="155">
        <v>49</v>
      </c>
      <c r="Q264" s="155">
        <v>49</v>
      </c>
      <c r="R264" s="155">
        <v>49</v>
      </c>
      <c r="S264" s="155">
        <v>49</v>
      </c>
      <c r="T264" s="155">
        <v>49</v>
      </c>
      <c r="U264" s="155">
        <v>49</v>
      </c>
      <c r="V264" s="155">
        <v>49</v>
      </c>
      <c r="W264" s="155">
        <v>49</v>
      </c>
    </row>
    <row r="265" spans="1:23" ht="15">
      <c r="A265" s="199" t="s">
        <v>145</v>
      </c>
      <c r="B265" s="243">
        <v>108</v>
      </c>
      <c r="C265" s="243">
        <v>108</v>
      </c>
      <c r="D265" s="243">
        <v>108</v>
      </c>
      <c r="E265" s="155">
        <v>99</v>
      </c>
      <c r="F265" s="155">
        <v>90</v>
      </c>
      <c r="G265" s="155">
        <v>80</v>
      </c>
      <c r="H265" s="155">
        <v>72</v>
      </c>
      <c r="I265" s="155">
        <v>52</v>
      </c>
      <c r="J265" s="155">
        <v>49</v>
      </c>
      <c r="K265" s="155">
        <v>46</v>
      </c>
      <c r="L265" s="155">
        <v>46</v>
      </c>
      <c r="M265" s="155">
        <v>46</v>
      </c>
      <c r="N265" s="155">
        <v>46</v>
      </c>
      <c r="O265" s="155">
        <v>46</v>
      </c>
      <c r="P265" s="155">
        <v>46</v>
      </c>
      <c r="Q265" s="155">
        <v>46</v>
      </c>
      <c r="R265" s="155">
        <v>46</v>
      </c>
      <c r="S265" s="155">
        <v>46</v>
      </c>
      <c r="T265" s="155">
        <v>46</v>
      </c>
      <c r="U265" s="155">
        <v>46</v>
      </c>
      <c r="V265" s="155">
        <v>46</v>
      </c>
      <c r="W265" s="155">
        <v>46</v>
      </c>
    </row>
    <row r="266" spans="1:23" ht="12.75">
      <c r="A266" s="200" t="s">
        <v>147</v>
      </c>
      <c r="B266" s="164">
        <v>105</v>
      </c>
      <c r="C266" s="164">
        <v>105</v>
      </c>
      <c r="D266" s="155">
        <v>105</v>
      </c>
      <c r="E266" s="155">
        <v>96</v>
      </c>
      <c r="F266" s="155">
        <v>87</v>
      </c>
      <c r="G266" s="155">
        <v>79</v>
      </c>
      <c r="H266" s="155">
        <v>69</v>
      </c>
      <c r="I266" s="155">
        <v>51</v>
      </c>
      <c r="J266" s="155">
        <v>49</v>
      </c>
      <c r="K266" s="155">
        <v>45</v>
      </c>
      <c r="L266" s="155">
        <v>45</v>
      </c>
      <c r="M266" s="155">
        <v>45</v>
      </c>
      <c r="N266" s="155">
        <v>45</v>
      </c>
      <c r="O266" s="155">
        <v>45</v>
      </c>
      <c r="P266" s="155">
        <v>45</v>
      </c>
      <c r="Q266" s="155">
        <v>45</v>
      </c>
      <c r="R266" s="155">
        <v>45</v>
      </c>
      <c r="S266" s="155">
        <v>45</v>
      </c>
      <c r="T266" s="155">
        <v>45</v>
      </c>
      <c r="U266" s="155">
        <v>45</v>
      </c>
      <c r="V266" s="155">
        <v>45</v>
      </c>
      <c r="W266" s="155">
        <v>45</v>
      </c>
    </row>
    <row r="267" spans="1:23" ht="12.75">
      <c r="A267" s="202" t="s">
        <v>149</v>
      </c>
      <c r="B267" s="164">
        <v>99</v>
      </c>
      <c r="C267" s="164">
        <v>99</v>
      </c>
      <c r="D267" s="155">
        <v>99</v>
      </c>
      <c r="E267" s="155">
        <v>91</v>
      </c>
      <c r="F267" s="155">
        <v>82</v>
      </c>
      <c r="G267" s="155">
        <v>74</v>
      </c>
      <c r="H267" s="155">
        <v>66</v>
      </c>
      <c r="I267" s="155">
        <v>49</v>
      </c>
      <c r="J267" s="155">
        <v>45</v>
      </c>
      <c r="K267" s="155">
        <v>43</v>
      </c>
      <c r="L267" s="155">
        <v>43</v>
      </c>
      <c r="M267" s="155">
        <v>43</v>
      </c>
      <c r="N267" s="155">
        <v>43</v>
      </c>
      <c r="O267" s="155">
        <v>43</v>
      </c>
      <c r="P267" s="155">
        <v>43</v>
      </c>
      <c r="Q267" s="155">
        <v>43</v>
      </c>
      <c r="R267" s="155">
        <v>43</v>
      </c>
      <c r="S267" s="155">
        <v>43</v>
      </c>
      <c r="T267" s="155">
        <v>43</v>
      </c>
      <c r="U267" s="155">
        <v>43</v>
      </c>
      <c r="V267" s="155">
        <v>43</v>
      </c>
      <c r="W267" s="155">
        <v>43</v>
      </c>
    </row>
    <row r="268" spans="1:23" ht="15">
      <c r="A268" s="145" t="s">
        <v>340</v>
      </c>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row>
    <row r="269" spans="1:23" ht="15">
      <c r="A269" s="150" t="s">
        <v>323</v>
      </c>
      <c r="B269" s="151" t="s">
        <v>24</v>
      </c>
      <c r="C269" s="151" t="s">
        <v>25</v>
      </c>
      <c r="D269" s="151" t="s">
        <v>26</v>
      </c>
      <c r="E269" s="151" t="s">
        <v>27</v>
      </c>
      <c r="F269" s="151" t="s">
        <v>28</v>
      </c>
      <c r="G269" s="151" t="s">
        <v>74</v>
      </c>
      <c r="H269" s="151" t="s">
        <v>75</v>
      </c>
      <c r="I269" s="151" t="s">
        <v>76</v>
      </c>
      <c r="J269" s="151" t="s">
        <v>77</v>
      </c>
      <c r="K269" s="151" t="s">
        <v>78</v>
      </c>
      <c r="L269" s="151" t="s">
        <v>79</v>
      </c>
      <c r="M269" s="151" t="s">
        <v>80</v>
      </c>
      <c r="N269" s="16" t="s">
        <v>81</v>
      </c>
      <c r="O269" s="16" t="s">
        <v>82</v>
      </c>
      <c r="P269" s="16" t="s">
        <v>83</v>
      </c>
      <c r="Q269" s="16" t="s">
        <v>84</v>
      </c>
      <c r="R269" s="151" t="s">
        <v>85</v>
      </c>
      <c r="S269" s="16" t="s">
        <v>86</v>
      </c>
      <c r="T269" s="16" t="s">
        <v>87</v>
      </c>
      <c r="U269" s="16" t="s">
        <v>88</v>
      </c>
      <c r="V269" s="16" t="s">
        <v>89</v>
      </c>
      <c r="W269" s="151" t="s">
        <v>90</v>
      </c>
    </row>
    <row r="270" spans="1:23" ht="15">
      <c r="A270" s="50" t="s">
        <v>341</v>
      </c>
      <c r="B270" s="155">
        <f t="array" ref="B270:W276">INT($Z$128:$AU$134*1.2)</f>
        <v>104</v>
      </c>
      <c r="C270" s="155">
        <v>97</v>
      </c>
      <c r="D270" s="155">
        <v>91</v>
      </c>
      <c r="E270" s="155">
        <v>84</v>
      </c>
      <c r="F270" s="155">
        <v>78</v>
      </c>
      <c r="G270" s="155">
        <v>70</v>
      </c>
      <c r="H270" s="155">
        <v>64</v>
      </c>
      <c r="I270" s="155">
        <v>62</v>
      </c>
      <c r="J270" s="155">
        <v>60</v>
      </c>
      <c r="K270" s="155">
        <v>57</v>
      </c>
      <c r="L270" s="155">
        <v>55</v>
      </c>
      <c r="M270" s="155">
        <v>52</v>
      </c>
      <c r="N270" s="155">
        <v>52</v>
      </c>
      <c r="O270" s="155">
        <v>52</v>
      </c>
      <c r="P270" s="155">
        <v>52</v>
      </c>
      <c r="Q270" s="155">
        <v>52</v>
      </c>
      <c r="R270" s="155">
        <v>52</v>
      </c>
      <c r="S270" s="155">
        <v>52</v>
      </c>
      <c r="T270" s="155">
        <v>52</v>
      </c>
      <c r="U270" s="155">
        <v>52</v>
      </c>
      <c r="V270" s="155">
        <v>52</v>
      </c>
      <c r="W270" s="155">
        <v>52</v>
      </c>
    </row>
    <row r="271" spans="1:23" ht="12.75">
      <c r="A271" s="42" t="s">
        <v>342</v>
      </c>
      <c r="B271" s="155">
        <v>102</v>
      </c>
      <c r="C271" s="155">
        <v>94</v>
      </c>
      <c r="D271" s="155">
        <v>88</v>
      </c>
      <c r="E271" s="155">
        <v>81</v>
      </c>
      <c r="F271" s="155">
        <v>75</v>
      </c>
      <c r="G271" s="155">
        <v>69</v>
      </c>
      <c r="H271" s="155">
        <v>63</v>
      </c>
      <c r="I271" s="155">
        <v>60</v>
      </c>
      <c r="J271" s="155">
        <v>58</v>
      </c>
      <c r="K271" s="155">
        <v>56</v>
      </c>
      <c r="L271" s="155">
        <v>54</v>
      </c>
      <c r="M271" s="155">
        <v>51</v>
      </c>
      <c r="N271" s="155">
        <v>51</v>
      </c>
      <c r="O271" s="155">
        <v>51</v>
      </c>
      <c r="P271" s="155">
        <v>51</v>
      </c>
      <c r="Q271" s="155">
        <v>51</v>
      </c>
      <c r="R271" s="155">
        <v>51</v>
      </c>
      <c r="S271" s="155">
        <v>51</v>
      </c>
      <c r="T271" s="155">
        <v>51</v>
      </c>
      <c r="U271" s="155">
        <v>51</v>
      </c>
      <c r="V271" s="155">
        <v>51</v>
      </c>
      <c r="W271" s="155">
        <v>51</v>
      </c>
    </row>
    <row r="272" spans="1:23" ht="12.75">
      <c r="A272" s="184" t="s">
        <v>343</v>
      </c>
      <c r="B272" s="155">
        <v>99</v>
      </c>
      <c r="C272" s="155">
        <v>93</v>
      </c>
      <c r="D272" s="155">
        <v>86</v>
      </c>
      <c r="E272" s="155">
        <v>80</v>
      </c>
      <c r="F272" s="155">
        <v>74</v>
      </c>
      <c r="G272" s="155">
        <v>68</v>
      </c>
      <c r="H272" s="155">
        <v>61</v>
      </c>
      <c r="I272" s="155">
        <v>58</v>
      </c>
      <c r="J272" s="155">
        <v>56</v>
      </c>
      <c r="K272" s="155">
        <v>55</v>
      </c>
      <c r="L272" s="155">
        <v>52</v>
      </c>
      <c r="M272" s="155">
        <v>50</v>
      </c>
      <c r="N272" s="155">
        <v>50</v>
      </c>
      <c r="O272" s="155">
        <v>50</v>
      </c>
      <c r="P272" s="155">
        <v>50</v>
      </c>
      <c r="Q272" s="155">
        <v>50</v>
      </c>
      <c r="R272" s="155">
        <v>50</v>
      </c>
      <c r="S272" s="155">
        <v>50</v>
      </c>
      <c r="T272" s="155">
        <v>50</v>
      </c>
      <c r="U272" s="155">
        <v>50</v>
      </c>
      <c r="V272" s="155">
        <v>50</v>
      </c>
      <c r="W272" s="155">
        <v>50</v>
      </c>
    </row>
    <row r="273" spans="1:23" ht="12.75">
      <c r="A273" s="42" t="s">
        <v>344</v>
      </c>
      <c r="B273" s="155">
        <v>96</v>
      </c>
      <c r="C273" s="155">
        <v>90</v>
      </c>
      <c r="D273" s="155">
        <v>84</v>
      </c>
      <c r="E273" s="155">
        <v>78</v>
      </c>
      <c r="F273" s="155">
        <v>72</v>
      </c>
      <c r="G273" s="155">
        <v>66</v>
      </c>
      <c r="H273" s="155">
        <v>60</v>
      </c>
      <c r="I273" s="155">
        <v>56</v>
      </c>
      <c r="J273" s="155">
        <v>55</v>
      </c>
      <c r="K273" s="155">
        <v>52</v>
      </c>
      <c r="L273" s="155">
        <v>50</v>
      </c>
      <c r="M273" s="155">
        <v>48</v>
      </c>
      <c r="N273" s="155">
        <v>48</v>
      </c>
      <c r="O273" s="155">
        <v>48</v>
      </c>
      <c r="P273" s="155">
        <v>48</v>
      </c>
      <c r="Q273" s="155">
        <v>48</v>
      </c>
      <c r="R273" s="155">
        <v>48</v>
      </c>
      <c r="S273" s="155">
        <v>48</v>
      </c>
      <c r="T273" s="155">
        <v>48</v>
      </c>
      <c r="U273" s="155">
        <v>48</v>
      </c>
      <c r="V273" s="155">
        <v>48</v>
      </c>
      <c r="W273" s="155">
        <v>48</v>
      </c>
    </row>
    <row r="274" spans="1:23" ht="12.75">
      <c r="A274" s="165" t="s">
        <v>345</v>
      </c>
      <c r="B274" s="155">
        <v>93</v>
      </c>
      <c r="C274" s="155">
        <v>87</v>
      </c>
      <c r="D274" s="155">
        <v>81</v>
      </c>
      <c r="E274" s="155">
        <v>75</v>
      </c>
      <c r="F274" s="155">
        <v>69</v>
      </c>
      <c r="G274" s="155">
        <v>63</v>
      </c>
      <c r="H274" s="155">
        <v>57</v>
      </c>
      <c r="I274" s="155">
        <v>55</v>
      </c>
      <c r="J274" s="155">
        <v>54</v>
      </c>
      <c r="K274" s="155">
        <v>51</v>
      </c>
      <c r="L274" s="155">
        <v>49</v>
      </c>
      <c r="M274" s="155">
        <v>46</v>
      </c>
      <c r="N274" s="155">
        <v>46</v>
      </c>
      <c r="O274" s="155">
        <v>46</v>
      </c>
      <c r="P274" s="155">
        <v>46</v>
      </c>
      <c r="Q274" s="155">
        <v>46</v>
      </c>
      <c r="R274" s="155">
        <v>46</v>
      </c>
      <c r="S274" s="155">
        <v>46</v>
      </c>
      <c r="T274" s="155">
        <v>46</v>
      </c>
      <c r="U274" s="155">
        <v>46</v>
      </c>
      <c r="V274" s="155">
        <v>46</v>
      </c>
      <c r="W274" s="155">
        <v>46</v>
      </c>
    </row>
    <row r="275" spans="1:23" ht="15">
      <c r="A275" s="50" t="s">
        <v>346</v>
      </c>
      <c r="B275" s="155">
        <v>92</v>
      </c>
      <c r="C275" s="155">
        <v>86</v>
      </c>
      <c r="D275" s="155">
        <v>80</v>
      </c>
      <c r="E275" s="155">
        <v>74</v>
      </c>
      <c r="F275" s="155">
        <v>68</v>
      </c>
      <c r="G275" s="155">
        <v>63</v>
      </c>
      <c r="H275" s="155">
        <v>57</v>
      </c>
      <c r="I275" s="155">
        <v>55</v>
      </c>
      <c r="J275" s="155">
        <v>52</v>
      </c>
      <c r="K275" s="155">
        <v>50</v>
      </c>
      <c r="L275" s="155">
        <v>49</v>
      </c>
      <c r="M275" s="155">
        <v>46</v>
      </c>
      <c r="N275" s="155">
        <v>46</v>
      </c>
      <c r="O275" s="155">
        <v>46</v>
      </c>
      <c r="P275" s="155">
        <v>46</v>
      </c>
      <c r="Q275" s="155">
        <v>46</v>
      </c>
      <c r="R275" s="155">
        <v>46</v>
      </c>
      <c r="S275" s="155">
        <v>46</v>
      </c>
      <c r="T275" s="155">
        <v>46</v>
      </c>
      <c r="U275" s="155">
        <v>46</v>
      </c>
      <c r="V275" s="155">
        <v>46</v>
      </c>
      <c r="W275" s="155">
        <v>46</v>
      </c>
    </row>
    <row r="276" spans="1:23" ht="15">
      <c r="A276" s="38" t="s">
        <v>347</v>
      </c>
      <c r="B276" s="155">
        <v>91</v>
      </c>
      <c r="C276" s="155">
        <v>85</v>
      </c>
      <c r="D276" s="155">
        <v>79</v>
      </c>
      <c r="E276" s="155">
        <v>73</v>
      </c>
      <c r="F276" s="155">
        <v>68</v>
      </c>
      <c r="G276" s="155">
        <v>62</v>
      </c>
      <c r="H276" s="155">
        <v>56</v>
      </c>
      <c r="I276" s="155">
        <v>54</v>
      </c>
      <c r="J276" s="155">
        <v>51</v>
      </c>
      <c r="K276" s="155">
        <v>50</v>
      </c>
      <c r="L276" s="155">
        <v>48</v>
      </c>
      <c r="M276" s="155">
        <v>45</v>
      </c>
      <c r="N276" s="155">
        <v>45</v>
      </c>
      <c r="O276" s="155">
        <v>45</v>
      </c>
      <c r="P276" s="155">
        <v>45</v>
      </c>
      <c r="Q276" s="155">
        <v>45</v>
      </c>
      <c r="R276" s="155">
        <v>45</v>
      </c>
      <c r="S276" s="155">
        <v>45</v>
      </c>
      <c r="T276" s="155">
        <v>45</v>
      </c>
      <c r="U276" s="155">
        <v>45</v>
      </c>
      <c r="V276" s="155">
        <v>45</v>
      </c>
      <c r="W276" s="155">
        <v>45</v>
      </c>
    </row>
    <row r="277" spans="1:23" ht="15">
      <c r="A277" s="150" t="s">
        <v>328</v>
      </c>
      <c r="B277" s="151" t="s">
        <v>24</v>
      </c>
      <c r="C277" s="151" t="s">
        <v>25</v>
      </c>
      <c r="D277" s="151" t="s">
        <v>26</v>
      </c>
      <c r="E277" s="151" t="s">
        <v>27</v>
      </c>
      <c r="F277" s="151" t="s">
        <v>28</v>
      </c>
      <c r="G277" s="151" t="s">
        <v>74</v>
      </c>
      <c r="H277" s="151" t="s">
        <v>75</v>
      </c>
      <c r="I277" s="151" t="s">
        <v>76</v>
      </c>
      <c r="J277" s="151" t="s">
        <v>77</v>
      </c>
      <c r="K277" s="151" t="s">
        <v>78</v>
      </c>
      <c r="L277" s="151" t="s">
        <v>79</v>
      </c>
      <c r="M277" s="151" t="s">
        <v>80</v>
      </c>
      <c r="N277" s="16" t="s">
        <v>81</v>
      </c>
      <c r="O277" s="16" t="s">
        <v>82</v>
      </c>
      <c r="P277" s="16" t="s">
        <v>83</v>
      </c>
      <c r="Q277" s="16" t="s">
        <v>84</v>
      </c>
      <c r="R277" s="151" t="s">
        <v>85</v>
      </c>
      <c r="S277" s="16" t="s">
        <v>86</v>
      </c>
      <c r="T277" s="16" t="s">
        <v>87</v>
      </c>
      <c r="U277" s="16" t="s">
        <v>88</v>
      </c>
      <c r="V277" s="16" t="s">
        <v>89</v>
      </c>
      <c r="W277" s="151" t="s">
        <v>90</v>
      </c>
    </row>
    <row r="278" spans="1:23" ht="12.75">
      <c r="A278" s="35" t="s">
        <v>348</v>
      </c>
      <c r="B278" s="155">
        <f t="array" ref="B278:W286">INT($Z$136:$AU$144*1.2)</f>
        <v>96</v>
      </c>
      <c r="C278" s="155">
        <v>88</v>
      </c>
      <c r="D278" s="155">
        <v>81</v>
      </c>
      <c r="E278" s="155">
        <v>74</v>
      </c>
      <c r="F278" s="155">
        <v>67</v>
      </c>
      <c r="G278" s="155">
        <v>60</v>
      </c>
      <c r="H278" s="155">
        <v>52</v>
      </c>
      <c r="I278" s="155">
        <v>45</v>
      </c>
      <c r="J278" s="155">
        <v>45</v>
      </c>
      <c r="K278" s="155">
        <v>45</v>
      </c>
      <c r="L278" s="155">
        <v>45</v>
      </c>
      <c r="M278" s="155">
        <v>45</v>
      </c>
      <c r="N278" s="155">
        <v>45</v>
      </c>
      <c r="O278" s="155">
        <v>45</v>
      </c>
      <c r="P278" s="155">
        <v>45</v>
      </c>
      <c r="Q278" s="155">
        <v>45</v>
      </c>
      <c r="R278" s="155">
        <v>45</v>
      </c>
      <c r="S278" s="155">
        <v>45</v>
      </c>
      <c r="T278" s="155">
        <v>45</v>
      </c>
      <c r="U278" s="155">
        <v>45</v>
      </c>
      <c r="V278" s="155">
        <v>45</v>
      </c>
      <c r="W278" s="155">
        <v>45</v>
      </c>
    </row>
    <row r="279" spans="1:23" ht="12.75">
      <c r="A279" s="165" t="s">
        <v>350</v>
      </c>
      <c r="B279" s="155">
        <v>90</v>
      </c>
      <c r="C279" s="155">
        <v>82</v>
      </c>
      <c r="D279" s="155">
        <v>76</v>
      </c>
      <c r="E279" s="155">
        <v>69</v>
      </c>
      <c r="F279" s="155">
        <v>62</v>
      </c>
      <c r="G279" s="155">
        <v>56</v>
      </c>
      <c r="H279" s="155">
        <v>49</v>
      </c>
      <c r="I279" s="155">
        <v>43</v>
      </c>
      <c r="J279" s="155">
        <v>43</v>
      </c>
      <c r="K279" s="155">
        <v>43</v>
      </c>
      <c r="L279" s="155">
        <v>43</v>
      </c>
      <c r="M279" s="155">
        <v>43</v>
      </c>
      <c r="N279" s="155">
        <v>43</v>
      </c>
      <c r="O279" s="155">
        <v>43</v>
      </c>
      <c r="P279" s="155">
        <v>43</v>
      </c>
      <c r="Q279" s="155">
        <v>43</v>
      </c>
      <c r="R279" s="155">
        <v>43</v>
      </c>
      <c r="S279" s="155">
        <v>43</v>
      </c>
      <c r="T279" s="155">
        <v>43</v>
      </c>
      <c r="U279" s="155">
        <v>43</v>
      </c>
      <c r="V279" s="155">
        <v>43</v>
      </c>
      <c r="W279" s="155">
        <v>43</v>
      </c>
    </row>
    <row r="280" spans="1:23" ht="15">
      <c r="A280" s="50" t="s">
        <v>351</v>
      </c>
      <c r="B280" s="155">
        <v>85</v>
      </c>
      <c r="C280" s="155">
        <v>79</v>
      </c>
      <c r="D280" s="155">
        <v>72</v>
      </c>
      <c r="E280" s="155">
        <v>66</v>
      </c>
      <c r="F280" s="155">
        <v>60</v>
      </c>
      <c r="G280" s="155">
        <v>52</v>
      </c>
      <c r="H280" s="155">
        <v>46</v>
      </c>
      <c r="I280" s="155">
        <v>40</v>
      </c>
      <c r="J280" s="155">
        <v>40</v>
      </c>
      <c r="K280" s="155">
        <v>40</v>
      </c>
      <c r="L280" s="155">
        <v>40</v>
      </c>
      <c r="M280" s="155">
        <v>40</v>
      </c>
      <c r="N280" s="155">
        <v>40</v>
      </c>
      <c r="O280" s="155">
        <v>40</v>
      </c>
      <c r="P280" s="155">
        <v>40</v>
      </c>
      <c r="Q280" s="155">
        <v>40</v>
      </c>
      <c r="R280" s="155">
        <v>40</v>
      </c>
      <c r="S280" s="155">
        <v>40</v>
      </c>
      <c r="T280" s="155">
        <v>40</v>
      </c>
      <c r="U280" s="155">
        <v>40</v>
      </c>
      <c r="V280" s="155">
        <v>40</v>
      </c>
      <c r="W280" s="155">
        <v>40</v>
      </c>
    </row>
    <row r="281" spans="1:23" ht="15">
      <c r="A281" s="8" t="s">
        <v>352</v>
      </c>
      <c r="B281" s="155">
        <v>84</v>
      </c>
      <c r="C281" s="155">
        <v>78</v>
      </c>
      <c r="D281" s="155">
        <v>70</v>
      </c>
      <c r="E281" s="155">
        <v>64</v>
      </c>
      <c r="F281" s="155">
        <v>58</v>
      </c>
      <c r="G281" s="155">
        <v>52</v>
      </c>
      <c r="H281" s="155">
        <v>45</v>
      </c>
      <c r="I281" s="155">
        <v>39</v>
      </c>
      <c r="J281" s="155">
        <v>39</v>
      </c>
      <c r="K281" s="155">
        <v>39</v>
      </c>
      <c r="L281" s="155">
        <v>39</v>
      </c>
      <c r="M281" s="155">
        <v>39</v>
      </c>
      <c r="N281" s="155">
        <v>39</v>
      </c>
      <c r="O281" s="155">
        <v>39</v>
      </c>
      <c r="P281" s="155">
        <v>39</v>
      </c>
      <c r="Q281" s="155">
        <v>39</v>
      </c>
      <c r="R281" s="155">
        <v>39</v>
      </c>
      <c r="S281" s="155">
        <v>39</v>
      </c>
      <c r="T281" s="155">
        <v>39</v>
      </c>
      <c r="U281" s="155">
        <v>39</v>
      </c>
      <c r="V281" s="155">
        <v>39</v>
      </c>
      <c r="W281" s="155">
        <v>39</v>
      </c>
    </row>
    <row r="282" spans="1:23" ht="12.75">
      <c r="A282" s="35" t="s">
        <v>354</v>
      </c>
      <c r="B282" s="155">
        <v>80</v>
      </c>
      <c r="C282" s="155">
        <v>74</v>
      </c>
      <c r="D282" s="155">
        <v>68</v>
      </c>
      <c r="E282" s="155">
        <v>62</v>
      </c>
      <c r="F282" s="155">
        <v>56</v>
      </c>
      <c r="G282" s="155">
        <v>50</v>
      </c>
      <c r="H282" s="155">
        <v>44</v>
      </c>
      <c r="I282" s="155">
        <v>38</v>
      </c>
      <c r="J282" s="155">
        <v>38</v>
      </c>
      <c r="K282" s="155">
        <v>38</v>
      </c>
      <c r="L282" s="155">
        <v>38</v>
      </c>
      <c r="M282" s="155">
        <v>38</v>
      </c>
      <c r="N282" s="155">
        <v>38</v>
      </c>
      <c r="O282" s="155">
        <v>38</v>
      </c>
      <c r="P282" s="155">
        <v>38</v>
      </c>
      <c r="Q282" s="155">
        <v>38</v>
      </c>
      <c r="R282" s="155">
        <v>38</v>
      </c>
      <c r="S282" s="155">
        <v>38</v>
      </c>
      <c r="T282" s="155">
        <v>38</v>
      </c>
      <c r="U282" s="155">
        <v>38</v>
      </c>
      <c r="V282" s="155">
        <v>38</v>
      </c>
      <c r="W282" s="155">
        <v>38</v>
      </c>
    </row>
    <row r="283" spans="1:23" ht="12.75">
      <c r="A283" s="35" t="s">
        <v>356</v>
      </c>
      <c r="B283" s="156">
        <v>74</v>
      </c>
      <c r="C283" s="155">
        <v>68</v>
      </c>
      <c r="D283" s="155">
        <v>63</v>
      </c>
      <c r="E283" s="155">
        <v>57</v>
      </c>
      <c r="F283" s="155">
        <v>51</v>
      </c>
      <c r="G283" s="155">
        <v>46</v>
      </c>
      <c r="H283" s="155">
        <v>40</v>
      </c>
      <c r="I283" s="155">
        <v>34</v>
      </c>
      <c r="J283" s="155">
        <v>34</v>
      </c>
      <c r="K283" s="155">
        <v>34</v>
      </c>
      <c r="L283" s="155">
        <v>34</v>
      </c>
      <c r="M283" s="155">
        <v>34</v>
      </c>
      <c r="N283" s="155">
        <v>34</v>
      </c>
      <c r="O283" s="155">
        <v>34</v>
      </c>
      <c r="P283" s="155">
        <v>34</v>
      </c>
      <c r="Q283" s="155">
        <v>34</v>
      </c>
      <c r="R283" s="155">
        <v>34</v>
      </c>
      <c r="S283" s="155">
        <v>34</v>
      </c>
      <c r="T283" s="155">
        <v>34</v>
      </c>
      <c r="U283" s="155">
        <v>34</v>
      </c>
      <c r="V283" s="155">
        <v>34</v>
      </c>
      <c r="W283" s="155">
        <v>34</v>
      </c>
    </row>
    <row r="284" spans="1:23" ht="12.75">
      <c r="A284" s="209" t="s">
        <v>357</v>
      </c>
      <c r="B284" s="156">
        <v>70</v>
      </c>
      <c r="C284" s="155">
        <v>66</v>
      </c>
      <c r="D284" s="155">
        <v>60</v>
      </c>
      <c r="E284" s="155">
        <v>55</v>
      </c>
      <c r="F284" s="155">
        <v>49</v>
      </c>
      <c r="G284" s="155">
        <v>44</v>
      </c>
      <c r="H284" s="155">
        <v>38</v>
      </c>
      <c r="I284" s="155">
        <v>33</v>
      </c>
      <c r="J284" s="155">
        <v>33</v>
      </c>
      <c r="K284" s="155">
        <v>33</v>
      </c>
      <c r="L284" s="155">
        <v>33</v>
      </c>
      <c r="M284" s="155">
        <v>33</v>
      </c>
      <c r="N284" s="155">
        <v>33</v>
      </c>
      <c r="O284" s="155">
        <v>33</v>
      </c>
      <c r="P284" s="155">
        <v>33</v>
      </c>
      <c r="Q284" s="155">
        <v>33</v>
      </c>
      <c r="R284" s="155">
        <v>33</v>
      </c>
      <c r="S284" s="155">
        <v>33</v>
      </c>
      <c r="T284" s="155">
        <v>33</v>
      </c>
      <c r="U284" s="155">
        <v>33</v>
      </c>
      <c r="V284" s="155">
        <v>33</v>
      </c>
      <c r="W284" s="155">
        <v>33</v>
      </c>
    </row>
    <row r="285" spans="1:23" ht="15">
      <c r="A285" s="8" t="s">
        <v>358</v>
      </c>
      <c r="B285" s="156">
        <v>68</v>
      </c>
      <c r="C285" s="155">
        <v>63</v>
      </c>
      <c r="D285" s="155">
        <v>57</v>
      </c>
      <c r="E285" s="155">
        <v>52</v>
      </c>
      <c r="F285" s="155">
        <v>48</v>
      </c>
      <c r="G285" s="155">
        <v>42</v>
      </c>
      <c r="H285" s="155">
        <v>37</v>
      </c>
      <c r="I285" s="155">
        <v>32</v>
      </c>
      <c r="J285" s="155">
        <v>32</v>
      </c>
      <c r="K285" s="155">
        <v>32</v>
      </c>
      <c r="L285" s="155">
        <v>32</v>
      </c>
      <c r="M285" s="155">
        <v>32</v>
      </c>
      <c r="N285" s="155">
        <v>32</v>
      </c>
      <c r="O285" s="155">
        <v>32</v>
      </c>
      <c r="P285" s="155">
        <v>32</v>
      </c>
      <c r="Q285" s="155">
        <v>32</v>
      </c>
      <c r="R285" s="155">
        <v>32</v>
      </c>
      <c r="S285" s="155">
        <v>32</v>
      </c>
      <c r="T285" s="155">
        <v>32</v>
      </c>
      <c r="U285" s="155">
        <v>32</v>
      </c>
      <c r="V285" s="155">
        <v>32</v>
      </c>
      <c r="W285" s="155">
        <v>32</v>
      </c>
    </row>
    <row r="286" spans="1:23" ht="15">
      <c r="A286" s="38" t="s">
        <v>359</v>
      </c>
      <c r="B286" s="156">
        <v>64</v>
      </c>
      <c r="C286" s="155">
        <v>60</v>
      </c>
      <c r="D286" s="155">
        <v>55</v>
      </c>
      <c r="E286" s="155">
        <v>50</v>
      </c>
      <c r="F286" s="155">
        <v>45</v>
      </c>
      <c r="G286" s="155">
        <v>40</v>
      </c>
      <c r="H286" s="155">
        <v>36</v>
      </c>
      <c r="I286" s="155">
        <v>31</v>
      </c>
      <c r="J286" s="155">
        <v>30</v>
      </c>
      <c r="K286" s="155">
        <v>30</v>
      </c>
      <c r="L286" s="155">
        <v>30</v>
      </c>
      <c r="M286" s="155">
        <v>30</v>
      </c>
      <c r="N286" s="155">
        <v>30</v>
      </c>
      <c r="O286" s="155">
        <v>30</v>
      </c>
      <c r="P286" s="155">
        <v>30</v>
      </c>
      <c r="Q286" s="155">
        <v>30</v>
      </c>
      <c r="R286" s="155">
        <v>30</v>
      </c>
      <c r="S286" s="155">
        <v>30</v>
      </c>
      <c r="T286" s="155">
        <v>30</v>
      </c>
      <c r="U286" s="155">
        <v>30</v>
      </c>
      <c r="V286" s="155">
        <v>30</v>
      </c>
      <c r="W286" s="155">
        <v>30</v>
      </c>
    </row>
    <row r="287" spans="1:23" ht="15">
      <c r="A287" s="150" t="s">
        <v>333</v>
      </c>
      <c r="B287" s="151" t="s">
        <v>24</v>
      </c>
      <c r="C287" s="151" t="s">
        <v>25</v>
      </c>
      <c r="D287" s="151" t="s">
        <v>26</v>
      </c>
      <c r="E287" s="151" t="s">
        <v>27</v>
      </c>
      <c r="F287" s="151" t="s">
        <v>28</v>
      </c>
      <c r="G287" s="151" t="s">
        <v>74</v>
      </c>
      <c r="H287" s="151" t="s">
        <v>75</v>
      </c>
      <c r="I287" s="151" t="s">
        <v>76</v>
      </c>
      <c r="J287" s="151" t="s">
        <v>77</v>
      </c>
      <c r="K287" s="151" t="s">
        <v>78</v>
      </c>
      <c r="L287" s="151" t="s">
        <v>79</v>
      </c>
      <c r="M287" s="151" t="s">
        <v>80</v>
      </c>
      <c r="N287" s="16" t="s">
        <v>81</v>
      </c>
      <c r="O287" s="16" t="s">
        <v>82</v>
      </c>
      <c r="P287" s="16" t="s">
        <v>83</v>
      </c>
      <c r="Q287" s="16" t="s">
        <v>84</v>
      </c>
      <c r="R287" s="151" t="s">
        <v>85</v>
      </c>
      <c r="S287" s="16" t="s">
        <v>86</v>
      </c>
      <c r="T287" s="16" t="s">
        <v>87</v>
      </c>
      <c r="U287" s="16" t="s">
        <v>88</v>
      </c>
      <c r="V287" s="16" t="s">
        <v>89</v>
      </c>
      <c r="W287" s="151" t="s">
        <v>90</v>
      </c>
    </row>
    <row r="288" spans="1:23" ht="15">
      <c r="A288" s="210" t="s">
        <v>364</v>
      </c>
      <c r="B288" s="155">
        <f t="array" ref="B288:W289">INT($Z$146:$AU$147*1.2)</f>
        <v>96</v>
      </c>
      <c r="C288" s="155">
        <v>87</v>
      </c>
      <c r="D288" s="155">
        <v>79</v>
      </c>
      <c r="E288" s="155">
        <v>70</v>
      </c>
      <c r="F288" s="155">
        <v>63</v>
      </c>
      <c r="G288" s="155">
        <v>55</v>
      </c>
      <c r="H288" s="155">
        <v>46</v>
      </c>
      <c r="I288" s="155">
        <v>42</v>
      </c>
      <c r="J288" s="155">
        <v>42</v>
      </c>
      <c r="K288" s="155">
        <v>42</v>
      </c>
      <c r="L288" s="155">
        <v>42</v>
      </c>
      <c r="M288" s="155">
        <v>42</v>
      </c>
      <c r="N288" s="155">
        <v>42</v>
      </c>
      <c r="O288" s="155">
        <v>42</v>
      </c>
      <c r="P288" s="155">
        <v>42</v>
      </c>
      <c r="Q288" s="155">
        <v>42</v>
      </c>
      <c r="R288" s="155">
        <v>42</v>
      </c>
      <c r="S288" s="155">
        <v>42</v>
      </c>
      <c r="T288" s="155">
        <v>42</v>
      </c>
      <c r="U288" s="155">
        <v>42</v>
      </c>
      <c r="V288" s="155">
        <v>42</v>
      </c>
      <c r="W288" s="155">
        <v>42</v>
      </c>
    </row>
    <row r="289" spans="1:23" ht="15">
      <c r="A289" s="210" t="s">
        <v>365</v>
      </c>
      <c r="B289" s="155">
        <v>91</v>
      </c>
      <c r="C289" s="155">
        <v>84</v>
      </c>
      <c r="D289" s="155">
        <v>75</v>
      </c>
      <c r="E289" s="155">
        <v>68</v>
      </c>
      <c r="F289" s="155">
        <v>60</v>
      </c>
      <c r="G289" s="155">
        <v>52</v>
      </c>
      <c r="H289" s="155">
        <v>44</v>
      </c>
      <c r="I289" s="155">
        <v>39</v>
      </c>
      <c r="J289" s="155">
        <v>39</v>
      </c>
      <c r="K289" s="155">
        <v>39</v>
      </c>
      <c r="L289" s="155">
        <v>39</v>
      </c>
      <c r="M289" s="155">
        <v>39</v>
      </c>
      <c r="N289" s="155">
        <v>39</v>
      </c>
      <c r="O289" s="155">
        <v>39</v>
      </c>
      <c r="P289" s="155">
        <v>39</v>
      </c>
      <c r="Q289" s="155">
        <v>39</v>
      </c>
      <c r="R289" s="155">
        <v>39</v>
      </c>
      <c r="S289" s="155">
        <v>39</v>
      </c>
      <c r="T289" s="155">
        <v>39</v>
      </c>
      <c r="U289" s="155">
        <v>39</v>
      </c>
      <c r="V289" s="155">
        <v>39</v>
      </c>
      <c r="W289" s="155">
        <v>39</v>
      </c>
    </row>
    <row r="290" spans="1:23" ht="15">
      <c r="A290" s="150" t="s">
        <v>336</v>
      </c>
      <c r="B290" s="151" t="s">
        <v>24</v>
      </c>
      <c r="C290" s="151" t="s">
        <v>25</v>
      </c>
      <c r="D290" s="151" t="s">
        <v>26</v>
      </c>
      <c r="E290" s="151" t="s">
        <v>27</v>
      </c>
      <c r="F290" s="151" t="s">
        <v>28</v>
      </c>
      <c r="G290" s="151" t="s">
        <v>74</v>
      </c>
      <c r="H290" s="151" t="s">
        <v>75</v>
      </c>
      <c r="I290" s="151" t="s">
        <v>76</v>
      </c>
      <c r="J290" s="151" t="s">
        <v>77</v>
      </c>
      <c r="K290" s="151" t="s">
        <v>78</v>
      </c>
      <c r="L290" s="151" t="s">
        <v>79</v>
      </c>
      <c r="M290" s="151" t="s">
        <v>80</v>
      </c>
      <c r="N290" s="16" t="s">
        <v>81</v>
      </c>
      <c r="O290" s="16" t="s">
        <v>82</v>
      </c>
      <c r="P290" s="16" t="s">
        <v>83</v>
      </c>
      <c r="Q290" s="16" t="s">
        <v>84</v>
      </c>
      <c r="R290" s="151" t="s">
        <v>85</v>
      </c>
      <c r="S290" s="16" t="s">
        <v>86</v>
      </c>
      <c r="T290" s="16" t="s">
        <v>87</v>
      </c>
      <c r="U290" s="16" t="s">
        <v>88</v>
      </c>
      <c r="V290" s="16" t="s">
        <v>89</v>
      </c>
      <c r="W290" s="151" t="s">
        <v>90</v>
      </c>
    </row>
    <row r="291" spans="1:23" ht="15">
      <c r="A291" s="210" t="s">
        <v>368</v>
      </c>
      <c r="B291" s="155">
        <f t="array" ref="B291:W294">INT($Z$149:$AU$152*1.2)</f>
        <v>79</v>
      </c>
      <c r="C291" s="155">
        <v>72</v>
      </c>
      <c r="D291" s="155">
        <v>64</v>
      </c>
      <c r="E291" s="155">
        <v>57</v>
      </c>
      <c r="F291" s="155">
        <v>50</v>
      </c>
      <c r="G291" s="155">
        <v>43</v>
      </c>
      <c r="H291" s="155">
        <v>37</v>
      </c>
      <c r="I291" s="155">
        <v>32</v>
      </c>
      <c r="J291" s="155">
        <v>32</v>
      </c>
      <c r="K291" s="155">
        <v>32</v>
      </c>
      <c r="L291" s="155">
        <v>32</v>
      </c>
      <c r="M291" s="155">
        <v>32</v>
      </c>
      <c r="N291" s="155">
        <v>32</v>
      </c>
      <c r="O291" s="155">
        <v>32</v>
      </c>
      <c r="P291" s="155">
        <v>32</v>
      </c>
      <c r="Q291" s="155">
        <v>32</v>
      </c>
      <c r="R291" s="155">
        <v>32</v>
      </c>
      <c r="S291" s="155">
        <v>32</v>
      </c>
      <c r="T291" s="155">
        <v>32</v>
      </c>
      <c r="U291" s="155">
        <v>32</v>
      </c>
      <c r="V291" s="155">
        <v>32</v>
      </c>
      <c r="W291" s="155">
        <v>32</v>
      </c>
    </row>
    <row r="292" spans="1:23" ht="15">
      <c r="A292" s="199" t="s">
        <v>369</v>
      </c>
      <c r="B292" s="155">
        <v>75</v>
      </c>
      <c r="C292" s="155">
        <v>68</v>
      </c>
      <c r="D292" s="155">
        <v>62</v>
      </c>
      <c r="E292" s="155">
        <v>55</v>
      </c>
      <c r="F292" s="155">
        <v>46</v>
      </c>
      <c r="G292" s="155">
        <v>42</v>
      </c>
      <c r="H292" s="155">
        <v>36</v>
      </c>
      <c r="I292" s="155">
        <v>31</v>
      </c>
      <c r="J292" s="155">
        <v>31</v>
      </c>
      <c r="K292" s="155">
        <v>31</v>
      </c>
      <c r="L292" s="155">
        <v>31</v>
      </c>
      <c r="M292" s="155">
        <v>31</v>
      </c>
      <c r="N292" s="155">
        <v>31</v>
      </c>
      <c r="O292" s="155">
        <v>31</v>
      </c>
      <c r="P292" s="155">
        <v>31</v>
      </c>
      <c r="Q292" s="155">
        <v>31</v>
      </c>
      <c r="R292" s="155">
        <v>31</v>
      </c>
      <c r="S292" s="155">
        <v>31</v>
      </c>
      <c r="T292" s="155">
        <v>31</v>
      </c>
      <c r="U292" s="155">
        <v>31</v>
      </c>
      <c r="V292" s="155">
        <v>31</v>
      </c>
      <c r="W292" s="155">
        <v>31</v>
      </c>
    </row>
    <row r="293" spans="1:23" ht="12.75">
      <c r="A293" s="194" t="s">
        <v>370</v>
      </c>
      <c r="B293" s="155">
        <v>64</v>
      </c>
      <c r="C293" s="155">
        <v>58</v>
      </c>
      <c r="D293" s="155">
        <v>52</v>
      </c>
      <c r="E293" s="155">
        <v>46</v>
      </c>
      <c r="F293" s="155">
        <v>42</v>
      </c>
      <c r="G293" s="155">
        <v>36</v>
      </c>
      <c r="H293" s="155">
        <v>30</v>
      </c>
      <c r="I293" s="155">
        <v>26</v>
      </c>
      <c r="J293" s="155">
        <v>26</v>
      </c>
      <c r="K293" s="155">
        <v>26</v>
      </c>
      <c r="L293" s="155">
        <v>26</v>
      </c>
      <c r="M293" s="155">
        <v>26</v>
      </c>
      <c r="N293" s="155">
        <v>26</v>
      </c>
      <c r="O293" s="155">
        <v>26</v>
      </c>
      <c r="P293" s="155">
        <v>26</v>
      </c>
      <c r="Q293" s="155">
        <v>26</v>
      </c>
      <c r="R293" s="155">
        <v>26</v>
      </c>
      <c r="S293" s="155">
        <v>26</v>
      </c>
      <c r="T293" s="155">
        <v>26</v>
      </c>
      <c r="U293" s="155">
        <v>26</v>
      </c>
      <c r="V293" s="155">
        <v>26</v>
      </c>
      <c r="W293" s="155">
        <v>26</v>
      </c>
    </row>
    <row r="294" spans="1:23" ht="12.75">
      <c r="A294" s="212" t="s">
        <v>371</v>
      </c>
      <c r="B294" s="155">
        <v>61</v>
      </c>
      <c r="C294" s="155">
        <v>55</v>
      </c>
      <c r="D294" s="155">
        <v>50</v>
      </c>
      <c r="E294" s="155">
        <v>44</v>
      </c>
      <c r="F294" s="155">
        <v>39</v>
      </c>
      <c r="G294" s="155">
        <v>33</v>
      </c>
      <c r="H294" s="155">
        <v>28</v>
      </c>
      <c r="I294" s="155">
        <v>25</v>
      </c>
      <c r="J294" s="155">
        <v>25</v>
      </c>
      <c r="K294" s="155">
        <v>25</v>
      </c>
      <c r="L294" s="155">
        <v>25</v>
      </c>
      <c r="M294" s="155">
        <v>25</v>
      </c>
      <c r="N294" s="155">
        <v>25</v>
      </c>
      <c r="O294" s="155">
        <v>25</v>
      </c>
      <c r="P294" s="155">
        <v>25</v>
      </c>
      <c r="Q294" s="155">
        <v>25</v>
      </c>
      <c r="R294" s="155">
        <v>25</v>
      </c>
      <c r="S294" s="155">
        <v>25</v>
      </c>
      <c r="T294" s="155">
        <v>25</v>
      </c>
      <c r="U294" s="155">
        <v>25</v>
      </c>
      <c r="V294" s="155">
        <v>25</v>
      </c>
      <c r="W294" s="155">
        <v>25</v>
      </c>
    </row>
    <row r="295" spans="1:23" ht="22.5">
      <c r="A295" s="213" t="s">
        <v>374</v>
      </c>
      <c r="B295" s="214"/>
      <c r="C295" s="154"/>
      <c r="D295" s="154"/>
      <c r="E295" s="154"/>
      <c r="F295" s="154"/>
      <c r="G295" s="154"/>
      <c r="H295" s="154"/>
      <c r="I295" s="154"/>
      <c r="J295" s="154"/>
      <c r="K295" s="154"/>
      <c r="L295" s="154"/>
      <c r="M295" s="154"/>
      <c r="N295" s="154"/>
      <c r="O295" s="154"/>
      <c r="P295" s="154"/>
      <c r="Q295" s="154"/>
      <c r="R295" s="154"/>
      <c r="S295" s="154"/>
      <c r="T295" s="154"/>
      <c r="U295" s="154"/>
      <c r="V295" s="154"/>
      <c r="W295" s="154"/>
    </row>
    <row r="296" spans="1:23" ht="15">
      <c r="A296" s="150" t="s">
        <v>375</v>
      </c>
      <c r="B296" s="215" t="s">
        <v>121</v>
      </c>
      <c r="C296" s="215" t="s">
        <v>126</v>
      </c>
      <c r="D296" s="215" t="s">
        <v>132</v>
      </c>
      <c r="E296" s="216" t="s">
        <v>24</v>
      </c>
      <c r="F296" s="151" t="s">
        <v>25</v>
      </c>
      <c r="G296" s="151" t="s">
        <v>26</v>
      </c>
      <c r="H296" s="151" t="s">
        <v>27</v>
      </c>
      <c r="I296" s="151" t="s">
        <v>28</v>
      </c>
      <c r="J296" s="151" t="s">
        <v>74</v>
      </c>
      <c r="K296" s="151" t="s">
        <v>75</v>
      </c>
      <c r="L296" s="151" t="s">
        <v>76</v>
      </c>
      <c r="M296" s="151" t="s">
        <v>77</v>
      </c>
      <c r="N296" s="151" t="s">
        <v>78</v>
      </c>
      <c r="O296" s="151" t="s">
        <v>79</v>
      </c>
      <c r="P296" s="151" t="s">
        <v>80</v>
      </c>
      <c r="Q296" s="151" t="s">
        <v>81</v>
      </c>
      <c r="R296" s="151" t="s">
        <v>82</v>
      </c>
      <c r="S296" s="151" t="s">
        <v>83</v>
      </c>
      <c r="T296" s="151" t="s">
        <v>84</v>
      </c>
      <c r="U296" s="151" t="s">
        <v>85</v>
      </c>
      <c r="V296" s="151" t="s">
        <v>86</v>
      </c>
      <c r="W296" s="151" t="s">
        <v>87</v>
      </c>
    </row>
    <row r="297" spans="1:23" ht="15">
      <c r="A297" s="38" t="s">
        <v>153</v>
      </c>
      <c r="B297" s="155">
        <f t="array" ref="B297:W297">INT($Z$155:$AU$155)</f>
        <v>364</v>
      </c>
      <c r="C297" s="155">
        <v>364</v>
      </c>
      <c r="D297" s="155">
        <v>327</v>
      </c>
      <c r="E297" s="155">
        <v>280</v>
      </c>
      <c r="F297" s="155">
        <v>240</v>
      </c>
      <c r="G297" s="155">
        <v>212</v>
      </c>
      <c r="H297" s="155">
        <v>185</v>
      </c>
      <c r="I297" s="155">
        <v>156</v>
      </c>
      <c r="J297" s="155">
        <v>146</v>
      </c>
      <c r="K297" s="155">
        <v>135</v>
      </c>
      <c r="L297" s="155">
        <v>113</v>
      </c>
      <c r="M297" s="155">
        <v>91</v>
      </c>
      <c r="N297" s="155">
        <v>85</v>
      </c>
      <c r="O297" s="155">
        <v>79</v>
      </c>
      <c r="P297" s="155">
        <v>72</v>
      </c>
      <c r="Q297" s="155">
        <v>72</v>
      </c>
      <c r="R297" s="155">
        <v>72</v>
      </c>
      <c r="S297" s="155">
        <v>72</v>
      </c>
      <c r="T297" s="155">
        <v>72</v>
      </c>
      <c r="U297" s="155">
        <v>72</v>
      </c>
      <c r="V297" s="155">
        <v>72</v>
      </c>
      <c r="W297" s="155">
        <v>72</v>
      </c>
    </row>
    <row r="298" spans="1:23" ht="15">
      <c r="A298" s="50" t="s">
        <v>376</v>
      </c>
      <c r="B298" s="164">
        <f t="array" ref="B298:W300">INT($Z$156:$AU$158)</f>
        <v>242</v>
      </c>
      <c r="C298" s="164">
        <v>214</v>
      </c>
      <c r="D298" s="155">
        <v>184</v>
      </c>
      <c r="E298" s="155">
        <v>160</v>
      </c>
      <c r="F298" s="155">
        <v>139</v>
      </c>
      <c r="G298" s="155">
        <v>118</v>
      </c>
      <c r="H298" s="155">
        <v>111</v>
      </c>
      <c r="I298" s="155">
        <v>106</v>
      </c>
      <c r="J298" s="155">
        <v>102</v>
      </c>
      <c r="K298" s="155">
        <v>97</v>
      </c>
      <c r="L298" s="155">
        <v>87</v>
      </c>
      <c r="M298" s="155">
        <v>77</v>
      </c>
      <c r="N298" s="155">
        <v>68</v>
      </c>
      <c r="O298" s="155">
        <v>58</v>
      </c>
      <c r="P298" s="155">
        <v>48</v>
      </c>
      <c r="Q298" s="155">
        <v>48</v>
      </c>
      <c r="R298" s="155">
        <v>48</v>
      </c>
      <c r="S298" s="155">
        <v>48</v>
      </c>
      <c r="T298" s="155">
        <v>48</v>
      </c>
      <c r="U298" s="155">
        <v>48</v>
      </c>
      <c r="V298" s="155">
        <v>48</v>
      </c>
      <c r="W298" s="155">
        <v>48</v>
      </c>
    </row>
    <row r="299" spans="1:23" ht="15">
      <c r="A299" s="50" t="s">
        <v>155</v>
      </c>
      <c r="B299" s="164">
        <v>220</v>
      </c>
      <c r="C299" s="164">
        <v>194</v>
      </c>
      <c r="D299" s="155">
        <v>167</v>
      </c>
      <c r="E299" s="155">
        <v>147</v>
      </c>
      <c r="F299" s="155">
        <v>127</v>
      </c>
      <c r="G299" s="155">
        <v>107</v>
      </c>
      <c r="H299" s="155">
        <v>101</v>
      </c>
      <c r="I299" s="155">
        <v>97</v>
      </c>
      <c r="J299" s="155">
        <v>92</v>
      </c>
      <c r="K299" s="155">
        <v>88</v>
      </c>
      <c r="L299" s="155">
        <v>79</v>
      </c>
      <c r="M299" s="155">
        <v>70</v>
      </c>
      <c r="N299" s="155">
        <v>62</v>
      </c>
      <c r="O299" s="155">
        <v>53</v>
      </c>
      <c r="P299" s="155">
        <v>44</v>
      </c>
      <c r="Q299" s="155">
        <v>44</v>
      </c>
      <c r="R299" s="155">
        <v>44</v>
      </c>
      <c r="S299" s="155">
        <v>44</v>
      </c>
      <c r="T299" s="155">
        <v>44</v>
      </c>
      <c r="U299" s="155">
        <v>44</v>
      </c>
      <c r="V299" s="155">
        <v>44</v>
      </c>
      <c r="W299" s="155">
        <v>44</v>
      </c>
    </row>
    <row r="300" spans="1:23" ht="15">
      <c r="A300" s="50" t="s">
        <v>156</v>
      </c>
      <c r="B300" s="164">
        <v>99</v>
      </c>
      <c r="C300" s="155">
        <v>87</v>
      </c>
      <c r="D300" s="155">
        <v>75</v>
      </c>
      <c r="E300" s="155">
        <v>66</v>
      </c>
      <c r="F300" s="155">
        <v>57</v>
      </c>
      <c r="G300" s="155">
        <v>48</v>
      </c>
      <c r="H300" s="155">
        <v>45</v>
      </c>
      <c r="I300" s="155">
        <v>43</v>
      </c>
      <c r="J300" s="155">
        <v>41</v>
      </c>
      <c r="K300" s="155">
        <v>39</v>
      </c>
      <c r="L300" s="155">
        <v>35</v>
      </c>
      <c r="M300" s="155">
        <v>31</v>
      </c>
      <c r="N300" s="155">
        <v>27</v>
      </c>
      <c r="O300" s="155">
        <v>23</v>
      </c>
      <c r="P300" s="155">
        <v>19</v>
      </c>
      <c r="Q300" s="155">
        <v>19</v>
      </c>
      <c r="R300" s="155">
        <v>19</v>
      </c>
      <c r="S300" s="155">
        <v>19</v>
      </c>
      <c r="T300" s="155">
        <v>19</v>
      </c>
      <c r="U300" s="155">
        <v>19</v>
      </c>
      <c r="V300" s="155">
        <v>19</v>
      </c>
      <c r="W300" s="155">
        <v>19</v>
      </c>
    </row>
    <row r="301" spans="1:23" ht="15">
      <c r="A301" s="8" t="s">
        <v>157</v>
      </c>
      <c r="B301" s="164">
        <f t="array" ref="B301:W304">INT($Z$159:$AU$162)</f>
        <v>260</v>
      </c>
      <c r="C301" s="164">
        <v>246</v>
      </c>
      <c r="D301" s="155">
        <v>229</v>
      </c>
      <c r="E301" s="155">
        <v>213</v>
      </c>
      <c r="F301" s="155">
        <v>195</v>
      </c>
      <c r="G301" s="155">
        <v>174</v>
      </c>
      <c r="H301" s="155">
        <v>150</v>
      </c>
      <c r="I301" s="155">
        <v>130</v>
      </c>
      <c r="J301" s="155">
        <v>124</v>
      </c>
      <c r="K301" s="155">
        <v>119</v>
      </c>
      <c r="L301" s="155">
        <v>109</v>
      </c>
      <c r="M301" s="155">
        <v>96</v>
      </c>
      <c r="N301" s="155">
        <v>81</v>
      </c>
      <c r="O301" s="155">
        <v>67</v>
      </c>
      <c r="P301" s="155">
        <v>52</v>
      </c>
      <c r="Q301" s="155">
        <v>52</v>
      </c>
      <c r="R301" s="155">
        <v>52</v>
      </c>
      <c r="S301" s="155">
        <v>52</v>
      </c>
      <c r="T301" s="155">
        <v>52</v>
      </c>
      <c r="U301" s="155">
        <v>52</v>
      </c>
      <c r="V301" s="155">
        <v>52</v>
      </c>
      <c r="W301" s="155">
        <v>52</v>
      </c>
    </row>
    <row r="302" spans="1:23" ht="15">
      <c r="A302" s="8" t="s">
        <v>158</v>
      </c>
      <c r="B302" s="164">
        <v>160</v>
      </c>
      <c r="C302" s="164">
        <v>160</v>
      </c>
      <c r="D302" s="155">
        <v>142</v>
      </c>
      <c r="E302" s="155">
        <v>121</v>
      </c>
      <c r="F302" s="155">
        <v>108</v>
      </c>
      <c r="G302" s="155">
        <v>94</v>
      </c>
      <c r="H302" s="155">
        <v>81</v>
      </c>
      <c r="I302" s="155">
        <v>76</v>
      </c>
      <c r="J302" s="155">
        <v>72</v>
      </c>
      <c r="K302" s="155">
        <v>68</v>
      </c>
      <c r="L302" s="155">
        <v>60</v>
      </c>
      <c r="M302" s="155">
        <v>53</v>
      </c>
      <c r="N302" s="155">
        <v>46</v>
      </c>
      <c r="O302" s="155">
        <v>0</v>
      </c>
      <c r="P302" s="155">
        <v>0</v>
      </c>
      <c r="Q302" s="155">
        <v>0</v>
      </c>
      <c r="R302" s="155">
        <v>0</v>
      </c>
      <c r="S302" s="155">
        <v>0</v>
      </c>
      <c r="T302" s="155">
        <v>0</v>
      </c>
      <c r="U302" s="155">
        <v>0</v>
      </c>
      <c r="V302" s="155">
        <v>0</v>
      </c>
      <c r="W302" s="155">
        <v>0</v>
      </c>
    </row>
    <row r="303" spans="1:23" ht="15">
      <c r="A303" s="50" t="s">
        <v>379</v>
      </c>
      <c r="B303" s="156">
        <v>122</v>
      </c>
      <c r="C303" s="155">
        <v>116</v>
      </c>
      <c r="D303" s="155">
        <v>108</v>
      </c>
      <c r="E303" s="155">
        <v>100</v>
      </c>
      <c r="F303" s="155">
        <v>92</v>
      </c>
      <c r="G303" s="155">
        <v>82</v>
      </c>
      <c r="H303" s="155">
        <v>72</v>
      </c>
      <c r="I303" s="155">
        <v>61</v>
      </c>
      <c r="J303" s="155">
        <v>58</v>
      </c>
      <c r="K303" s="155">
        <v>56</v>
      </c>
      <c r="L303" s="218">
        <v>51</v>
      </c>
      <c r="M303" s="155">
        <v>45</v>
      </c>
      <c r="N303" s="155">
        <v>38</v>
      </c>
      <c r="O303" s="155">
        <v>31</v>
      </c>
      <c r="P303" s="155">
        <v>24</v>
      </c>
      <c r="Q303" s="155">
        <v>24</v>
      </c>
      <c r="R303" s="155">
        <v>24</v>
      </c>
      <c r="S303" s="155">
        <v>24</v>
      </c>
      <c r="T303" s="155">
        <v>24</v>
      </c>
      <c r="U303" s="155">
        <v>24</v>
      </c>
      <c r="V303" s="155">
        <v>24</v>
      </c>
      <c r="W303" s="155">
        <v>24</v>
      </c>
    </row>
    <row r="304" spans="1:23" ht="15">
      <c r="A304" s="50" t="s">
        <v>380</v>
      </c>
      <c r="B304" s="156">
        <v>200</v>
      </c>
      <c r="C304" s="155">
        <v>200</v>
      </c>
      <c r="D304" s="155">
        <v>200</v>
      </c>
      <c r="E304" s="155">
        <v>200</v>
      </c>
      <c r="F304" s="155">
        <v>200</v>
      </c>
      <c r="G304" s="155">
        <v>200</v>
      </c>
      <c r="H304" s="155">
        <v>177</v>
      </c>
      <c r="I304" s="155">
        <v>150</v>
      </c>
      <c r="J304" s="155">
        <v>126</v>
      </c>
      <c r="K304" s="155">
        <v>102</v>
      </c>
      <c r="L304" s="218">
        <v>88</v>
      </c>
      <c r="M304" s="155">
        <v>77</v>
      </c>
      <c r="N304" s="155">
        <v>64</v>
      </c>
      <c r="O304" s="155">
        <v>52</v>
      </c>
      <c r="P304" s="155">
        <v>40</v>
      </c>
      <c r="Q304" s="155">
        <v>40</v>
      </c>
      <c r="R304" s="155">
        <v>40</v>
      </c>
      <c r="S304" s="155">
        <v>40</v>
      </c>
      <c r="T304" s="155">
        <v>40</v>
      </c>
      <c r="U304" s="155">
        <v>40</v>
      </c>
      <c r="V304" s="155">
        <v>40</v>
      </c>
      <c r="W304" s="155">
        <v>40</v>
      </c>
    </row>
    <row r="305" spans="1:23" ht="15">
      <c r="A305" s="8" t="s">
        <v>161</v>
      </c>
      <c r="B305" s="156">
        <f t="array" ref="B305:W305">INT($Z$163:$AU$163*1.2)</f>
        <v>68</v>
      </c>
      <c r="C305" s="155">
        <v>68</v>
      </c>
      <c r="D305" s="155">
        <v>68</v>
      </c>
      <c r="E305" s="155">
        <v>68</v>
      </c>
      <c r="F305" s="155">
        <v>60</v>
      </c>
      <c r="G305" s="155">
        <v>51</v>
      </c>
      <c r="H305" s="155">
        <v>48</v>
      </c>
      <c r="I305" s="155">
        <v>44</v>
      </c>
      <c r="J305" s="155">
        <v>40</v>
      </c>
      <c r="K305" s="155">
        <v>37</v>
      </c>
      <c r="L305" s="218">
        <v>28</v>
      </c>
      <c r="M305" s="155">
        <v>21</v>
      </c>
      <c r="N305" s="155">
        <v>13</v>
      </c>
      <c r="O305" s="155">
        <v>13</v>
      </c>
      <c r="P305" s="155">
        <v>13</v>
      </c>
      <c r="Q305" s="155">
        <v>13</v>
      </c>
      <c r="R305" s="155">
        <v>13</v>
      </c>
      <c r="S305" s="155">
        <v>13</v>
      </c>
      <c r="T305" s="155">
        <v>13</v>
      </c>
      <c r="U305" s="155">
        <v>13</v>
      </c>
      <c r="V305" s="155">
        <v>13</v>
      </c>
      <c r="W305" s="155">
        <v>13</v>
      </c>
    </row>
    <row r="306" spans="1:23" ht="22.5">
      <c r="A306" s="219" t="s">
        <v>73</v>
      </c>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row>
    <row r="307" spans="1:23" ht="15">
      <c r="A307" s="145" t="s">
        <v>322</v>
      </c>
      <c r="B307" s="220"/>
      <c r="C307" s="220"/>
      <c r="D307" s="220"/>
      <c r="E307" s="220"/>
      <c r="F307" s="220"/>
      <c r="G307" s="220"/>
      <c r="H307" s="220"/>
      <c r="I307" s="220"/>
      <c r="J307" s="220"/>
      <c r="K307" s="220"/>
      <c r="L307" s="220"/>
      <c r="M307" s="220"/>
      <c r="N307" s="220"/>
      <c r="O307" s="220"/>
      <c r="P307" s="220"/>
      <c r="Q307" s="220"/>
      <c r="R307" s="220"/>
      <c r="S307" s="220"/>
      <c r="T307" s="220"/>
      <c r="U307" s="220"/>
      <c r="V307" s="220"/>
      <c r="W307" s="220"/>
    </row>
    <row r="308" spans="1:23" ht="15">
      <c r="A308" s="222" t="s">
        <v>323</v>
      </c>
      <c r="B308" s="151" t="s">
        <v>24</v>
      </c>
      <c r="C308" s="151" t="s">
        <v>25</v>
      </c>
      <c r="D308" s="151" t="s">
        <v>26</v>
      </c>
      <c r="E308" s="151" t="s">
        <v>27</v>
      </c>
      <c r="F308" s="151" t="s">
        <v>28</v>
      </c>
      <c r="G308" s="151" t="s">
        <v>74</v>
      </c>
      <c r="H308" s="151" t="s">
        <v>75</v>
      </c>
      <c r="I308" s="151" t="s">
        <v>76</v>
      </c>
      <c r="J308" s="151" t="s">
        <v>77</v>
      </c>
      <c r="K308" s="151" t="s">
        <v>78</v>
      </c>
      <c r="L308" s="151" t="s">
        <v>79</v>
      </c>
      <c r="M308" s="151" t="s">
        <v>80</v>
      </c>
      <c r="N308" s="16" t="s">
        <v>81</v>
      </c>
      <c r="O308" s="16" t="s">
        <v>82</v>
      </c>
      <c r="P308" s="16" t="s">
        <v>83</v>
      </c>
      <c r="Q308" s="16" t="s">
        <v>84</v>
      </c>
      <c r="R308" s="151" t="s">
        <v>85</v>
      </c>
      <c r="S308" s="16" t="s">
        <v>86</v>
      </c>
      <c r="T308" s="16" t="s">
        <v>87</v>
      </c>
      <c r="U308" s="16" t="s">
        <v>88</v>
      </c>
      <c r="V308" s="16" t="s">
        <v>89</v>
      </c>
      <c r="W308" s="151" t="s">
        <v>90</v>
      </c>
    </row>
    <row r="309" spans="1:23" ht="15">
      <c r="A309" s="50" t="s">
        <v>46</v>
      </c>
      <c r="B309" s="155">
        <f t="array" ref="B309:W313">INT($Z$167:$AU$171*1.2)</f>
        <v>138</v>
      </c>
      <c r="C309" s="155">
        <v>138</v>
      </c>
      <c r="D309" s="155">
        <v>138</v>
      </c>
      <c r="E309" s="155">
        <v>138</v>
      </c>
      <c r="F309" s="155">
        <v>138</v>
      </c>
      <c r="G309" s="155">
        <v>138</v>
      </c>
      <c r="H309" s="155">
        <v>138</v>
      </c>
      <c r="I309" s="155">
        <v>127</v>
      </c>
      <c r="J309" s="155">
        <v>116</v>
      </c>
      <c r="K309" s="155">
        <v>106</v>
      </c>
      <c r="L309" s="155">
        <v>96</v>
      </c>
      <c r="M309" s="155">
        <v>85</v>
      </c>
      <c r="N309" s="155">
        <v>84</v>
      </c>
      <c r="O309" s="155">
        <v>82</v>
      </c>
      <c r="P309" s="155">
        <v>81</v>
      </c>
      <c r="Q309" s="156">
        <v>81</v>
      </c>
      <c r="R309" s="156">
        <v>80</v>
      </c>
      <c r="S309" s="156">
        <v>79</v>
      </c>
      <c r="T309" s="156">
        <v>78</v>
      </c>
      <c r="U309" s="156">
        <v>76</v>
      </c>
      <c r="V309" s="156">
        <v>76</v>
      </c>
      <c r="W309" s="156">
        <v>75</v>
      </c>
    </row>
    <row r="310" spans="1:23" ht="15">
      <c r="A310" s="50" t="s">
        <v>49</v>
      </c>
      <c r="B310" s="164">
        <v>132</v>
      </c>
      <c r="C310" s="155">
        <v>132</v>
      </c>
      <c r="D310" s="155">
        <v>132</v>
      </c>
      <c r="E310" s="155">
        <v>132</v>
      </c>
      <c r="F310" s="155">
        <v>132</v>
      </c>
      <c r="G310" s="155">
        <v>132</v>
      </c>
      <c r="H310" s="155">
        <v>132</v>
      </c>
      <c r="I310" s="155">
        <v>122</v>
      </c>
      <c r="J310" s="155">
        <v>111</v>
      </c>
      <c r="K310" s="155">
        <v>102</v>
      </c>
      <c r="L310" s="155">
        <v>91</v>
      </c>
      <c r="M310" s="155">
        <v>81</v>
      </c>
      <c r="N310" s="155">
        <v>80</v>
      </c>
      <c r="O310" s="155">
        <v>79</v>
      </c>
      <c r="P310" s="155">
        <v>78</v>
      </c>
      <c r="Q310" s="156">
        <v>78</v>
      </c>
      <c r="R310" s="156">
        <v>76</v>
      </c>
      <c r="S310" s="156">
        <v>75</v>
      </c>
      <c r="T310" s="156">
        <v>74</v>
      </c>
      <c r="U310" s="156">
        <v>74</v>
      </c>
      <c r="V310" s="156">
        <v>73</v>
      </c>
      <c r="W310" s="156">
        <v>72</v>
      </c>
    </row>
    <row r="311" spans="1:23" ht="15">
      <c r="A311" s="50" t="s">
        <v>52</v>
      </c>
      <c r="B311" s="164">
        <v>128</v>
      </c>
      <c r="C311" s="155">
        <v>128</v>
      </c>
      <c r="D311" s="155">
        <v>128</v>
      </c>
      <c r="E311" s="155">
        <v>128</v>
      </c>
      <c r="F311" s="155">
        <v>128</v>
      </c>
      <c r="G311" s="155">
        <v>128</v>
      </c>
      <c r="H311" s="155">
        <v>128</v>
      </c>
      <c r="I311" s="155">
        <v>118</v>
      </c>
      <c r="J311" s="155">
        <v>109</v>
      </c>
      <c r="K311" s="155">
        <v>98</v>
      </c>
      <c r="L311" s="155">
        <v>90</v>
      </c>
      <c r="M311" s="155">
        <v>79</v>
      </c>
      <c r="N311" s="155">
        <v>78</v>
      </c>
      <c r="O311" s="155">
        <v>76</v>
      </c>
      <c r="P311" s="155">
        <v>76</v>
      </c>
      <c r="Q311" s="156">
        <v>75</v>
      </c>
      <c r="R311" s="156">
        <v>74</v>
      </c>
      <c r="S311" s="156">
        <v>73</v>
      </c>
      <c r="T311" s="156">
        <v>73</v>
      </c>
      <c r="U311" s="156">
        <v>72</v>
      </c>
      <c r="V311" s="156">
        <v>70</v>
      </c>
      <c r="W311" s="156">
        <v>69</v>
      </c>
    </row>
    <row r="312" spans="1:23" ht="15">
      <c r="A312" s="50" t="s">
        <v>383</v>
      </c>
      <c r="B312" s="155">
        <v>118</v>
      </c>
      <c r="C312" s="155">
        <v>118</v>
      </c>
      <c r="D312" s="155">
        <v>118</v>
      </c>
      <c r="E312" s="155">
        <v>118</v>
      </c>
      <c r="F312" s="155">
        <v>118</v>
      </c>
      <c r="G312" s="155">
        <v>118</v>
      </c>
      <c r="H312" s="155">
        <v>118</v>
      </c>
      <c r="I312" s="155">
        <v>109</v>
      </c>
      <c r="J312" s="155">
        <v>100</v>
      </c>
      <c r="K312" s="155">
        <v>91</v>
      </c>
      <c r="L312" s="155">
        <v>82</v>
      </c>
      <c r="M312" s="155">
        <v>73</v>
      </c>
      <c r="N312" s="155">
        <v>72</v>
      </c>
      <c r="O312" s="155">
        <v>72</v>
      </c>
      <c r="P312" s="155">
        <v>70</v>
      </c>
      <c r="Q312" s="155">
        <v>69</v>
      </c>
      <c r="R312" s="155">
        <v>68</v>
      </c>
      <c r="S312" s="155">
        <v>68</v>
      </c>
      <c r="T312" s="155">
        <v>67</v>
      </c>
      <c r="U312" s="155">
        <v>66</v>
      </c>
      <c r="V312" s="155">
        <v>66</v>
      </c>
      <c r="W312" s="155">
        <v>64</v>
      </c>
    </row>
    <row r="313" spans="1:23" ht="15">
      <c r="A313" s="8" t="s">
        <v>64</v>
      </c>
      <c r="B313" s="155">
        <v>116</v>
      </c>
      <c r="C313" s="155">
        <v>116</v>
      </c>
      <c r="D313" s="155">
        <v>116</v>
      </c>
      <c r="E313" s="155">
        <v>116</v>
      </c>
      <c r="F313" s="155">
        <v>116</v>
      </c>
      <c r="G313" s="155">
        <v>116</v>
      </c>
      <c r="H313" s="155">
        <v>116</v>
      </c>
      <c r="I313" s="155">
        <v>106</v>
      </c>
      <c r="J313" s="155">
        <v>98</v>
      </c>
      <c r="K313" s="155">
        <v>90</v>
      </c>
      <c r="L313" s="155">
        <v>80</v>
      </c>
      <c r="M313" s="155">
        <v>72</v>
      </c>
      <c r="N313" s="155">
        <v>70</v>
      </c>
      <c r="O313" s="155">
        <v>69</v>
      </c>
      <c r="P313" s="155">
        <v>69</v>
      </c>
      <c r="Q313" s="155">
        <v>68</v>
      </c>
      <c r="R313" s="155">
        <v>67</v>
      </c>
      <c r="S313" s="155">
        <v>67</v>
      </c>
      <c r="T313" s="155">
        <v>66</v>
      </c>
      <c r="U313" s="155">
        <v>64</v>
      </c>
      <c r="V313" s="155">
        <v>64</v>
      </c>
      <c r="W313" s="155">
        <v>63</v>
      </c>
    </row>
    <row r="314" spans="1:23" ht="15">
      <c r="A314" s="150" t="s">
        <v>328</v>
      </c>
      <c r="B314" s="151" t="s">
        <v>24</v>
      </c>
      <c r="C314" s="151" t="s">
        <v>25</v>
      </c>
      <c r="D314" s="151" t="s">
        <v>26</v>
      </c>
      <c r="E314" s="151" t="s">
        <v>27</v>
      </c>
      <c r="F314" s="151" t="s">
        <v>28</v>
      </c>
      <c r="G314" s="151" t="s">
        <v>74</v>
      </c>
      <c r="H314" s="151" t="s">
        <v>75</v>
      </c>
      <c r="I314" s="151" t="s">
        <v>76</v>
      </c>
      <c r="J314" s="151" t="s">
        <v>77</v>
      </c>
      <c r="K314" s="151" t="s">
        <v>78</v>
      </c>
      <c r="L314" s="151" t="s">
        <v>79</v>
      </c>
      <c r="M314" s="151" t="s">
        <v>80</v>
      </c>
      <c r="N314" s="16" t="s">
        <v>81</v>
      </c>
      <c r="O314" s="16" t="s">
        <v>82</v>
      </c>
      <c r="P314" s="16" t="s">
        <v>83</v>
      </c>
      <c r="Q314" s="16" t="s">
        <v>84</v>
      </c>
      <c r="R314" s="151" t="s">
        <v>85</v>
      </c>
      <c r="S314" s="16" t="s">
        <v>86</v>
      </c>
      <c r="T314" s="16" t="s">
        <v>87</v>
      </c>
      <c r="U314" s="16" t="s">
        <v>88</v>
      </c>
      <c r="V314" s="16" t="s">
        <v>89</v>
      </c>
      <c r="W314" s="151" t="s">
        <v>90</v>
      </c>
    </row>
    <row r="315" spans="1:23" ht="15">
      <c r="A315" s="50" t="s">
        <v>47</v>
      </c>
      <c r="B315" s="155">
        <f t="array" ref="B315:W318">INT($Z$173:$AU$176*1.2)</f>
        <v>138</v>
      </c>
      <c r="C315" s="155">
        <v>138</v>
      </c>
      <c r="D315" s="155">
        <v>138</v>
      </c>
      <c r="E315" s="155">
        <v>138</v>
      </c>
      <c r="F315" s="155">
        <v>138</v>
      </c>
      <c r="G315" s="155">
        <v>138</v>
      </c>
      <c r="H315" s="155">
        <v>138</v>
      </c>
      <c r="I315" s="155">
        <v>120</v>
      </c>
      <c r="J315" s="155">
        <v>100</v>
      </c>
      <c r="K315" s="155">
        <v>81</v>
      </c>
      <c r="L315" s="155">
        <v>68</v>
      </c>
      <c r="M315" s="155">
        <v>68</v>
      </c>
      <c r="N315" s="155">
        <v>68</v>
      </c>
      <c r="O315" s="155">
        <v>68</v>
      </c>
      <c r="P315" s="155">
        <v>68</v>
      </c>
      <c r="Q315" s="155">
        <v>68</v>
      </c>
      <c r="R315" s="155">
        <v>68</v>
      </c>
      <c r="S315" s="155">
        <v>68</v>
      </c>
      <c r="T315" s="155">
        <v>68</v>
      </c>
      <c r="U315" s="155">
        <v>68</v>
      </c>
      <c r="V315" s="155">
        <v>68</v>
      </c>
      <c r="W315" s="155">
        <v>68</v>
      </c>
    </row>
    <row r="316" spans="1:23" ht="15">
      <c r="A316" s="8" t="s">
        <v>50</v>
      </c>
      <c r="B316" s="164">
        <v>116</v>
      </c>
      <c r="C316" s="155">
        <v>116</v>
      </c>
      <c r="D316" s="155">
        <v>116</v>
      </c>
      <c r="E316" s="155">
        <v>116</v>
      </c>
      <c r="F316" s="155">
        <v>116</v>
      </c>
      <c r="G316" s="155">
        <v>116</v>
      </c>
      <c r="H316" s="155">
        <v>116</v>
      </c>
      <c r="I316" s="155">
        <v>100</v>
      </c>
      <c r="J316" s="155">
        <v>85</v>
      </c>
      <c r="K316" s="155">
        <v>68</v>
      </c>
      <c r="L316" s="155">
        <v>58</v>
      </c>
      <c r="M316" s="155">
        <v>58</v>
      </c>
      <c r="N316" s="155">
        <v>58</v>
      </c>
      <c r="O316" s="155">
        <v>58</v>
      </c>
      <c r="P316" s="155">
        <v>58</v>
      </c>
      <c r="Q316" s="155">
        <v>58</v>
      </c>
      <c r="R316" s="155">
        <v>58</v>
      </c>
      <c r="S316" s="155">
        <v>58</v>
      </c>
      <c r="T316" s="155">
        <v>58</v>
      </c>
      <c r="U316" s="155">
        <v>58</v>
      </c>
      <c r="V316" s="155">
        <v>58</v>
      </c>
      <c r="W316" s="155">
        <v>58</v>
      </c>
    </row>
    <row r="317" spans="1:23" ht="15">
      <c r="A317" s="224" t="s">
        <v>384</v>
      </c>
      <c r="B317" s="155">
        <v>114</v>
      </c>
      <c r="C317" s="155">
        <v>114</v>
      </c>
      <c r="D317" s="155">
        <v>114</v>
      </c>
      <c r="E317" s="155">
        <v>114</v>
      </c>
      <c r="F317" s="155">
        <v>114</v>
      </c>
      <c r="G317" s="155">
        <v>114</v>
      </c>
      <c r="H317" s="155">
        <v>114</v>
      </c>
      <c r="I317" s="155">
        <v>98</v>
      </c>
      <c r="J317" s="155">
        <v>82</v>
      </c>
      <c r="K317" s="155">
        <v>67</v>
      </c>
      <c r="L317" s="155">
        <v>57</v>
      </c>
      <c r="M317" s="155">
        <v>56</v>
      </c>
      <c r="N317" s="155">
        <v>56</v>
      </c>
      <c r="O317" s="155">
        <v>56</v>
      </c>
      <c r="P317" s="155">
        <v>56</v>
      </c>
      <c r="Q317" s="155">
        <v>56</v>
      </c>
      <c r="R317" s="155">
        <v>56</v>
      </c>
      <c r="S317" s="155">
        <v>56</v>
      </c>
      <c r="T317" s="155">
        <v>56</v>
      </c>
      <c r="U317" s="155">
        <v>56</v>
      </c>
      <c r="V317" s="155">
        <v>56</v>
      </c>
      <c r="W317" s="155">
        <v>56</v>
      </c>
    </row>
    <row r="318" spans="1:23" ht="15">
      <c r="A318" s="50" t="s">
        <v>332</v>
      </c>
      <c r="B318" s="155">
        <v>112</v>
      </c>
      <c r="C318" s="155">
        <v>112</v>
      </c>
      <c r="D318" s="155">
        <v>112</v>
      </c>
      <c r="E318" s="155">
        <v>112</v>
      </c>
      <c r="F318" s="155">
        <v>112</v>
      </c>
      <c r="G318" s="155">
        <v>112</v>
      </c>
      <c r="H318" s="155">
        <v>112</v>
      </c>
      <c r="I318" s="155">
        <v>97</v>
      </c>
      <c r="J318" s="155">
        <v>81</v>
      </c>
      <c r="K318" s="155">
        <v>67</v>
      </c>
      <c r="L318" s="155">
        <v>56</v>
      </c>
      <c r="M318" s="155">
        <v>56</v>
      </c>
      <c r="N318" s="155">
        <v>56</v>
      </c>
      <c r="O318" s="155">
        <v>56</v>
      </c>
      <c r="P318" s="155">
        <v>56</v>
      </c>
      <c r="Q318" s="155">
        <v>56</v>
      </c>
      <c r="R318" s="155">
        <v>56</v>
      </c>
      <c r="S318" s="155">
        <v>56</v>
      </c>
      <c r="T318" s="155">
        <v>56</v>
      </c>
      <c r="U318" s="155">
        <v>56</v>
      </c>
      <c r="V318" s="155">
        <v>56</v>
      </c>
      <c r="W318" s="155">
        <v>56</v>
      </c>
    </row>
    <row r="319" spans="1:23" ht="15">
      <c r="A319" s="145" t="s">
        <v>338</v>
      </c>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row>
    <row r="320" spans="1:23" ht="15">
      <c r="A320" s="150" t="s">
        <v>323</v>
      </c>
      <c r="B320" s="151" t="s">
        <v>24</v>
      </c>
      <c r="C320" s="151" t="s">
        <v>25</v>
      </c>
      <c r="D320" s="151" t="s">
        <v>26</v>
      </c>
      <c r="E320" s="151" t="s">
        <v>27</v>
      </c>
      <c r="F320" s="151" t="s">
        <v>28</v>
      </c>
      <c r="G320" s="151" t="s">
        <v>74</v>
      </c>
      <c r="H320" s="151" t="s">
        <v>75</v>
      </c>
      <c r="I320" s="151" t="s">
        <v>76</v>
      </c>
      <c r="J320" s="151" t="s">
        <v>77</v>
      </c>
      <c r="K320" s="151" t="s">
        <v>78</v>
      </c>
      <c r="L320" s="151" t="s">
        <v>79</v>
      </c>
      <c r="M320" s="151" t="s">
        <v>80</v>
      </c>
      <c r="N320" s="16" t="s">
        <v>81</v>
      </c>
      <c r="O320" s="16" t="s">
        <v>82</v>
      </c>
      <c r="P320" s="16" t="s">
        <v>83</v>
      </c>
      <c r="Q320" s="16" t="s">
        <v>84</v>
      </c>
      <c r="R320" s="151" t="s">
        <v>85</v>
      </c>
      <c r="S320" s="16" t="s">
        <v>86</v>
      </c>
      <c r="T320" s="16" t="s">
        <v>87</v>
      </c>
      <c r="U320" s="16" t="s">
        <v>88</v>
      </c>
      <c r="V320" s="16" t="s">
        <v>89</v>
      </c>
      <c r="W320" s="151" t="s">
        <v>90</v>
      </c>
    </row>
    <row r="321" spans="1:23" ht="15">
      <c r="A321" s="50" t="s">
        <v>387</v>
      </c>
      <c r="B321" s="155">
        <f t="array" ref="B321:W326">INT($Z$179:$AU$184*1.2)</f>
        <v>134</v>
      </c>
      <c r="C321" s="155">
        <v>134</v>
      </c>
      <c r="D321" s="155">
        <v>134</v>
      </c>
      <c r="E321" s="155">
        <v>134</v>
      </c>
      <c r="F321" s="155">
        <v>134</v>
      </c>
      <c r="G321" s="155">
        <v>129</v>
      </c>
      <c r="H321" s="155">
        <v>124</v>
      </c>
      <c r="I321" s="155">
        <v>115</v>
      </c>
      <c r="J321" s="155">
        <v>105</v>
      </c>
      <c r="K321" s="155">
        <v>96</v>
      </c>
      <c r="L321" s="155">
        <v>86</v>
      </c>
      <c r="M321" s="155">
        <v>81</v>
      </c>
      <c r="N321" s="155">
        <v>78</v>
      </c>
      <c r="O321" s="155">
        <v>74</v>
      </c>
      <c r="P321" s="155">
        <v>70</v>
      </c>
      <c r="Q321" s="155">
        <v>70</v>
      </c>
      <c r="R321" s="155">
        <v>70</v>
      </c>
      <c r="S321" s="155">
        <v>70</v>
      </c>
      <c r="T321" s="155">
        <v>70</v>
      </c>
      <c r="U321" s="155">
        <v>70</v>
      </c>
      <c r="V321" s="155">
        <v>70</v>
      </c>
      <c r="W321" s="155">
        <v>70</v>
      </c>
    </row>
    <row r="322" spans="1:23" ht="15">
      <c r="A322" s="50" t="s">
        <v>118</v>
      </c>
      <c r="B322" s="155">
        <v>120</v>
      </c>
      <c r="C322" s="155">
        <v>120</v>
      </c>
      <c r="D322" s="155">
        <v>120</v>
      </c>
      <c r="E322" s="155">
        <v>120</v>
      </c>
      <c r="F322" s="155">
        <v>120</v>
      </c>
      <c r="G322" s="155">
        <v>115</v>
      </c>
      <c r="H322" s="155">
        <v>111</v>
      </c>
      <c r="I322" s="155">
        <v>102</v>
      </c>
      <c r="J322" s="155">
        <v>93</v>
      </c>
      <c r="K322" s="155">
        <v>85</v>
      </c>
      <c r="L322" s="155">
        <v>76</v>
      </c>
      <c r="M322" s="155">
        <v>73</v>
      </c>
      <c r="N322" s="155">
        <v>69</v>
      </c>
      <c r="O322" s="155">
        <v>66</v>
      </c>
      <c r="P322" s="155">
        <v>63</v>
      </c>
      <c r="Q322" s="155">
        <v>62</v>
      </c>
      <c r="R322" s="156">
        <v>62</v>
      </c>
      <c r="S322" s="156">
        <v>62</v>
      </c>
      <c r="T322" s="156">
        <v>62</v>
      </c>
      <c r="U322" s="156">
        <v>62</v>
      </c>
      <c r="V322" s="156">
        <v>62</v>
      </c>
      <c r="W322" s="156">
        <v>62</v>
      </c>
    </row>
    <row r="323" spans="1:23" ht="12.75">
      <c r="A323" s="209" t="s">
        <v>138</v>
      </c>
      <c r="B323" s="164">
        <v>116</v>
      </c>
      <c r="C323" s="155">
        <v>116</v>
      </c>
      <c r="D323" s="155">
        <v>116</v>
      </c>
      <c r="E323" s="155">
        <v>116</v>
      </c>
      <c r="F323" s="155">
        <v>116</v>
      </c>
      <c r="G323" s="155">
        <v>111</v>
      </c>
      <c r="H323" s="186">
        <v>108</v>
      </c>
      <c r="I323" s="155">
        <v>99</v>
      </c>
      <c r="J323" s="155">
        <v>91</v>
      </c>
      <c r="K323" s="155">
        <v>82</v>
      </c>
      <c r="L323" s="155">
        <v>74</v>
      </c>
      <c r="M323" s="155">
        <v>70</v>
      </c>
      <c r="N323" s="155">
        <v>67</v>
      </c>
      <c r="O323" s="155">
        <v>64</v>
      </c>
      <c r="P323" s="155">
        <v>61</v>
      </c>
      <c r="Q323" s="155">
        <v>61</v>
      </c>
      <c r="R323" s="155">
        <v>61</v>
      </c>
      <c r="S323" s="155">
        <v>61</v>
      </c>
      <c r="T323" s="155">
        <v>61</v>
      </c>
      <c r="U323" s="155">
        <v>61</v>
      </c>
      <c r="V323" s="155">
        <v>61</v>
      </c>
      <c r="W323" s="155">
        <v>61</v>
      </c>
    </row>
    <row r="324" spans="1:23" ht="15">
      <c r="A324" s="8" t="s">
        <v>388</v>
      </c>
      <c r="B324" s="218">
        <v>114</v>
      </c>
      <c r="C324" s="155">
        <v>114</v>
      </c>
      <c r="D324" s="155">
        <v>114</v>
      </c>
      <c r="E324" s="155">
        <v>114</v>
      </c>
      <c r="F324" s="155">
        <v>114</v>
      </c>
      <c r="G324" s="155">
        <v>109</v>
      </c>
      <c r="H324" s="155">
        <v>105</v>
      </c>
      <c r="I324" s="155">
        <v>97</v>
      </c>
      <c r="J324" s="155">
        <v>88</v>
      </c>
      <c r="K324" s="155">
        <v>81</v>
      </c>
      <c r="L324" s="155">
        <v>73</v>
      </c>
      <c r="M324" s="155">
        <v>69</v>
      </c>
      <c r="N324" s="155">
        <v>66</v>
      </c>
      <c r="O324" s="155">
        <v>63</v>
      </c>
      <c r="P324" s="155">
        <v>60</v>
      </c>
      <c r="Q324" s="155">
        <v>60</v>
      </c>
      <c r="R324" s="155">
        <v>60</v>
      </c>
      <c r="S324" s="155">
        <v>60</v>
      </c>
      <c r="T324" s="155">
        <v>60</v>
      </c>
      <c r="U324" s="155">
        <v>60</v>
      </c>
      <c r="V324" s="155">
        <v>60</v>
      </c>
      <c r="W324" s="155">
        <v>60</v>
      </c>
    </row>
    <row r="325" spans="1:23" ht="12.75">
      <c r="A325" s="227" t="s">
        <v>389</v>
      </c>
      <c r="B325" s="155">
        <v>111</v>
      </c>
      <c r="C325" s="155">
        <v>111</v>
      </c>
      <c r="D325" s="155">
        <v>111</v>
      </c>
      <c r="E325" s="155">
        <v>111</v>
      </c>
      <c r="F325" s="155">
        <v>111</v>
      </c>
      <c r="G325" s="155">
        <v>106</v>
      </c>
      <c r="H325" s="155">
        <v>103</v>
      </c>
      <c r="I325" s="155">
        <v>94</v>
      </c>
      <c r="J325" s="155">
        <v>87</v>
      </c>
      <c r="K325" s="155">
        <v>79</v>
      </c>
      <c r="L325" s="155">
        <v>70</v>
      </c>
      <c r="M325" s="155">
        <v>68</v>
      </c>
      <c r="N325" s="155">
        <v>64</v>
      </c>
      <c r="O325" s="155">
        <v>62</v>
      </c>
      <c r="P325" s="155">
        <v>58</v>
      </c>
      <c r="Q325" s="155">
        <v>58</v>
      </c>
      <c r="R325" s="155">
        <v>58</v>
      </c>
      <c r="S325" s="155">
        <v>58</v>
      </c>
      <c r="T325" s="155">
        <v>58</v>
      </c>
      <c r="U325" s="155">
        <v>58</v>
      </c>
      <c r="V325" s="155">
        <v>58</v>
      </c>
      <c r="W325" s="155">
        <v>58</v>
      </c>
    </row>
    <row r="326" spans="1:23" ht="15">
      <c r="A326" s="50" t="s">
        <v>148</v>
      </c>
      <c r="B326" s="155">
        <v>109</v>
      </c>
      <c r="C326" s="155">
        <v>109</v>
      </c>
      <c r="D326" s="155">
        <v>109</v>
      </c>
      <c r="E326" s="155">
        <v>109</v>
      </c>
      <c r="F326" s="155">
        <v>109</v>
      </c>
      <c r="G326" s="155">
        <v>105</v>
      </c>
      <c r="H326" s="155">
        <v>100</v>
      </c>
      <c r="I326" s="155">
        <v>93</v>
      </c>
      <c r="J326" s="155">
        <v>85</v>
      </c>
      <c r="K326" s="155">
        <v>78</v>
      </c>
      <c r="L326" s="155">
        <v>69</v>
      </c>
      <c r="M326" s="155">
        <v>66</v>
      </c>
      <c r="N326" s="155">
        <v>63</v>
      </c>
      <c r="O326" s="155">
        <v>60</v>
      </c>
      <c r="P326" s="155">
        <v>57</v>
      </c>
      <c r="Q326" s="155">
        <v>57</v>
      </c>
      <c r="R326" s="155">
        <v>57</v>
      </c>
      <c r="S326" s="155">
        <v>57</v>
      </c>
      <c r="T326" s="155">
        <v>57</v>
      </c>
      <c r="U326" s="155">
        <v>57</v>
      </c>
      <c r="V326" s="155">
        <v>57</v>
      </c>
      <c r="W326" s="155">
        <v>57</v>
      </c>
    </row>
    <row r="327" spans="1:23" ht="15">
      <c r="A327" s="150" t="s">
        <v>328</v>
      </c>
      <c r="B327" s="151" t="s">
        <v>24</v>
      </c>
      <c r="C327" s="151" t="s">
        <v>25</v>
      </c>
      <c r="D327" s="151" t="s">
        <v>26</v>
      </c>
      <c r="E327" s="151" t="s">
        <v>27</v>
      </c>
      <c r="F327" s="151" t="s">
        <v>28</v>
      </c>
      <c r="G327" s="151" t="s">
        <v>74</v>
      </c>
      <c r="H327" s="151" t="s">
        <v>75</v>
      </c>
      <c r="I327" s="151" t="s">
        <v>76</v>
      </c>
      <c r="J327" s="151" t="s">
        <v>77</v>
      </c>
      <c r="K327" s="151" t="s">
        <v>78</v>
      </c>
      <c r="L327" s="151" t="s">
        <v>79</v>
      </c>
      <c r="M327" s="151" t="s">
        <v>80</v>
      </c>
      <c r="N327" s="16" t="s">
        <v>81</v>
      </c>
      <c r="O327" s="16" t="s">
        <v>82</v>
      </c>
      <c r="P327" s="16" t="s">
        <v>83</v>
      </c>
      <c r="Q327" s="16" t="s">
        <v>84</v>
      </c>
      <c r="R327" s="151" t="s">
        <v>85</v>
      </c>
      <c r="S327" s="16" t="s">
        <v>86</v>
      </c>
      <c r="T327" s="16" t="s">
        <v>87</v>
      </c>
      <c r="U327" s="16" t="s">
        <v>88</v>
      </c>
      <c r="V327" s="16" t="s">
        <v>89</v>
      </c>
      <c r="W327" s="151" t="s">
        <v>90</v>
      </c>
    </row>
    <row r="328" spans="1:23" ht="15">
      <c r="A328" s="8" t="s">
        <v>106</v>
      </c>
      <c r="B328" s="155">
        <f t="array" ref="B328:W330">INT($Z$186:$AU$188*1.2)</f>
        <v>105</v>
      </c>
      <c r="C328" s="155">
        <v>105</v>
      </c>
      <c r="D328" s="155">
        <v>105</v>
      </c>
      <c r="E328" s="155">
        <v>105</v>
      </c>
      <c r="F328" s="155">
        <v>105</v>
      </c>
      <c r="G328" s="155">
        <v>98</v>
      </c>
      <c r="H328" s="155">
        <v>90</v>
      </c>
      <c r="I328" s="155">
        <v>74</v>
      </c>
      <c r="J328" s="155">
        <v>57</v>
      </c>
      <c r="K328" s="155">
        <v>52</v>
      </c>
      <c r="L328" s="155">
        <v>52</v>
      </c>
      <c r="M328" s="155">
        <v>52</v>
      </c>
      <c r="N328" s="155">
        <v>52</v>
      </c>
      <c r="O328" s="155">
        <v>52</v>
      </c>
      <c r="P328" s="155">
        <v>52</v>
      </c>
      <c r="Q328" s="155">
        <v>52</v>
      </c>
      <c r="R328" s="155">
        <v>52</v>
      </c>
      <c r="S328" s="155">
        <v>52</v>
      </c>
      <c r="T328" s="155">
        <v>52</v>
      </c>
      <c r="U328" s="155">
        <v>52</v>
      </c>
      <c r="V328" s="155">
        <v>52</v>
      </c>
      <c r="W328" s="155">
        <v>52</v>
      </c>
    </row>
    <row r="329" spans="1:23" ht="15">
      <c r="A329" s="38" t="s">
        <v>108</v>
      </c>
      <c r="B329" s="155">
        <v>102</v>
      </c>
      <c r="C329" s="155">
        <v>102</v>
      </c>
      <c r="D329" s="155">
        <v>102</v>
      </c>
      <c r="E329" s="155">
        <v>102</v>
      </c>
      <c r="F329" s="155">
        <v>102</v>
      </c>
      <c r="G329" s="155">
        <v>94</v>
      </c>
      <c r="H329" s="155">
        <v>86</v>
      </c>
      <c r="I329" s="155">
        <v>72</v>
      </c>
      <c r="J329" s="155">
        <v>56</v>
      </c>
      <c r="K329" s="155">
        <v>50</v>
      </c>
      <c r="L329" s="155">
        <v>50</v>
      </c>
      <c r="M329" s="155">
        <v>50</v>
      </c>
      <c r="N329" s="155">
        <v>50</v>
      </c>
      <c r="O329" s="155">
        <v>50</v>
      </c>
      <c r="P329" s="155">
        <v>50</v>
      </c>
      <c r="Q329" s="155">
        <v>50</v>
      </c>
      <c r="R329" s="155">
        <v>50</v>
      </c>
      <c r="S329" s="155">
        <v>50</v>
      </c>
      <c r="T329" s="155">
        <v>50</v>
      </c>
      <c r="U329" s="155">
        <v>50</v>
      </c>
      <c r="V329" s="155">
        <v>50</v>
      </c>
      <c r="W329" s="155">
        <v>50</v>
      </c>
    </row>
    <row r="330" spans="1:23" ht="15">
      <c r="A330" s="8" t="s">
        <v>391</v>
      </c>
      <c r="B330" s="155">
        <v>99</v>
      </c>
      <c r="C330" s="155">
        <v>99</v>
      </c>
      <c r="D330" s="155">
        <v>99</v>
      </c>
      <c r="E330" s="155">
        <v>99</v>
      </c>
      <c r="F330" s="155">
        <v>99</v>
      </c>
      <c r="G330" s="155">
        <v>92</v>
      </c>
      <c r="H330" s="155">
        <v>85</v>
      </c>
      <c r="I330" s="155">
        <v>69</v>
      </c>
      <c r="J330" s="155">
        <v>55</v>
      </c>
      <c r="K330" s="155">
        <v>49</v>
      </c>
      <c r="L330" s="155">
        <v>49</v>
      </c>
      <c r="M330" s="155">
        <v>49</v>
      </c>
      <c r="N330" s="155">
        <v>49</v>
      </c>
      <c r="O330" s="155">
        <v>49</v>
      </c>
      <c r="P330" s="155">
        <v>49</v>
      </c>
      <c r="Q330" s="155">
        <v>49</v>
      </c>
      <c r="R330" s="155">
        <v>49</v>
      </c>
      <c r="S330" s="155">
        <v>49</v>
      </c>
      <c r="T330" s="155">
        <v>49</v>
      </c>
      <c r="U330" s="155">
        <v>49</v>
      </c>
      <c r="V330" s="155">
        <v>49</v>
      </c>
      <c r="W330" s="155">
        <v>49</v>
      </c>
    </row>
    <row r="331" spans="1:23" ht="15">
      <c r="A331" s="145" t="s">
        <v>340</v>
      </c>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row>
    <row r="332" spans="1:23" ht="15">
      <c r="A332" s="150" t="s">
        <v>323</v>
      </c>
      <c r="B332" s="151" t="s">
        <v>24</v>
      </c>
      <c r="C332" s="151" t="s">
        <v>25</v>
      </c>
      <c r="D332" s="151" t="s">
        <v>26</v>
      </c>
      <c r="E332" s="151" t="s">
        <v>27</v>
      </c>
      <c r="F332" s="151" t="s">
        <v>28</v>
      </c>
      <c r="G332" s="151" t="s">
        <v>74</v>
      </c>
      <c r="H332" s="151" t="s">
        <v>75</v>
      </c>
      <c r="I332" s="151" t="s">
        <v>76</v>
      </c>
      <c r="J332" s="151" t="s">
        <v>77</v>
      </c>
      <c r="K332" s="151" t="s">
        <v>78</v>
      </c>
      <c r="L332" s="151" t="s">
        <v>79</v>
      </c>
      <c r="M332" s="151" t="s">
        <v>80</v>
      </c>
      <c r="N332" s="16" t="s">
        <v>81</v>
      </c>
      <c r="O332" s="16" t="s">
        <v>82</v>
      </c>
      <c r="P332" s="16" t="s">
        <v>83</v>
      </c>
      <c r="Q332" s="16" t="s">
        <v>84</v>
      </c>
      <c r="R332" s="151" t="s">
        <v>85</v>
      </c>
      <c r="S332" s="16" t="s">
        <v>86</v>
      </c>
      <c r="T332" s="16" t="s">
        <v>87</v>
      </c>
      <c r="U332" s="16" t="s">
        <v>88</v>
      </c>
      <c r="V332" s="16" t="s">
        <v>89</v>
      </c>
      <c r="W332" s="151" t="s">
        <v>90</v>
      </c>
    </row>
    <row r="333" spans="1:23" ht="15">
      <c r="A333" s="8" t="s">
        <v>392</v>
      </c>
      <c r="B333" s="155">
        <f t="array" ref="B333:W335">INT($Z$191:$AU$193*1.2)</f>
        <v>104</v>
      </c>
      <c r="C333" s="155">
        <v>104</v>
      </c>
      <c r="D333" s="155">
        <v>104</v>
      </c>
      <c r="E333" s="155">
        <v>97</v>
      </c>
      <c r="F333" s="155">
        <v>91</v>
      </c>
      <c r="G333" s="155">
        <v>85</v>
      </c>
      <c r="H333" s="155">
        <v>78</v>
      </c>
      <c r="I333" s="155">
        <v>64</v>
      </c>
      <c r="J333" s="155">
        <v>62</v>
      </c>
      <c r="K333" s="155">
        <v>60</v>
      </c>
      <c r="L333" s="155">
        <v>57</v>
      </c>
      <c r="M333" s="155">
        <v>55</v>
      </c>
      <c r="N333" s="155">
        <v>55</v>
      </c>
      <c r="O333" s="155">
        <v>55</v>
      </c>
      <c r="P333" s="155">
        <v>55</v>
      </c>
      <c r="Q333" s="155">
        <v>55</v>
      </c>
      <c r="R333" s="155">
        <v>55</v>
      </c>
      <c r="S333" s="155">
        <v>55</v>
      </c>
      <c r="T333" s="155">
        <v>55</v>
      </c>
      <c r="U333" s="155">
        <v>55</v>
      </c>
      <c r="V333" s="155">
        <v>55</v>
      </c>
      <c r="W333" s="155">
        <v>55</v>
      </c>
    </row>
    <row r="334" spans="1:23" ht="12.75">
      <c r="A334" s="229" t="s">
        <v>393</v>
      </c>
      <c r="B334" s="155">
        <v>102</v>
      </c>
      <c r="C334" s="155">
        <v>102</v>
      </c>
      <c r="D334" s="155">
        <v>102</v>
      </c>
      <c r="E334" s="155">
        <v>96</v>
      </c>
      <c r="F334" s="155">
        <v>88</v>
      </c>
      <c r="G334" s="155">
        <v>82</v>
      </c>
      <c r="H334" s="155">
        <v>75</v>
      </c>
      <c r="I334" s="155">
        <v>63</v>
      </c>
      <c r="J334" s="155">
        <v>60</v>
      </c>
      <c r="K334" s="155">
        <v>58</v>
      </c>
      <c r="L334" s="155">
        <v>56</v>
      </c>
      <c r="M334" s="155">
        <v>54</v>
      </c>
      <c r="N334" s="155">
        <v>54</v>
      </c>
      <c r="O334" s="155">
        <v>54</v>
      </c>
      <c r="P334" s="155">
        <v>54</v>
      </c>
      <c r="Q334" s="155">
        <v>54</v>
      </c>
      <c r="R334" s="155">
        <v>54</v>
      </c>
      <c r="S334" s="155">
        <v>54</v>
      </c>
      <c r="T334" s="155">
        <v>54</v>
      </c>
      <c r="U334" s="155">
        <v>54</v>
      </c>
      <c r="V334" s="155">
        <v>54</v>
      </c>
      <c r="W334" s="155">
        <v>54</v>
      </c>
    </row>
    <row r="335" spans="1:23" ht="12.75">
      <c r="A335" s="189" t="s">
        <v>394</v>
      </c>
      <c r="B335" s="155">
        <v>99</v>
      </c>
      <c r="C335" s="155">
        <v>99</v>
      </c>
      <c r="D335" s="155">
        <v>99</v>
      </c>
      <c r="E335" s="155">
        <v>93</v>
      </c>
      <c r="F335" s="155">
        <v>86</v>
      </c>
      <c r="G335" s="155">
        <v>80</v>
      </c>
      <c r="H335" s="155">
        <v>74</v>
      </c>
      <c r="I335" s="155">
        <v>61</v>
      </c>
      <c r="J335" s="155">
        <v>58</v>
      </c>
      <c r="K335" s="155">
        <v>56</v>
      </c>
      <c r="L335" s="155">
        <v>54</v>
      </c>
      <c r="M335" s="155">
        <v>52</v>
      </c>
      <c r="N335" s="155">
        <v>51</v>
      </c>
      <c r="O335" s="155">
        <v>51</v>
      </c>
      <c r="P335" s="155">
        <v>51</v>
      </c>
      <c r="Q335" s="155">
        <v>51</v>
      </c>
      <c r="R335" s="155">
        <v>51</v>
      </c>
      <c r="S335" s="155">
        <v>51</v>
      </c>
      <c r="T335" s="155">
        <v>51</v>
      </c>
      <c r="U335" s="155">
        <v>51</v>
      </c>
      <c r="V335" s="155">
        <v>51</v>
      </c>
      <c r="W335" s="155">
        <v>51</v>
      </c>
    </row>
    <row r="336" spans="1:23" ht="15">
      <c r="A336" s="150" t="s">
        <v>328</v>
      </c>
      <c r="B336" s="151" t="s">
        <v>24</v>
      </c>
      <c r="C336" s="151" t="s">
        <v>25</v>
      </c>
      <c r="D336" s="151" t="s">
        <v>26</v>
      </c>
      <c r="E336" s="151" t="s">
        <v>27</v>
      </c>
      <c r="F336" s="151" t="s">
        <v>28</v>
      </c>
      <c r="G336" s="151" t="s">
        <v>74</v>
      </c>
      <c r="H336" s="151" t="s">
        <v>75</v>
      </c>
      <c r="I336" s="151" t="s">
        <v>76</v>
      </c>
      <c r="J336" s="151" t="s">
        <v>77</v>
      </c>
      <c r="K336" s="151" t="s">
        <v>78</v>
      </c>
      <c r="L336" s="151" t="s">
        <v>79</v>
      </c>
      <c r="M336" s="151" t="s">
        <v>80</v>
      </c>
      <c r="N336" s="16" t="s">
        <v>81</v>
      </c>
      <c r="O336" s="16" t="s">
        <v>82</v>
      </c>
      <c r="P336" s="16" t="s">
        <v>83</v>
      </c>
      <c r="Q336" s="16" t="s">
        <v>84</v>
      </c>
      <c r="R336" s="151" t="s">
        <v>85</v>
      </c>
      <c r="S336" s="16" t="s">
        <v>86</v>
      </c>
      <c r="T336" s="16" t="s">
        <v>87</v>
      </c>
      <c r="U336" s="16" t="s">
        <v>88</v>
      </c>
      <c r="V336" s="16" t="s">
        <v>89</v>
      </c>
      <c r="W336" s="151" t="s">
        <v>90</v>
      </c>
    </row>
    <row r="337" spans="1:23" ht="12.75">
      <c r="A337" s="41" t="s">
        <v>396</v>
      </c>
      <c r="B337" s="155">
        <f t="array" ref="B337:W338">INT($Z$195:$AU$196*1.2)</f>
        <v>96</v>
      </c>
      <c r="C337" s="155">
        <v>96</v>
      </c>
      <c r="D337" s="155">
        <v>96</v>
      </c>
      <c r="E337" s="155">
        <v>88</v>
      </c>
      <c r="F337" s="155">
        <v>81</v>
      </c>
      <c r="G337" s="155">
        <v>74</v>
      </c>
      <c r="H337" s="155">
        <v>67</v>
      </c>
      <c r="I337" s="155">
        <v>52</v>
      </c>
      <c r="J337" s="155">
        <v>48</v>
      </c>
      <c r="K337" s="155">
        <v>48</v>
      </c>
      <c r="L337" s="155">
        <v>48</v>
      </c>
      <c r="M337" s="155">
        <v>48</v>
      </c>
      <c r="N337" s="155">
        <v>48</v>
      </c>
      <c r="O337" s="155">
        <v>48</v>
      </c>
      <c r="P337" s="155">
        <v>48</v>
      </c>
      <c r="Q337" s="155">
        <v>48</v>
      </c>
      <c r="R337" s="155">
        <v>48</v>
      </c>
      <c r="S337" s="155">
        <v>48</v>
      </c>
      <c r="T337" s="155">
        <v>48</v>
      </c>
      <c r="U337" s="155">
        <v>48</v>
      </c>
      <c r="V337" s="155">
        <v>48</v>
      </c>
      <c r="W337" s="155">
        <v>48</v>
      </c>
    </row>
    <row r="338" spans="1:23" ht="12.75">
      <c r="A338" s="41" t="s">
        <v>398</v>
      </c>
      <c r="B338" s="155">
        <v>90</v>
      </c>
      <c r="C338" s="155">
        <v>90</v>
      </c>
      <c r="D338" s="155">
        <v>90</v>
      </c>
      <c r="E338" s="155">
        <v>82</v>
      </c>
      <c r="F338" s="155">
        <v>76</v>
      </c>
      <c r="G338" s="155">
        <v>69</v>
      </c>
      <c r="H338" s="155">
        <v>63</v>
      </c>
      <c r="I338" s="155">
        <v>49</v>
      </c>
      <c r="J338" s="155">
        <v>44</v>
      </c>
      <c r="K338" s="155">
        <v>44</v>
      </c>
      <c r="L338" s="155">
        <v>44</v>
      </c>
      <c r="M338" s="155">
        <v>44</v>
      </c>
      <c r="N338" s="155">
        <v>44</v>
      </c>
      <c r="O338" s="155">
        <v>44</v>
      </c>
      <c r="P338" s="155">
        <v>44</v>
      </c>
      <c r="Q338" s="155">
        <v>44</v>
      </c>
      <c r="R338" s="155">
        <v>44</v>
      </c>
      <c r="S338" s="155">
        <v>44</v>
      </c>
      <c r="T338" s="155">
        <v>44</v>
      </c>
      <c r="U338" s="155">
        <v>44</v>
      </c>
      <c r="V338" s="155">
        <v>44</v>
      </c>
      <c r="W338" s="155">
        <v>44</v>
      </c>
    </row>
    <row r="339" spans="1:23" ht="23.25">
      <c r="A339" s="230" t="s">
        <v>400</v>
      </c>
      <c r="B339" s="220"/>
      <c r="C339" s="220"/>
      <c r="D339" s="220"/>
      <c r="E339" s="220"/>
      <c r="F339" s="220"/>
      <c r="G339" s="220"/>
      <c r="H339" s="220"/>
      <c r="I339" s="220"/>
      <c r="J339" s="220"/>
      <c r="K339" s="220"/>
      <c r="L339" s="220"/>
      <c r="M339" s="220"/>
      <c r="N339" s="220"/>
      <c r="O339" s="220"/>
      <c r="P339" s="220"/>
      <c r="Q339" s="220"/>
      <c r="R339" s="220"/>
      <c r="S339" s="220"/>
      <c r="T339" s="220"/>
      <c r="U339" s="220"/>
      <c r="V339" s="220"/>
      <c r="W339" s="220"/>
    </row>
    <row r="340" spans="1:23" ht="15">
      <c r="A340" s="150" t="s">
        <v>323</v>
      </c>
      <c r="B340" s="151" t="s">
        <v>24</v>
      </c>
      <c r="C340" s="151" t="s">
        <v>25</v>
      </c>
      <c r="D340" s="151" t="s">
        <v>26</v>
      </c>
      <c r="E340" s="151" t="s">
        <v>27</v>
      </c>
      <c r="F340" s="151" t="s">
        <v>28</v>
      </c>
      <c r="G340" s="151" t="s">
        <v>74</v>
      </c>
      <c r="H340" s="151" t="s">
        <v>75</v>
      </c>
      <c r="I340" s="151" t="s">
        <v>76</v>
      </c>
      <c r="J340" s="151" t="s">
        <v>77</v>
      </c>
      <c r="K340" s="151" t="s">
        <v>78</v>
      </c>
      <c r="L340" s="151" t="s">
        <v>79</v>
      </c>
      <c r="M340" s="151" t="s">
        <v>80</v>
      </c>
      <c r="N340" s="16" t="s">
        <v>81</v>
      </c>
      <c r="O340" s="16" t="s">
        <v>82</v>
      </c>
      <c r="P340" s="16" t="s">
        <v>83</v>
      </c>
      <c r="Q340" s="16" t="s">
        <v>84</v>
      </c>
      <c r="R340" s="151" t="s">
        <v>85</v>
      </c>
      <c r="S340" s="16" t="s">
        <v>86</v>
      </c>
      <c r="T340" s="16" t="s">
        <v>87</v>
      </c>
      <c r="U340" s="16" t="s">
        <v>88</v>
      </c>
      <c r="V340" s="16" t="s">
        <v>89</v>
      </c>
      <c r="W340" s="151" t="s">
        <v>90</v>
      </c>
    </row>
    <row r="341" spans="1:23" ht="15">
      <c r="A341" s="8" t="s">
        <v>55</v>
      </c>
      <c r="B341" s="164">
        <f t="array" ref="B341:W345">INT($Z$199:$AU$203*1.2)</f>
        <v>108</v>
      </c>
      <c r="C341" s="155">
        <v>108</v>
      </c>
      <c r="D341" s="155">
        <v>108</v>
      </c>
      <c r="E341" s="155">
        <v>108</v>
      </c>
      <c r="F341" s="155">
        <v>108</v>
      </c>
      <c r="G341" s="155">
        <v>103</v>
      </c>
      <c r="H341" s="155">
        <v>99</v>
      </c>
      <c r="I341" s="155">
        <v>91</v>
      </c>
      <c r="J341" s="155">
        <v>82</v>
      </c>
      <c r="K341" s="155">
        <v>75</v>
      </c>
      <c r="L341" s="155">
        <v>67</v>
      </c>
      <c r="M341" s="155">
        <v>66</v>
      </c>
      <c r="N341" s="155">
        <v>66</v>
      </c>
      <c r="O341" s="155">
        <v>64</v>
      </c>
      <c r="P341" s="155">
        <v>64</v>
      </c>
      <c r="Q341" s="155">
        <v>64</v>
      </c>
      <c r="R341" s="155">
        <v>63</v>
      </c>
      <c r="S341" s="155">
        <v>63</v>
      </c>
      <c r="T341" s="155">
        <v>63</v>
      </c>
      <c r="U341" s="155">
        <v>62</v>
      </c>
      <c r="V341" s="155">
        <v>62</v>
      </c>
      <c r="W341" s="155">
        <v>62</v>
      </c>
    </row>
    <row r="342" spans="1:23" ht="15">
      <c r="A342" s="50" t="s">
        <v>61</v>
      </c>
      <c r="B342" s="231">
        <v>104</v>
      </c>
      <c r="C342" s="155">
        <v>104</v>
      </c>
      <c r="D342" s="155">
        <v>104</v>
      </c>
      <c r="E342" s="155">
        <v>104</v>
      </c>
      <c r="F342" s="155">
        <v>104</v>
      </c>
      <c r="G342" s="155">
        <v>100</v>
      </c>
      <c r="H342" s="155">
        <v>96</v>
      </c>
      <c r="I342" s="155">
        <v>88</v>
      </c>
      <c r="J342" s="155">
        <v>80</v>
      </c>
      <c r="K342" s="155">
        <v>73</v>
      </c>
      <c r="L342" s="155">
        <v>64</v>
      </c>
      <c r="M342" s="155">
        <v>63</v>
      </c>
      <c r="N342" s="155">
        <v>63</v>
      </c>
      <c r="O342" s="155">
        <v>63</v>
      </c>
      <c r="P342" s="155">
        <v>62</v>
      </c>
      <c r="Q342" s="155">
        <v>62</v>
      </c>
      <c r="R342" s="155">
        <v>62</v>
      </c>
      <c r="S342" s="156">
        <v>61</v>
      </c>
      <c r="T342" s="156">
        <v>61</v>
      </c>
      <c r="U342" s="156">
        <v>61</v>
      </c>
      <c r="V342" s="156">
        <v>60</v>
      </c>
      <c r="W342" s="156">
        <v>60</v>
      </c>
    </row>
    <row r="343" spans="1:23" ht="15">
      <c r="A343" s="50" t="s">
        <v>326</v>
      </c>
      <c r="B343" s="231">
        <v>102</v>
      </c>
      <c r="C343" s="155">
        <v>102</v>
      </c>
      <c r="D343" s="155">
        <v>102</v>
      </c>
      <c r="E343" s="155">
        <v>102</v>
      </c>
      <c r="F343" s="155">
        <v>102</v>
      </c>
      <c r="G343" s="155">
        <v>98</v>
      </c>
      <c r="H343" s="155">
        <v>93</v>
      </c>
      <c r="I343" s="155">
        <v>86</v>
      </c>
      <c r="J343" s="155">
        <v>78</v>
      </c>
      <c r="K343" s="155">
        <v>70</v>
      </c>
      <c r="L343" s="155">
        <v>63</v>
      </c>
      <c r="M343" s="155">
        <v>62</v>
      </c>
      <c r="N343" s="155">
        <v>62</v>
      </c>
      <c r="O343" s="155">
        <v>61</v>
      </c>
      <c r="P343" s="155">
        <v>61</v>
      </c>
      <c r="Q343" s="156">
        <v>61</v>
      </c>
      <c r="R343" s="156">
        <v>60</v>
      </c>
      <c r="S343" s="156">
        <v>60</v>
      </c>
      <c r="T343" s="156">
        <v>60</v>
      </c>
      <c r="U343" s="156">
        <v>58</v>
      </c>
      <c r="V343" s="156">
        <v>58</v>
      </c>
      <c r="W343" s="156">
        <v>58</v>
      </c>
    </row>
    <row r="344" spans="1:23" ht="15">
      <c r="A344" s="50" t="s">
        <v>401</v>
      </c>
      <c r="B344" s="231">
        <v>100</v>
      </c>
      <c r="C344" s="155">
        <v>100</v>
      </c>
      <c r="D344" s="155">
        <v>100</v>
      </c>
      <c r="E344" s="155">
        <v>100</v>
      </c>
      <c r="F344" s="155">
        <v>100</v>
      </c>
      <c r="G344" s="155">
        <v>97</v>
      </c>
      <c r="H344" s="155">
        <v>92</v>
      </c>
      <c r="I344" s="155">
        <v>85</v>
      </c>
      <c r="J344" s="155">
        <v>78</v>
      </c>
      <c r="K344" s="155">
        <v>69</v>
      </c>
      <c r="L344" s="155">
        <v>62</v>
      </c>
      <c r="M344" s="155">
        <v>61</v>
      </c>
      <c r="N344" s="155">
        <v>61</v>
      </c>
      <c r="O344" s="155">
        <v>61</v>
      </c>
      <c r="P344" s="155">
        <v>60</v>
      </c>
      <c r="Q344" s="155">
        <v>60</v>
      </c>
      <c r="R344" s="155">
        <v>60</v>
      </c>
      <c r="S344" s="155">
        <v>58</v>
      </c>
      <c r="T344" s="155">
        <v>58</v>
      </c>
      <c r="U344" s="155">
        <v>58</v>
      </c>
      <c r="V344" s="155">
        <v>58</v>
      </c>
      <c r="W344" s="155">
        <v>57</v>
      </c>
    </row>
    <row r="345" spans="1:23" ht="15">
      <c r="A345" s="8" t="s">
        <v>402</v>
      </c>
      <c r="B345" s="231">
        <v>98</v>
      </c>
      <c r="C345" s="155">
        <v>98</v>
      </c>
      <c r="D345" s="155">
        <v>98</v>
      </c>
      <c r="E345" s="155">
        <v>98</v>
      </c>
      <c r="F345" s="155">
        <v>98</v>
      </c>
      <c r="G345" s="155">
        <v>94</v>
      </c>
      <c r="H345" s="155">
        <v>91</v>
      </c>
      <c r="I345" s="155">
        <v>82</v>
      </c>
      <c r="J345" s="155">
        <v>75</v>
      </c>
      <c r="K345" s="155">
        <v>68</v>
      </c>
      <c r="L345" s="155">
        <v>61</v>
      </c>
      <c r="M345" s="155">
        <v>60</v>
      </c>
      <c r="N345" s="155">
        <v>60</v>
      </c>
      <c r="O345" s="155">
        <v>58</v>
      </c>
      <c r="P345" s="155">
        <v>58</v>
      </c>
      <c r="Q345" s="155">
        <v>58</v>
      </c>
      <c r="R345" s="155">
        <v>58</v>
      </c>
      <c r="S345" s="155">
        <v>57</v>
      </c>
      <c r="T345" s="155">
        <v>57</v>
      </c>
      <c r="U345" s="155">
        <v>57</v>
      </c>
      <c r="V345" s="155">
        <v>56</v>
      </c>
      <c r="W345" s="155">
        <v>56</v>
      </c>
    </row>
    <row r="346" spans="1:23" ht="22.5">
      <c r="A346" s="219" t="s">
        <v>403</v>
      </c>
    </row>
    <row r="347" spans="1:23" ht="15">
      <c r="A347" s="52" t="s">
        <v>404</v>
      </c>
      <c r="B347" s="15" t="s">
        <v>121</v>
      </c>
      <c r="C347" s="15" t="s">
        <v>122</v>
      </c>
      <c r="D347" s="15" t="s">
        <v>123</v>
      </c>
      <c r="E347" s="15" t="s">
        <v>124</v>
      </c>
      <c r="F347" s="15" t="s">
        <v>125</v>
      </c>
      <c r="G347" s="15" t="s">
        <v>126</v>
      </c>
      <c r="H347" s="15" t="s">
        <v>127</v>
      </c>
      <c r="I347" s="15" t="s">
        <v>128</v>
      </c>
      <c r="J347" s="15" t="s">
        <v>129</v>
      </c>
      <c r="K347" s="15" t="s">
        <v>130</v>
      </c>
      <c r="L347" s="15" t="s">
        <v>131</v>
      </c>
      <c r="M347" s="15" t="s">
        <v>132</v>
      </c>
      <c r="N347" s="15" t="s">
        <v>24</v>
      </c>
      <c r="O347" s="15" t="s">
        <v>25</v>
      </c>
      <c r="P347" s="15" t="s">
        <v>26</v>
      </c>
      <c r="Q347" s="15" t="s">
        <v>27</v>
      </c>
      <c r="R347" s="15" t="s">
        <v>28</v>
      </c>
      <c r="S347" s="15" t="s">
        <v>74</v>
      </c>
      <c r="T347" s="15" t="s">
        <v>75</v>
      </c>
      <c r="U347" s="15" t="s">
        <v>133</v>
      </c>
      <c r="V347" s="15" t="s">
        <v>76</v>
      </c>
      <c r="W347" s="15" t="s">
        <v>134</v>
      </c>
    </row>
    <row r="348" spans="1:23" ht="15">
      <c r="A348" s="50" t="s">
        <v>405</v>
      </c>
      <c r="B348" s="164">
        <f t="array" ref="B348:W354">INT($Z$206:$AU$212)</f>
        <v>195</v>
      </c>
      <c r="C348" s="155">
        <v>188</v>
      </c>
      <c r="D348" s="155">
        <v>178</v>
      </c>
      <c r="E348" s="155">
        <v>164</v>
      </c>
      <c r="F348" s="155">
        <v>152</v>
      </c>
      <c r="G348" s="155">
        <v>141</v>
      </c>
      <c r="H348" s="155">
        <v>138</v>
      </c>
      <c r="I348" s="155">
        <v>134</v>
      </c>
      <c r="J348" s="155">
        <v>129</v>
      </c>
      <c r="K348" s="155">
        <v>125</v>
      </c>
      <c r="L348" s="155">
        <v>121</v>
      </c>
      <c r="M348" s="155">
        <v>117</v>
      </c>
      <c r="N348" s="155">
        <v>108</v>
      </c>
      <c r="O348" s="155">
        <v>100</v>
      </c>
      <c r="P348" s="155">
        <v>90</v>
      </c>
      <c r="Q348" s="155">
        <v>79</v>
      </c>
      <c r="R348" s="155">
        <v>69</v>
      </c>
      <c r="S348" s="155">
        <v>59</v>
      </c>
      <c r="T348" s="155">
        <v>57</v>
      </c>
      <c r="U348" s="155">
        <v>56</v>
      </c>
      <c r="V348" s="155">
        <v>55</v>
      </c>
      <c r="W348" s="155">
        <v>55</v>
      </c>
    </row>
    <row r="349" spans="1:23" ht="12.75">
      <c r="A349" s="232" t="s">
        <v>406</v>
      </c>
      <c r="B349" s="164">
        <v>195</v>
      </c>
      <c r="C349" s="155">
        <v>188</v>
      </c>
      <c r="D349" s="155">
        <v>178</v>
      </c>
      <c r="E349" s="155">
        <v>164</v>
      </c>
      <c r="F349" s="155">
        <v>152</v>
      </c>
      <c r="G349" s="155">
        <v>141</v>
      </c>
      <c r="H349" s="164">
        <v>138</v>
      </c>
      <c r="I349" s="155">
        <v>134</v>
      </c>
      <c r="J349" s="155">
        <v>129</v>
      </c>
      <c r="K349" s="155">
        <v>125</v>
      </c>
      <c r="L349" s="155">
        <v>121</v>
      </c>
      <c r="M349" s="155">
        <v>117</v>
      </c>
      <c r="N349" s="155">
        <v>108</v>
      </c>
      <c r="O349" s="155">
        <v>100</v>
      </c>
      <c r="P349" s="155">
        <v>90</v>
      </c>
      <c r="Q349" s="155">
        <v>79</v>
      </c>
      <c r="R349" s="155">
        <v>69</v>
      </c>
      <c r="S349" s="155">
        <v>59</v>
      </c>
      <c r="T349" s="155">
        <v>57</v>
      </c>
      <c r="U349" s="155">
        <v>56</v>
      </c>
      <c r="V349" s="155">
        <v>55</v>
      </c>
      <c r="W349" s="155">
        <v>55</v>
      </c>
    </row>
    <row r="350" spans="1:23" ht="12.75">
      <c r="A350" s="233" t="s">
        <v>407</v>
      </c>
      <c r="B350" s="234">
        <v>195</v>
      </c>
      <c r="C350" s="155">
        <v>188</v>
      </c>
      <c r="D350" s="155">
        <v>172</v>
      </c>
      <c r="E350" s="155">
        <v>160</v>
      </c>
      <c r="F350" s="155">
        <v>145</v>
      </c>
      <c r="G350" s="155">
        <v>131</v>
      </c>
      <c r="H350" s="155">
        <v>127</v>
      </c>
      <c r="I350" s="155">
        <v>123</v>
      </c>
      <c r="J350" s="155">
        <v>120</v>
      </c>
      <c r="K350" s="155">
        <v>117</v>
      </c>
      <c r="L350" s="155">
        <v>115</v>
      </c>
      <c r="M350" s="155">
        <v>113</v>
      </c>
      <c r="N350" s="155">
        <v>101</v>
      </c>
      <c r="O350" s="155">
        <v>88</v>
      </c>
      <c r="P350" s="155">
        <v>79</v>
      </c>
      <c r="Q350" s="155">
        <v>70</v>
      </c>
      <c r="R350" s="155">
        <v>61</v>
      </c>
      <c r="S350" s="155">
        <v>52</v>
      </c>
      <c r="T350" s="155">
        <v>51</v>
      </c>
      <c r="U350" s="155">
        <v>51</v>
      </c>
      <c r="V350" s="155">
        <v>50</v>
      </c>
      <c r="W350" s="155">
        <v>50</v>
      </c>
    </row>
    <row r="351" spans="1:23" ht="12.75">
      <c r="A351" s="227" t="s">
        <v>408</v>
      </c>
      <c r="B351" s="164">
        <v>195</v>
      </c>
      <c r="C351" s="155">
        <v>188</v>
      </c>
      <c r="D351" s="155">
        <v>172</v>
      </c>
      <c r="E351" s="155">
        <v>160</v>
      </c>
      <c r="F351" s="155">
        <v>145</v>
      </c>
      <c r="G351" s="155">
        <v>131</v>
      </c>
      <c r="H351" s="164">
        <v>127</v>
      </c>
      <c r="I351" s="155">
        <v>123</v>
      </c>
      <c r="J351" s="155">
        <v>120</v>
      </c>
      <c r="K351" s="155">
        <v>117</v>
      </c>
      <c r="L351" s="155">
        <v>115</v>
      </c>
      <c r="M351" s="155">
        <v>113</v>
      </c>
      <c r="N351" s="155">
        <v>101</v>
      </c>
      <c r="O351" s="155">
        <v>88</v>
      </c>
      <c r="P351" s="155">
        <v>79</v>
      </c>
      <c r="Q351" s="155">
        <v>70</v>
      </c>
      <c r="R351" s="155">
        <v>61</v>
      </c>
      <c r="S351" s="155">
        <v>52</v>
      </c>
      <c r="T351" s="155">
        <v>51</v>
      </c>
      <c r="U351" s="155">
        <v>51</v>
      </c>
      <c r="V351" s="155">
        <v>50</v>
      </c>
      <c r="W351" s="155">
        <v>50</v>
      </c>
    </row>
    <row r="352" spans="1:23" ht="12.75">
      <c r="A352" s="209" t="s">
        <v>409</v>
      </c>
      <c r="B352" s="164">
        <v>195</v>
      </c>
      <c r="C352" s="155">
        <v>188</v>
      </c>
      <c r="D352" s="155">
        <v>172</v>
      </c>
      <c r="E352" s="155">
        <v>156</v>
      </c>
      <c r="F352" s="155">
        <v>141</v>
      </c>
      <c r="G352" s="155">
        <v>125</v>
      </c>
      <c r="H352" s="155">
        <v>121</v>
      </c>
      <c r="I352" s="155">
        <v>116</v>
      </c>
      <c r="J352" s="155">
        <v>113</v>
      </c>
      <c r="K352" s="155">
        <v>110</v>
      </c>
      <c r="L352" s="155">
        <v>106</v>
      </c>
      <c r="M352" s="155">
        <v>103</v>
      </c>
      <c r="N352" s="155">
        <v>86</v>
      </c>
      <c r="O352" s="155">
        <v>69</v>
      </c>
      <c r="P352" s="155">
        <v>63</v>
      </c>
      <c r="Q352" s="155">
        <v>58</v>
      </c>
      <c r="R352" s="155">
        <v>53</v>
      </c>
      <c r="S352" s="155">
        <v>49</v>
      </c>
      <c r="T352" s="155">
        <v>47</v>
      </c>
      <c r="U352" s="155">
        <v>47</v>
      </c>
      <c r="V352" s="155">
        <v>46</v>
      </c>
      <c r="W352" s="155">
        <v>45</v>
      </c>
    </row>
    <row r="353" spans="1:23" ht="12.75">
      <c r="A353" s="209" t="s">
        <v>410</v>
      </c>
      <c r="B353" s="234">
        <v>195</v>
      </c>
      <c r="C353" s="155">
        <v>188</v>
      </c>
      <c r="D353" s="155">
        <v>172</v>
      </c>
      <c r="E353" s="155">
        <v>156</v>
      </c>
      <c r="F353" s="155">
        <v>141</v>
      </c>
      <c r="G353" s="155">
        <v>125</v>
      </c>
      <c r="H353" s="164">
        <v>121</v>
      </c>
      <c r="I353" s="155">
        <v>116</v>
      </c>
      <c r="J353" s="155">
        <v>113</v>
      </c>
      <c r="K353" s="155">
        <v>110</v>
      </c>
      <c r="L353" s="155">
        <v>106</v>
      </c>
      <c r="M353" s="155">
        <v>103</v>
      </c>
      <c r="N353" s="155">
        <v>86</v>
      </c>
      <c r="O353" s="155">
        <v>69</v>
      </c>
      <c r="P353" s="155">
        <v>63</v>
      </c>
      <c r="Q353" s="155">
        <v>58</v>
      </c>
      <c r="R353" s="155">
        <v>53</v>
      </c>
      <c r="S353" s="155">
        <v>49</v>
      </c>
      <c r="T353" s="155">
        <v>47</v>
      </c>
      <c r="U353" s="155">
        <v>47</v>
      </c>
      <c r="V353" s="155">
        <v>46</v>
      </c>
      <c r="W353" s="155">
        <v>45</v>
      </c>
    </row>
    <row r="354" spans="1:23" ht="12.75">
      <c r="A354" s="235" t="s">
        <v>411</v>
      </c>
      <c r="B354" s="236">
        <v>195</v>
      </c>
      <c r="C354" s="155">
        <v>188</v>
      </c>
      <c r="D354" s="155">
        <v>172</v>
      </c>
      <c r="E354" s="155">
        <v>156</v>
      </c>
      <c r="F354" s="155">
        <v>141</v>
      </c>
      <c r="G354" s="155">
        <v>125</v>
      </c>
      <c r="H354" s="164">
        <v>121</v>
      </c>
      <c r="I354" s="155">
        <v>116</v>
      </c>
      <c r="J354" s="155">
        <v>113</v>
      </c>
      <c r="K354" s="155">
        <v>110</v>
      </c>
      <c r="L354" s="155">
        <v>106</v>
      </c>
      <c r="M354" s="155">
        <v>103</v>
      </c>
      <c r="N354" s="155">
        <v>86</v>
      </c>
      <c r="O354" s="155">
        <v>69</v>
      </c>
      <c r="P354" s="155">
        <v>63</v>
      </c>
      <c r="Q354" s="155">
        <v>58</v>
      </c>
      <c r="R354" s="155">
        <v>53</v>
      </c>
      <c r="S354" s="155">
        <v>49</v>
      </c>
      <c r="T354" s="155">
        <v>47</v>
      </c>
      <c r="U354" s="155">
        <v>47</v>
      </c>
      <c r="V354" s="155">
        <v>46</v>
      </c>
      <c r="W354" s="155">
        <v>45</v>
      </c>
    </row>
    <row r="356" spans="1:23" ht="36">
      <c r="A356" s="359" t="s">
        <v>415</v>
      </c>
      <c r="B356" s="346"/>
      <c r="C356" s="346"/>
      <c r="D356" s="346"/>
      <c r="E356" s="346"/>
      <c r="F356" s="346"/>
      <c r="G356" s="346"/>
      <c r="H356" s="346"/>
      <c r="I356" s="346"/>
      <c r="J356" s="346"/>
      <c r="K356" s="346"/>
      <c r="L356" s="346"/>
      <c r="M356" s="346"/>
      <c r="N356" s="346"/>
      <c r="O356" s="346"/>
      <c r="P356" s="346"/>
      <c r="Q356" s="346"/>
      <c r="R356" s="346"/>
      <c r="S356" s="346"/>
      <c r="T356" s="346"/>
      <c r="U356" s="346"/>
      <c r="V356" s="346"/>
    </row>
    <row r="357" spans="1:23" ht="15">
      <c r="A357" s="145" t="s">
        <v>322</v>
      </c>
      <c r="B357" s="238"/>
      <c r="C357" s="238"/>
      <c r="D357" s="238"/>
      <c r="E357" s="238"/>
      <c r="F357" s="238"/>
      <c r="G357" s="238"/>
      <c r="H357" s="238"/>
      <c r="I357" s="238"/>
      <c r="J357" s="238"/>
      <c r="K357" s="238"/>
      <c r="L357" s="238"/>
      <c r="M357" s="238"/>
      <c r="N357" s="238"/>
      <c r="O357" s="238"/>
      <c r="P357" s="238"/>
      <c r="Q357" s="238"/>
      <c r="R357" s="238"/>
      <c r="S357" s="238"/>
      <c r="T357" s="238"/>
      <c r="U357" s="238"/>
      <c r="V357" s="238"/>
      <c r="W357" s="238"/>
    </row>
    <row r="358" spans="1:23" ht="15">
      <c r="A358" s="150" t="s">
        <v>323</v>
      </c>
      <c r="B358" s="151" t="s">
        <v>24</v>
      </c>
      <c r="C358" s="151" t="s">
        <v>25</v>
      </c>
      <c r="D358" s="151" t="s">
        <v>26</v>
      </c>
      <c r="E358" s="151" t="s">
        <v>27</v>
      </c>
      <c r="F358" s="151" t="s">
        <v>28</v>
      </c>
      <c r="G358" s="151" t="s">
        <v>74</v>
      </c>
      <c r="H358" s="151" t="s">
        <v>75</v>
      </c>
      <c r="I358" s="151" t="s">
        <v>76</v>
      </c>
      <c r="J358" s="151" t="s">
        <v>77</v>
      </c>
      <c r="K358" s="151" t="s">
        <v>78</v>
      </c>
      <c r="L358" s="151" t="s">
        <v>79</v>
      </c>
      <c r="M358" s="151" t="s">
        <v>80</v>
      </c>
      <c r="N358" s="16" t="s">
        <v>81</v>
      </c>
      <c r="O358" s="16" t="s">
        <v>82</v>
      </c>
      <c r="P358" s="16" t="s">
        <v>83</v>
      </c>
      <c r="Q358" s="16" t="s">
        <v>84</v>
      </c>
      <c r="R358" s="151" t="s">
        <v>85</v>
      </c>
      <c r="S358" s="16" t="s">
        <v>86</v>
      </c>
      <c r="T358" s="16" t="s">
        <v>87</v>
      </c>
      <c r="U358" s="16" t="s">
        <v>88</v>
      </c>
      <c r="V358" s="16" t="s">
        <v>89</v>
      </c>
      <c r="W358" s="151" t="s">
        <v>90</v>
      </c>
    </row>
    <row r="359" spans="1:23" ht="15">
      <c r="A359" s="50" t="s">
        <v>46</v>
      </c>
      <c r="B359" s="155">
        <f t="array" ref="B359:W367">INT($Z$75:$AU$83*0.9)</f>
        <v>103</v>
      </c>
      <c r="C359" s="155">
        <v>103</v>
      </c>
      <c r="D359" s="155">
        <v>103</v>
      </c>
      <c r="E359" s="155">
        <v>103</v>
      </c>
      <c r="F359" s="155">
        <v>103</v>
      </c>
      <c r="G359" s="155">
        <v>99</v>
      </c>
      <c r="H359" s="155">
        <v>95</v>
      </c>
      <c r="I359" s="155">
        <v>87</v>
      </c>
      <c r="J359" s="155">
        <v>80</v>
      </c>
      <c r="K359" s="155">
        <v>72</v>
      </c>
      <c r="L359" s="155">
        <v>63</v>
      </c>
      <c r="M359" s="155">
        <v>63</v>
      </c>
      <c r="N359" s="155">
        <v>62</v>
      </c>
      <c r="O359" s="155">
        <v>61</v>
      </c>
      <c r="P359" s="155">
        <v>60</v>
      </c>
      <c r="Q359" s="156">
        <v>59</v>
      </c>
      <c r="R359" s="156">
        <v>58</v>
      </c>
      <c r="S359" s="156">
        <v>57</v>
      </c>
      <c r="T359" s="156">
        <v>56</v>
      </c>
      <c r="U359" s="156">
        <v>55</v>
      </c>
      <c r="V359" s="156">
        <v>54</v>
      </c>
      <c r="W359" s="156">
        <v>54</v>
      </c>
    </row>
    <row r="360" spans="1:23" ht="15">
      <c r="A360" s="50" t="s">
        <v>49</v>
      </c>
      <c r="B360" s="155">
        <v>99</v>
      </c>
      <c r="C360" s="155">
        <v>99</v>
      </c>
      <c r="D360" s="155">
        <v>99</v>
      </c>
      <c r="E360" s="155">
        <v>99</v>
      </c>
      <c r="F360" s="155">
        <v>99</v>
      </c>
      <c r="G360" s="155">
        <v>95</v>
      </c>
      <c r="H360" s="155">
        <v>91</v>
      </c>
      <c r="I360" s="155">
        <v>83</v>
      </c>
      <c r="J360" s="155">
        <v>76</v>
      </c>
      <c r="K360" s="155">
        <v>69</v>
      </c>
      <c r="L360" s="155">
        <v>61</v>
      </c>
      <c r="M360" s="155">
        <v>60</v>
      </c>
      <c r="N360" s="155">
        <v>59</v>
      </c>
      <c r="O360" s="155">
        <v>58</v>
      </c>
      <c r="P360" s="155">
        <v>57</v>
      </c>
      <c r="Q360" s="155">
        <v>56</v>
      </c>
      <c r="R360" s="156">
        <v>55</v>
      </c>
      <c r="S360" s="156">
        <v>54</v>
      </c>
      <c r="T360" s="156">
        <v>54</v>
      </c>
      <c r="U360" s="156">
        <v>54</v>
      </c>
      <c r="V360" s="156">
        <v>53</v>
      </c>
      <c r="W360" s="156">
        <v>52</v>
      </c>
    </row>
    <row r="361" spans="1:23" ht="15">
      <c r="A361" s="50" t="s">
        <v>324</v>
      </c>
      <c r="B361" s="164">
        <v>96</v>
      </c>
      <c r="C361" s="164">
        <v>96</v>
      </c>
      <c r="D361" s="164">
        <v>96</v>
      </c>
      <c r="E361" s="164">
        <v>96</v>
      </c>
      <c r="F361" s="164">
        <v>96</v>
      </c>
      <c r="G361" s="155">
        <v>92</v>
      </c>
      <c r="H361" s="155">
        <v>89</v>
      </c>
      <c r="I361" s="155">
        <v>81</v>
      </c>
      <c r="J361" s="155">
        <v>73</v>
      </c>
      <c r="K361" s="155">
        <v>66</v>
      </c>
      <c r="L361" s="155">
        <v>59</v>
      </c>
      <c r="M361" s="155">
        <v>58</v>
      </c>
      <c r="N361" s="155">
        <v>57</v>
      </c>
      <c r="O361" s="155">
        <v>56</v>
      </c>
      <c r="P361" s="155">
        <v>55</v>
      </c>
      <c r="Q361" s="155">
        <v>55</v>
      </c>
      <c r="R361" s="156">
        <v>54</v>
      </c>
      <c r="S361" s="156">
        <v>54</v>
      </c>
      <c r="T361" s="156">
        <v>53</v>
      </c>
      <c r="U361" s="156">
        <v>52</v>
      </c>
      <c r="V361" s="156">
        <v>51</v>
      </c>
      <c r="W361" s="156">
        <v>50</v>
      </c>
    </row>
    <row r="362" spans="1:23" ht="12.75">
      <c r="A362" s="165" t="s">
        <v>325</v>
      </c>
      <c r="B362" s="155">
        <v>94</v>
      </c>
      <c r="C362" s="155">
        <v>94</v>
      </c>
      <c r="D362" s="155">
        <v>94</v>
      </c>
      <c r="E362" s="155">
        <v>94</v>
      </c>
      <c r="F362" s="155">
        <v>94</v>
      </c>
      <c r="G362" s="155">
        <v>90</v>
      </c>
      <c r="H362" s="155">
        <v>87</v>
      </c>
      <c r="I362" s="155">
        <v>80</v>
      </c>
      <c r="J362" s="155">
        <v>72</v>
      </c>
      <c r="K362" s="155">
        <v>65</v>
      </c>
      <c r="L362" s="155">
        <v>58</v>
      </c>
      <c r="M362" s="155">
        <v>57</v>
      </c>
      <c r="N362" s="155">
        <v>56</v>
      </c>
      <c r="O362" s="155">
        <v>55</v>
      </c>
      <c r="P362" s="155">
        <v>54</v>
      </c>
      <c r="Q362" s="155">
        <v>54</v>
      </c>
      <c r="R362" s="156">
        <v>53</v>
      </c>
      <c r="S362" s="156">
        <v>53</v>
      </c>
      <c r="T362" s="156">
        <v>52</v>
      </c>
      <c r="U362" s="156">
        <v>51</v>
      </c>
      <c r="V362" s="156">
        <v>50</v>
      </c>
      <c r="W362" s="156">
        <v>49</v>
      </c>
    </row>
    <row r="363" spans="1:23" ht="15">
      <c r="A363" s="8" t="s">
        <v>58</v>
      </c>
      <c r="B363" s="155">
        <v>92</v>
      </c>
      <c r="C363" s="155">
        <v>92</v>
      </c>
      <c r="D363" s="155">
        <v>92</v>
      </c>
      <c r="E363" s="155">
        <v>92</v>
      </c>
      <c r="F363" s="155">
        <v>92</v>
      </c>
      <c r="G363" s="155">
        <v>89</v>
      </c>
      <c r="H363" s="155">
        <v>85</v>
      </c>
      <c r="I363" s="155">
        <v>78</v>
      </c>
      <c r="J363" s="155">
        <v>71</v>
      </c>
      <c r="K363" s="155">
        <v>64</v>
      </c>
      <c r="L363" s="155">
        <v>57</v>
      </c>
      <c r="M363" s="155">
        <v>56</v>
      </c>
      <c r="N363" s="155">
        <v>55</v>
      </c>
      <c r="O363" s="155">
        <v>54</v>
      </c>
      <c r="P363" s="155">
        <v>54</v>
      </c>
      <c r="Q363" s="156">
        <v>53</v>
      </c>
      <c r="R363" s="156">
        <v>52</v>
      </c>
      <c r="S363" s="156">
        <v>52</v>
      </c>
      <c r="T363" s="156">
        <v>51</v>
      </c>
      <c r="U363" s="156">
        <v>50</v>
      </c>
      <c r="V363" s="156">
        <v>49</v>
      </c>
      <c r="W363" s="156">
        <v>48</v>
      </c>
    </row>
    <row r="364" spans="1:23" ht="15">
      <c r="A364" s="52" t="s">
        <v>61</v>
      </c>
      <c r="B364" s="155">
        <v>91</v>
      </c>
      <c r="C364" s="155">
        <v>91</v>
      </c>
      <c r="D364" s="155">
        <v>91</v>
      </c>
      <c r="E364" s="155">
        <v>91</v>
      </c>
      <c r="F364" s="155">
        <v>91</v>
      </c>
      <c r="G364" s="155">
        <v>88</v>
      </c>
      <c r="H364" s="155">
        <v>84</v>
      </c>
      <c r="I364" s="155">
        <v>77</v>
      </c>
      <c r="J364" s="155">
        <v>71</v>
      </c>
      <c r="K364" s="155">
        <v>63</v>
      </c>
      <c r="L364" s="155">
        <v>56</v>
      </c>
      <c r="M364" s="155">
        <v>55</v>
      </c>
      <c r="N364" s="155">
        <v>54</v>
      </c>
      <c r="O364" s="155">
        <v>54</v>
      </c>
      <c r="P364" s="155">
        <v>53</v>
      </c>
      <c r="Q364" s="156">
        <v>53</v>
      </c>
      <c r="R364" s="156">
        <v>52</v>
      </c>
      <c r="S364" s="156">
        <v>51</v>
      </c>
      <c r="T364" s="156">
        <v>50</v>
      </c>
      <c r="U364" s="156">
        <v>49</v>
      </c>
      <c r="V364" s="156">
        <v>48</v>
      </c>
      <c r="W364" s="156">
        <v>48</v>
      </c>
    </row>
    <row r="365" spans="1:23" ht="15">
      <c r="A365" s="50" t="s">
        <v>326</v>
      </c>
      <c r="B365" s="155">
        <v>90</v>
      </c>
      <c r="C365" s="155">
        <v>90</v>
      </c>
      <c r="D365" s="155">
        <v>90</v>
      </c>
      <c r="E365" s="155">
        <v>90</v>
      </c>
      <c r="F365" s="155">
        <v>90</v>
      </c>
      <c r="G365" s="155">
        <v>86</v>
      </c>
      <c r="H365" s="155">
        <v>82</v>
      </c>
      <c r="I365" s="155">
        <v>76</v>
      </c>
      <c r="J365" s="155">
        <v>69</v>
      </c>
      <c r="K365" s="155">
        <v>62</v>
      </c>
      <c r="L365" s="155">
        <v>55</v>
      </c>
      <c r="M365" s="155">
        <v>54</v>
      </c>
      <c r="N365" s="155">
        <v>54</v>
      </c>
      <c r="O365" s="155">
        <v>53</v>
      </c>
      <c r="P365" s="155">
        <v>52</v>
      </c>
      <c r="Q365" s="156">
        <v>51</v>
      </c>
      <c r="R365" s="156">
        <v>51</v>
      </c>
      <c r="S365" s="156">
        <v>50</v>
      </c>
      <c r="T365" s="156">
        <v>49</v>
      </c>
      <c r="U365" s="156">
        <v>48</v>
      </c>
      <c r="V365" s="156">
        <v>47</v>
      </c>
      <c r="W365" s="156">
        <v>47</v>
      </c>
    </row>
    <row r="366" spans="1:23" ht="15">
      <c r="A366" s="50" t="s">
        <v>66</v>
      </c>
      <c r="B366" s="164">
        <v>89</v>
      </c>
      <c r="C366" s="164">
        <v>89</v>
      </c>
      <c r="D366" s="164">
        <v>89</v>
      </c>
      <c r="E366" s="164">
        <v>89</v>
      </c>
      <c r="F366" s="164">
        <v>89</v>
      </c>
      <c r="G366" s="155">
        <v>85</v>
      </c>
      <c r="H366" s="155">
        <v>81</v>
      </c>
      <c r="I366" s="155">
        <v>75</v>
      </c>
      <c r="J366" s="155">
        <v>68</v>
      </c>
      <c r="K366" s="155">
        <v>62</v>
      </c>
      <c r="L366" s="155">
        <v>54</v>
      </c>
      <c r="M366" s="155">
        <v>54</v>
      </c>
      <c r="N366" s="155">
        <v>53</v>
      </c>
      <c r="O366" s="155">
        <v>53</v>
      </c>
      <c r="P366" s="155">
        <v>52</v>
      </c>
      <c r="Q366" s="155">
        <v>51</v>
      </c>
      <c r="R366" s="155">
        <v>50</v>
      </c>
      <c r="S366" s="156">
        <v>49</v>
      </c>
      <c r="T366" s="156">
        <v>48</v>
      </c>
      <c r="U366" s="156">
        <v>48</v>
      </c>
      <c r="V366" s="156">
        <v>47</v>
      </c>
      <c r="W366" s="156">
        <v>46</v>
      </c>
    </row>
    <row r="367" spans="1:23" ht="12.75">
      <c r="A367" s="35" t="s">
        <v>327</v>
      </c>
      <c r="B367" s="155">
        <v>87</v>
      </c>
      <c r="C367" s="155">
        <v>87</v>
      </c>
      <c r="D367" s="155">
        <v>87</v>
      </c>
      <c r="E367" s="155">
        <v>87</v>
      </c>
      <c r="F367" s="155">
        <v>87</v>
      </c>
      <c r="G367" s="155">
        <v>83</v>
      </c>
      <c r="H367" s="155">
        <v>81</v>
      </c>
      <c r="I367" s="155">
        <v>73</v>
      </c>
      <c r="J367" s="155">
        <v>67</v>
      </c>
      <c r="K367" s="155">
        <v>61</v>
      </c>
      <c r="L367" s="155">
        <v>54</v>
      </c>
      <c r="M367" s="155">
        <v>53</v>
      </c>
      <c r="N367" s="155">
        <v>52</v>
      </c>
      <c r="O367" s="155">
        <v>51</v>
      </c>
      <c r="P367" s="155">
        <v>51</v>
      </c>
      <c r="Q367" s="155">
        <v>50</v>
      </c>
      <c r="R367" s="155">
        <v>49</v>
      </c>
      <c r="S367" s="155">
        <v>48</v>
      </c>
      <c r="T367" s="155">
        <v>47</v>
      </c>
      <c r="U367" s="155">
        <v>47</v>
      </c>
      <c r="V367" s="155">
        <v>46</v>
      </c>
      <c r="W367" s="155">
        <v>45</v>
      </c>
    </row>
    <row r="368" spans="1:23" ht="15">
      <c r="A368" s="150" t="s">
        <v>328</v>
      </c>
      <c r="B368" s="151" t="s">
        <v>24</v>
      </c>
      <c r="C368" s="151" t="s">
        <v>25</v>
      </c>
      <c r="D368" s="151" t="s">
        <v>26</v>
      </c>
      <c r="E368" s="151" t="s">
        <v>27</v>
      </c>
      <c r="F368" s="151" t="s">
        <v>28</v>
      </c>
      <c r="G368" s="151" t="s">
        <v>74</v>
      </c>
      <c r="H368" s="151" t="s">
        <v>75</v>
      </c>
      <c r="I368" s="151" t="s">
        <v>76</v>
      </c>
      <c r="J368" s="151" t="s">
        <v>77</v>
      </c>
      <c r="K368" s="151" t="s">
        <v>78</v>
      </c>
      <c r="L368" s="151" t="s">
        <v>79</v>
      </c>
      <c r="M368" s="151" t="s">
        <v>80</v>
      </c>
      <c r="N368" s="16" t="s">
        <v>81</v>
      </c>
      <c r="O368" s="16" t="s">
        <v>82</v>
      </c>
      <c r="P368" s="16" t="s">
        <v>83</v>
      </c>
      <c r="Q368" s="16" t="s">
        <v>84</v>
      </c>
      <c r="R368" s="151" t="s">
        <v>85</v>
      </c>
      <c r="S368" s="16" t="s">
        <v>86</v>
      </c>
      <c r="T368" s="16" t="s">
        <v>87</v>
      </c>
      <c r="U368" s="16" t="s">
        <v>88</v>
      </c>
      <c r="V368" s="16" t="s">
        <v>89</v>
      </c>
      <c r="W368" s="151" t="s">
        <v>90</v>
      </c>
    </row>
    <row r="369" spans="1:23" ht="15">
      <c r="A369" s="50" t="s">
        <v>329</v>
      </c>
      <c r="B369" s="155">
        <f t="array" ref="B369:W372">INT($Z$85:$AU$88*0.9)</f>
        <v>103</v>
      </c>
      <c r="C369" s="155">
        <v>103</v>
      </c>
      <c r="D369" s="155">
        <v>103</v>
      </c>
      <c r="E369" s="155">
        <v>103</v>
      </c>
      <c r="F369" s="155">
        <v>103</v>
      </c>
      <c r="G369" s="155">
        <v>96</v>
      </c>
      <c r="H369" s="155">
        <v>90</v>
      </c>
      <c r="I369" s="155">
        <v>74</v>
      </c>
      <c r="J369" s="155">
        <v>61</v>
      </c>
      <c r="K369" s="155">
        <v>54</v>
      </c>
      <c r="L369" s="155">
        <v>49</v>
      </c>
      <c r="M369" s="155">
        <v>49</v>
      </c>
      <c r="N369" s="155">
        <v>49</v>
      </c>
      <c r="O369" s="155">
        <v>49</v>
      </c>
      <c r="P369" s="155">
        <v>49</v>
      </c>
      <c r="Q369" s="155">
        <v>49</v>
      </c>
      <c r="R369" s="155">
        <v>49</v>
      </c>
      <c r="S369" s="155">
        <v>49</v>
      </c>
      <c r="T369" s="155">
        <v>49</v>
      </c>
      <c r="U369" s="155">
        <v>49</v>
      </c>
      <c r="V369" s="155">
        <v>49</v>
      </c>
      <c r="W369" s="155">
        <v>49</v>
      </c>
    </row>
    <row r="370" spans="1:23" ht="15">
      <c r="A370" s="50" t="s">
        <v>330</v>
      </c>
      <c r="B370" s="164">
        <v>87</v>
      </c>
      <c r="C370" s="155">
        <v>87</v>
      </c>
      <c r="D370" s="155">
        <v>87</v>
      </c>
      <c r="E370" s="155">
        <v>87</v>
      </c>
      <c r="F370" s="155">
        <v>87</v>
      </c>
      <c r="G370" s="155">
        <v>81</v>
      </c>
      <c r="H370" s="155">
        <v>75</v>
      </c>
      <c r="I370" s="155">
        <v>63</v>
      </c>
      <c r="J370" s="155">
        <v>51</v>
      </c>
      <c r="K370" s="155">
        <v>46</v>
      </c>
      <c r="L370" s="155">
        <v>41</v>
      </c>
      <c r="M370" s="155">
        <v>41</v>
      </c>
      <c r="N370" s="155">
        <v>41</v>
      </c>
      <c r="O370" s="155">
        <v>41</v>
      </c>
      <c r="P370" s="155">
        <v>41</v>
      </c>
      <c r="Q370" s="155">
        <v>41</v>
      </c>
      <c r="R370" s="155">
        <v>41</v>
      </c>
      <c r="S370" s="155">
        <v>41</v>
      </c>
      <c r="T370" s="155">
        <v>41</v>
      </c>
      <c r="U370" s="155">
        <v>41</v>
      </c>
      <c r="V370" s="155">
        <v>41</v>
      </c>
      <c r="W370" s="155">
        <v>41</v>
      </c>
    </row>
    <row r="371" spans="1:23" ht="15">
      <c r="A371" s="175" t="s">
        <v>331</v>
      </c>
      <c r="B371" s="164">
        <v>85</v>
      </c>
      <c r="C371" s="155">
        <v>85</v>
      </c>
      <c r="D371" s="155">
        <v>85</v>
      </c>
      <c r="E371" s="155">
        <v>85</v>
      </c>
      <c r="F371" s="155">
        <v>85</v>
      </c>
      <c r="G371" s="155">
        <v>80</v>
      </c>
      <c r="H371" s="155">
        <v>73</v>
      </c>
      <c r="I371" s="155">
        <v>62</v>
      </c>
      <c r="J371" s="155">
        <v>50</v>
      </c>
      <c r="K371" s="155">
        <v>45</v>
      </c>
      <c r="L371" s="155">
        <v>40</v>
      </c>
      <c r="M371" s="155">
        <v>40</v>
      </c>
      <c r="N371" s="155">
        <v>40</v>
      </c>
      <c r="O371" s="155">
        <v>40</v>
      </c>
      <c r="P371" s="155">
        <v>40</v>
      </c>
      <c r="Q371" s="155">
        <v>40</v>
      </c>
      <c r="R371" s="155">
        <v>40</v>
      </c>
      <c r="S371" s="155">
        <v>40</v>
      </c>
      <c r="T371" s="155">
        <v>40</v>
      </c>
      <c r="U371" s="155">
        <v>40</v>
      </c>
      <c r="V371" s="155">
        <v>40</v>
      </c>
      <c r="W371" s="155">
        <v>40</v>
      </c>
    </row>
    <row r="372" spans="1:23" ht="15">
      <c r="A372" s="50" t="s">
        <v>332</v>
      </c>
      <c r="B372" s="155">
        <v>84</v>
      </c>
      <c r="C372" s="155">
        <v>84</v>
      </c>
      <c r="D372" s="155">
        <v>84</v>
      </c>
      <c r="E372" s="155">
        <v>84</v>
      </c>
      <c r="F372" s="155">
        <v>84</v>
      </c>
      <c r="G372" s="155">
        <v>79</v>
      </c>
      <c r="H372" s="155">
        <v>72</v>
      </c>
      <c r="I372" s="155">
        <v>61</v>
      </c>
      <c r="J372" s="155">
        <v>49</v>
      </c>
      <c r="K372" s="155">
        <v>45</v>
      </c>
      <c r="L372" s="155">
        <v>40</v>
      </c>
      <c r="M372" s="155">
        <v>40</v>
      </c>
      <c r="N372" s="155">
        <v>40</v>
      </c>
      <c r="O372" s="155">
        <v>40</v>
      </c>
      <c r="P372" s="155">
        <v>40</v>
      </c>
      <c r="Q372" s="155">
        <v>40</v>
      </c>
      <c r="R372" s="155">
        <v>40</v>
      </c>
      <c r="S372" s="155">
        <v>40</v>
      </c>
      <c r="T372" s="155">
        <v>40</v>
      </c>
      <c r="U372" s="155">
        <v>40</v>
      </c>
      <c r="V372" s="155">
        <v>40</v>
      </c>
      <c r="W372" s="155">
        <v>40</v>
      </c>
    </row>
    <row r="373" spans="1:23" ht="15">
      <c r="A373" s="150" t="s">
        <v>333</v>
      </c>
      <c r="B373" s="151" t="s">
        <v>24</v>
      </c>
      <c r="C373" s="151" t="s">
        <v>25</v>
      </c>
      <c r="D373" s="151" t="s">
        <v>26</v>
      </c>
      <c r="E373" s="151" t="s">
        <v>27</v>
      </c>
      <c r="F373" s="151" t="s">
        <v>28</v>
      </c>
      <c r="G373" s="151" t="s">
        <v>74</v>
      </c>
      <c r="H373" s="151" t="s">
        <v>75</v>
      </c>
      <c r="I373" s="151" t="s">
        <v>76</v>
      </c>
      <c r="J373" s="151" t="s">
        <v>77</v>
      </c>
      <c r="K373" s="151" t="s">
        <v>78</v>
      </c>
      <c r="L373" s="151" t="s">
        <v>79</v>
      </c>
      <c r="M373" s="151" t="s">
        <v>80</v>
      </c>
      <c r="N373" s="16" t="s">
        <v>81</v>
      </c>
      <c r="O373" s="16" t="s">
        <v>82</v>
      </c>
      <c r="P373" s="16" t="s">
        <v>83</v>
      </c>
      <c r="Q373" s="16" t="s">
        <v>84</v>
      </c>
      <c r="R373" s="151" t="s">
        <v>85</v>
      </c>
      <c r="S373" s="16" t="s">
        <v>86</v>
      </c>
      <c r="T373" s="16" t="s">
        <v>87</v>
      </c>
      <c r="U373" s="16" t="s">
        <v>88</v>
      </c>
      <c r="V373" s="16" t="s">
        <v>89</v>
      </c>
      <c r="W373" s="151" t="s">
        <v>90</v>
      </c>
    </row>
    <row r="374" spans="1:23" ht="15">
      <c r="A374" s="8" t="s">
        <v>334</v>
      </c>
      <c r="B374" s="164">
        <f t="array" ref="B374:W375">INT($Z$90:$AU$91*0.9)</f>
        <v>92</v>
      </c>
      <c r="C374" s="155">
        <v>92</v>
      </c>
      <c r="D374" s="155">
        <v>92</v>
      </c>
      <c r="E374" s="155">
        <v>92</v>
      </c>
      <c r="F374" s="155">
        <v>92</v>
      </c>
      <c r="G374" s="155">
        <v>85</v>
      </c>
      <c r="H374" s="155">
        <v>77</v>
      </c>
      <c r="I374" s="155">
        <v>61</v>
      </c>
      <c r="J374" s="155">
        <v>45</v>
      </c>
      <c r="K374" s="155">
        <v>43</v>
      </c>
      <c r="L374" s="155">
        <v>40</v>
      </c>
      <c r="M374" s="155">
        <v>40</v>
      </c>
      <c r="N374" s="155">
        <v>40</v>
      </c>
      <c r="O374" s="155">
        <v>40</v>
      </c>
      <c r="P374" s="155">
        <v>40</v>
      </c>
      <c r="Q374" s="155">
        <v>40</v>
      </c>
      <c r="R374" s="155">
        <v>40</v>
      </c>
      <c r="S374" s="156">
        <v>40</v>
      </c>
      <c r="T374" s="156">
        <v>40</v>
      </c>
      <c r="U374" s="156">
        <v>40</v>
      </c>
      <c r="V374" s="156">
        <v>40</v>
      </c>
      <c r="W374" s="156">
        <v>40</v>
      </c>
    </row>
    <row r="375" spans="1:23" ht="15">
      <c r="A375" s="8" t="s">
        <v>335</v>
      </c>
      <c r="B375" s="164">
        <v>78</v>
      </c>
      <c r="C375" s="155">
        <v>78</v>
      </c>
      <c r="D375" s="155">
        <v>78</v>
      </c>
      <c r="E375" s="155">
        <v>78</v>
      </c>
      <c r="F375" s="155">
        <v>78</v>
      </c>
      <c r="G375" s="155">
        <v>72</v>
      </c>
      <c r="H375" s="155">
        <v>64</v>
      </c>
      <c r="I375" s="155">
        <v>52</v>
      </c>
      <c r="J375" s="155">
        <v>38</v>
      </c>
      <c r="K375" s="155">
        <v>36</v>
      </c>
      <c r="L375" s="155">
        <v>34</v>
      </c>
      <c r="M375" s="155">
        <v>34</v>
      </c>
      <c r="N375" s="155">
        <v>34</v>
      </c>
      <c r="O375" s="155">
        <v>34</v>
      </c>
      <c r="P375" s="155">
        <v>34</v>
      </c>
      <c r="Q375" s="156">
        <v>34</v>
      </c>
      <c r="R375" s="156">
        <v>34</v>
      </c>
      <c r="S375" s="156">
        <v>34</v>
      </c>
      <c r="T375" s="156">
        <v>34</v>
      </c>
      <c r="U375" s="156">
        <v>34</v>
      </c>
      <c r="V375" s="156">
        <v>34</v>
      </c>
      <c r="W375" s="156">
        <v>34</v>
      </c>
    </row>
    <row r="376" spans="1:23" ht="15">
      <c r="A376" s="150" t="s">
        <v>336</v>
      </c>
      <c r="B376" s="151" t="s">
        <v>24</v>
      </c>
      <c r="C376" s="151" t="s">
        <v>25</v>
      </c>
      <c r="D376" s="151" t="s">
        <v>26</v>
      </c>
      <c r="E376" s="151" t="s">
        <v>27</v>
      </c>
      <c r="F376" s="151" t="s">
        <v>28</v>
      </c>
      <c r="G376" s="151" t="s">
        <v>74</v>
      </c>
      <c r="H376" s="151" t="s">
        <v>75</v>
      </c>
      <c r="I376" s="151" t="s">
        <v>76</v>
      </c>
      <c r="J376" s="151" t="s">
        <v>77</v>
      </c>
      <c r="K376" s="151" t="s">
        <v>78</v>
      </c>
      <c r="L376" s="151" t="s">
        <v>79</v>
      </c>
      <c r="M376" s="151" t="s">
        <v>80</v>
      </c>
      <c r="N376" s="16" t="s">
        <v>81</v>
      </c>
      <c r="O376" s="16" t="s">
        <v>82</v>
      </c>
      <c r="P376" s="16" t="s">
        <v>83</v>
      </c>
      <c r="Q376" s="16" t="s">
        <v>84</v>
      </c>
      <c r="R376" s="151" t="s">
        <v>85</v>
      </c>
      <c r="S376" s="16" t="s">
        <v>86</v>
      </c>
      <c r="T376" s="16" t="s">
        <v>87</v>
      </c>
      <c r="U376" s="16" t="s">
        <v>88</v>
      </c>
      <c r="V376" s="16" t="s">
        <v>89</v>
      </c>
      <c r="W376" s="151" t="s">
        <v>90</v>
      </c>
    </row>
    <row r="377" spans="1:23" ht="12.75">
      <c r="A377" s="178" t="s">
        <v>337</v>
      </c>
      <c r="B377" s="155">
        <f t="array" ref="B377:W377">INT($Z$93:$AU$93*0.9)</f>
        <v>92</v>
      </c>
      <c r="C377" s="155">
        <v>92</v>
      </c>
      <c r="D377" s="155">
        <v>92</v>
      </c>
      <c r="E377" s="155">
        <v>92</v>
      </c>
      <c r="F377" s="155">
        <v>92</v>
      </c>
      <c r="G377" s="155">
        <v>84</v>
      </c>
      <c r="H377" s="155">
        <v>76</v>
      </c>
      <c r="I377" s="155">
        <v>60</v>
      </c>
      <c r="J377" s="155">
        <v>44</v>
      </c>
      <c r="K377" s="155">
        <v>41</v>
      </c>
      <c r="L377" s="155">
        <v>38</v>
      </c>
      <c r="M377" s="155">
        <v>38</v>
      </c>
      <c r="N377" s="155">
        <v>38</v>
      </c>
      <c r="O377" s="155">
        <v>38</v>
      </c>
      <c r="P377" s="155">
        <v>38</v>
      </c>
      <c r="Q377" s="155">
        <v>38</v>
      </c>
      <c r="R377" s="155">
        <v>38</v>
      </c>
      <c r="S377" s="155">
        <v>38</v>
      </c>
      <c r="T377" s="155">
        <v>38</v>
      </c>
      <c r="U377" s="155">
        <v>38</v>
      </c>
      <c r="V377" s="155">
        <v>38</v>
      </c>
      <c r="W377" s="155">
        <v>38</v>
      </c>
    </row>
    <row r="378" spans="1:23" ht="15">
      <c r="A378" s="145" t="s">
        <v>338</v>
      </c>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row>
    <row r="379" spans="1:23" ht="15">
      <c r="A379" s="150" t="s">
        <v>323</v>
      </c>
      <c r="B379" s="151" t="s">
        <v>24</v>
      </c>
      <c r="C379" s="151" t="s">
        <v>25</v>
      </c>
      <c r="D379" s="151" t="s">
        <v>26</v>
      </c>
      <c r="E379" s="151" t="s">
        <v>27</v>
      </c>
      <c r="F379" s="151" t="s">
        <v>28</v>
      </c>
      <c r="G379" s="151" t="s">
        <v>74</v>
      </c>
      <c r="H379" s="151" t="s">
        <v>75</v>
      </c>
      <c r="I379" s="151" t="s">
        <v>76</v>
      </c>
      <c r="J379" s="151" t="s">
        <v>77</v>
      </c>
      <c r="K379" s="151" t="s">
        <v>78</v>
      </c>
      <c r="L379" s="151" t="s">
        <v>79</v>
      </c>
      <c r="M379" s="151" t="s">
        <v>80</v>
      </c>
      <c r="N379" s="16" t="s">
        <v>81</v>
      </c>
      <c r="O379" s="16" t="s">
        <v>82</v>
      </c>
      <c r="P379" s="16" t="s">
        <v>83</v>
      </c>
      <c r="Q379" s="16" t="s">
        <v>84</v>
      </c>
      <c r="R379" s="151" t="s">
        <v>85</v>
      </c>
      <c r="S379" s="16" t="s">
        <v>86</v>
      </c>
      <c r="T379" s="16" t="s">
        <v>87</v>
      </c>
      <c r="U379" s="16" t="s">
        <v>88</v>
      </c>
      <c r="V379" s="16" t="s">
        <v>89</v>
      </c>
      <c r="W379" s="151" t="s">
        <v>90</v>
      </c>
    </row>
    <row r="380" spans="1:23" ht="15">
      <c r="A380" s="8" t="s">
        <v>105</v>
      </c>
      <c r="B380" s="155">
        <f t="array" ref="B380:W395">INT($Z$96:$AU$111*0.9)</f>
        <v>100</v>
      </c>
      <c r="C380" s="155">
        <v>100</v>
      </c>
      <c r="D380" s="155">
        <v>100</v>
      </c>
      <c r="E380" s="155">
        <v>97</v>
      </c>
      <c r="F380" s="155">
        <v>93</v>
      </c>
      <c r="G380" s="155">
        <v>90</v>
      </c>
      <c r="H380" s="155">
        <v>86</v>
      </c>
      <c r="I380" s="155">
        <v>79</v>
      </c>
      <c r="J380" s="155">
        <v>72</v>
      </c>
      <c r="K380" s="155">
        <v>64</v>
      </c>
      <c r="L380" s="155">
        <v>61</v>
      </c>
      <c r="M380" s="155">
        <v>58</v>
      </c>
      <c r="N380" s="155">
        <v>56</v>
      </c>
      <c r="O380" s="155">
        <v>54</v>
      </c>
      <c r="P380" s="155">
        <v>51</v>
      </c>
      <c r="Q380" s="155">
        <v>51</v>
      </c>
      <c r="R380" s="155">
        <v>51</v>
      </c>
      <c r="S380" s="155">
        <v>51</v>
      </c>
      <c r="T380" s="155">
        <v>51</v>
      </c>
      <c r="U380" s="155">
        <v>51</v>
      </c>
      <c r="V380" s="155">
        <v>51</v>
      </c>
      <c r="W380" s="155">
        <v>51</v>
      </c>
    </row>
    <row r="381" spans="1:23" ht="15">
      <c r="A381" s="50" t="s">
        <v>107</v>
      </c>
      <c r="B381" s="164">
        <v>99</v>
      </c>
      <c r="C381" s="155">
        <v>99</v>
      </c>
      <c r="D381" s="155">
        <v>99</v>
      </c>
      <c r="E381" s="155">
        <v>96</v>
      </c>
      <c r="F381" s="155">
        <v>92</v>
      </c>
      <c r="G381" s="155">
        <v>89</v>
      </c>
      <c r="H381" s="155">
        <v>85</v>
      </c>
      <c r="I381" s="155">
        <v>78</v>
      </c>
      <c r="J381" s="155">
        <v>71</v>
      </c>
      <c r="K381" s="155">
        <v>63</v>
      </c>
      <c r="L381" s="155">
        <v>61</v>
      </c>
      <c r="M381" s="155">
        <v>58</v>
      </c>
      <c r="N381" s="155">
        <v>55</v>
      </c>
      <c r="O381" s="155">
        <v>53</v>
      </c>
      <c r="P381" s="155">
        <v>50</v>
      </c>
      <c r="Q381" s="155">
        <v>50</v>
      </c>
      <c r="R381" s="155">
        <v>50</v>
      </c>
      <c r="S381" s="155">
        <v>50</v>
      </c>
      <c r="T381" s="155">
        <v>50</v>
      </c>
      <c r="U381" s="155">
        <v>50</v>
      </c>
      <c r="V381" s="155">
        <v>50</v>
      </c>
      <c r="W381" s="155">
        <v>50</v>
      </c>
    </row>
    <row r="382" spans="1:23" ht="15">
      <c r="A382" s="38" t="s">
        <v>109</v>
      </c>
      <c r="B382" s="155">
        <v>96</v>
      </c>
      <c r="C382" s="155">
        <v>96</v>
      </c>
      <c r="D382" s="155">
        <v>96</v>
      </c>
      <c r="E382" s="155">
        <v>92</v>
      </c>
      <c r="F382" s="155">
        <v>89</v>
      </c>
      <c r="G382" s="155">
        <v>85</v>
      </c>
      <c r="H382" s="155">
        <v>81</v>
      </c>
      <c r="I382" s="155">
        <v>75</v>
      </c>
      <c r="J382" s="155">
        <v>68</v>
      </c>
      <c r="K382" s="155">
        <v>61</v>
      </c>
      <c r="L382" s="155">
        <v>58</v>
      </c>
      <c r="M382" s="155">
        <v>56</v>
      </c>
      <c r="N382" s="155">
        <v>54</v>
      </c>
      <c r="O382" s="155">
        <v>51</v>
      </c>
      <c r="P382" s="155">
        <v>48</v>
      </c>
      <c r="Q382" s="155">
        <v>48</v>
      </c>
      <c r="R382" s="155">
        <v>48</v>
      </c>
      <c r="S382" s="155">
        <v>48</v>
      </c>
      <c r="T382" s="155">
        <v>48</v>
      </c>
      <c r="U382" s="155">
        <v>48</v>
      </c>
      <c r="V382" s="155">
        <v>48</v>
      </c>
      <c r="W382" s="155">
        <v>48</v>
      </c>
    </row>
    <row r="383" spans="1:23" ht="12.75">
      <c r="A383" s="41" t="s">
        <v>111</v>
      </c>
      <c r="B383" s="155">
        <v>95</v>
      </c>
      <c r="C383" s="155">
        <v>95</v>
      </c>
      <c r="D383" s="155">
        <v>95</v>
      </c>
      <c r="E383" s="155">
        <v>91</v>
      </c>
      <c r="F383" s="155">
        <v>88</v>
      </c>
      <c r="G383" s="155">
        <v>84</v>
      </c>
      <c r="H383" s="155">
        <v>81</v>
      </c>
      <c r="I383" s="155">
        <v>74</v>
      </c>
      <c r="J383" s="155">
        <v>67</v>
      </c>
      <c r="K383" s="155">
        <v>61</v>
      </c>
      <c r="L383" s="155">
        <v>58</v>
      </c>
      <c r="M383" s="155">
        <v>55</v>
      </c>
      <c r="N383" s="155">
        <v>53</v>
      </c>
      <c r="O383" s="155">
        <v>50</v>
      </c>
      <c r="P383" s="155">
        <v>48</v>
      </c>
      <c r="Q383" s="155">
        <v>48</v>
      </c>
      <c r="R383" s="156">
        <v>48</v>
      </c>
      <c r="S383" s="156">
        <v>48</v>
      </c>
      <c r="T383" s="156">
        <v>48</v>
      </c>
      <c r="U383" s="156">
        <v>48</v>
      </c>
      <c r="V383" s="156">
        <v>48</v>
      </c>
      <c r="W383" s="156">
        <v>48</v>
      </c>
    </row>
    <row r="384" spans="1:23" ht="12.75">
      <c r="A384" s="184" t="s">
        <v>113</v>
      </c>
      <c r="B384" s="155">
        <v>93</v>
      </c>
      <c r="C384" s="155">
        <v>93</v>
      </c>
      <c r="D384" s="155">
        <v>93</v>
      </c>
      <c r="E384" s="155">
        <v>90</v>
      </c>
      <c r="F384" s="155">
        <v>86</v>
      </c>
      <c r="G384" s="155">
        <v>83</v>
      </c>
      <c r="H384" s="155">
        <v>80</v>
      </c>
      <c r="I384" s="155">
        <v>72</v>
      </c>
      <c r="J384" s="155">
        <v>66</v>
      </c>
      <c r="K384" s="155">
        <v>59</v>
      </c>
      <c r="L384" s="155">
        <v>57</v>
      </c>
      <c r="M384" s="155">
        <v>54</v>
      </c>
      <c r="N384" s="155">
        <v>52</v>
      </c>
      <c r="O384" s="155">
        <v>49</v>
      </c>
      <c r="P384" s="155">
        <v>47</v>
      </c>
      <c r="Q384" s="155">
        <v>47</v>
      </c>
      <c r="R384" s="156">
        <v>47</v>
      </c>
      <c r="S384" s="156">
        <v>47</v>
      </c>
      <c r="T384" s="156">
        <v>47</v>
      </c>
      <c r="U384" s="156">
        <v>47</v>
      </c>
      <c r="V384" s="156">
        <v>47</v>
      </c>
      <c r="W384" s="156">
        <v>47</v>
      </c>
    </row>
    <row r="385" spans="1:23" ht="15">
      <c r="A385" s="8" t="s">
        <v>115</v>
      </c>
      <c r="B385" s="155">
        <v>91</v>
      </c>
      <c r="C385" s="155">
        <v>91</v>
      </c>
      <c r="D385" s="155">
        <v>91</v>
      </c>
      <c r="E385" s="155">
        <v>88</v>
      </c>
      <c r="F385" s="155">
        <v>84</v>
      </c>
      <c r="G385" s="155">
        <v>81</v>
      </c>
      <c r="H385" s="155">
        <v>78</v>
      </c>
      <c r="I385" s="155">
        <v>72</v>
      </c>
      <c r="J385" s="155">
        <v>64</v>
      </c>
      <c r="K385" s="155">
        <v>58</v>
      </c>
      <c r="L385" s="155">
        <v>55</v>
      </c>
      <c r="M385" s="155">
        <v>54</v>
      </c>
      <c r="N385" s="155">
        <v>51</v>
      </c>
      <c r="O385" s="155">
        <v>48</v>
      </c>
      <c r="P385" s="155">
        <v>46</v>
      </c>
      <c r="Q385" s="155">
        <v>46</v>
      </c>
      <c r="R385" s="155">
        <v>46</v>
      </c>
      <c r="S385" s="155">
        <v>46</v>
      </c>
      <c r="T385" s="155">
        <v>46</v>
      </c>
      <c r="U385" s="155">
        <v>46</v>
      </c>
      <c r="V385" s="155">
        <v>46</v>
      </c>
      <c r="W385" s="155">
        <v>46</v>
      </c>
    </row>
    <row r="386" spans="1:23" ht="15">
      <c r="A386" s="8" t="s">
        <v>118</v>
      </c>
      <c r="B386" s="155">
        <v>90</v>
      </c>
      <c r="C386" s="155">
        <v>90</v>
      </c>
      <c r="D386" s="155">
        <v>90</v>
      </c>
      <c r="E386" s="155">
        <v>86</v>
      </c>
      <c r="F386" s="155">
        <v>83</v>
      </c>
      <c r="G386" s="155">
        <v>80</v>
      </c>
      <c r="H386" s="155">
        <v>76</v>
      </c>
      <c r="I386" s="155">
        <v>70</v>
      </c>
      <c r="J386" s="155">
        <v>63</v>
      </c>
      <c r="K386" s="155">
        <v>57</v>
      </c>
      <c r="L386" s="155">
        <v>54</v>
      </c>
      <c r="M386" s="155">
        <v>52</v>
      </c>
      <c r="N386" s="155">
        <v>50</v>
      </c>
      <c r="O386" s="155">
        <v>47</v>
      </c>
      <c r="P386" s="155">
        <v>45</v>
      </c>
      <c r="Q386" s="155">
        <v>45</v>
      </c>
      <c r="R386" s="155">
        <v>45</v>
      </c>
      <c r="S386" s="155">
        <v>45</v>
      </c>
      <c r="T386" s="155">
        <v>45</v>
      </c>
      <c r="U386" s="155">
        <v>45</v>
      </c>
      <c r="V386" s="155">
        <v>45</v>
      </c>
      <c r="W386" s="155">
        <v>45</v>
      </c>
    </row>
    <row r="387" spans="1:23" ht="15">
      <c r="A387" s="8" t="s">
        <v>135</v>
      </c>
      <c r="B387" s="155">
        <v>89</v>
      </c>
      <c r="C387" s="155">
        <v>89</v>
      </c>
      <c r="D387" s="155">
        <v>89</v>
      </c>
      <c r="E387" s="155">
        <v>85</v>
      </c>
      <c r="F387" s="155">
        <v>82</v>
      </c>
      <c r="G387" s="155">
        <v>79</v>
      </c>
      <c r="H387" s="155">
        <v>76</v>
      </c>
      <c r="I387" s="155">
        <v>69</v>
      </c>
      <c r="J387" s="155">
        <v>63</v>
      </c>
      <c r="K387" s="155">
        <v>56</v>
      </c>
      <c r="L387" s="155">
        <v>54</v>
      </c>
      <c r="M387" s="155">
        <v>52</v>
      </c>
      <c r="N387" s="155">
        <v>49</v>
      </c>
      <c r="O387" s="155">
        <v>47</v>
      </c>
      <c r="P387" s="155">
        <v>45</v>
      </c>
      <c r="Q387" s="155">
        <v>45</v>
      </c>
      <c r="R387" s="155">
        <v>45</v>
      </c>
      <c r="S387" s="155">
        <v>45</v>
      </c>
      <c r="T387" s="155">
        <v>45</v>
      </c>
      <c r="U387" s="155">
        <v>45</v>
      </c>
      <c r="V387" s="155">
        <v>45</v>
      </c>
      <c r="W387" s="155">
        <v>45</v>
      </c>
    </row>
    <row r="388" spans="1:23" ht="15">
      <c r="A388" s="8" t="s">
        <v>138</v>
      </c>
      <c r="B388" s="155">
        <v>87</v>
      </c>
      <c r="C388" s="155">
        <v>87</v>
      </c>
      <c r="D388" s="155">
        <v>87</v>
      </c>
      <c r="E388" s="155">
        <v>83</v>
      </c>
      <c r="F388" s="243">
        <v>81</v>
      </c>
      <c r="G388" s="155">
        <v>77</v>
      </c>
      <c r="H388" s="155">
        <v>74</v>
      </c>
      <c r="I388" s="155">
        <v>68</v>
      </c>
      <c r="J388" s="155">
        <v>62</v>
      </c>
      <c r="K388" s="155">
        <v>55</v>
      </c>
      <c r="L388" s="155">
        <v>53</v>
      </c>
      <c r="M388" s="155">
        <v>51</v>
      </c>
      <c r="N388" s="155">
        <v>48</v>
      </c>
      <c r="O388" s="155">
        <v>46</v>
      </c>
      <c r="P388" s="155">
        <v>44</v>
      </c>
      <c r="Q388" s="155">
        <v>44</v>
      </c>
      <c r="R388" s="155">
        <v>44</v>
      </c>
      <c r="S388" s="155">
        <v>44</v>
      </c>
      <c r="T388" s="155">
        <v>44</v>
      </c>
      <c r="U388" s="155">
        <v>44</v>
      </c>
      <c r="V388" s="155">
        <v>44</v>
      </c>
      <c r="W388" s="155">
        <v>44</v>
      </c>
    </row>
    <row r="389" spans="1:23" ht="12.75">
      <c r="A389" s="187" t="s">
        <v>141</v>
      </c>
      <c r="B389" s="155">
        <v>86</v>
      </c>
      <c r="C389" s="155">
        <v>86</v>
      </c>
      <c r="D389" s="155">
        <v>86</v>
      </c>
      <c r="E389" s="155">
        <v>82</v>
      </c>
      <c r="F389" s="155">
        <v>80</v>
      </c>
      <c r="G389" s="155">
        <v>76</v>
      </c>
      <c r="H389" s="155">
        <v>73</v>
      </c>
      <c r="I389" s="155">
        <v>67</v>
      </c>
      <c r="J389" s="155">
        <v>61</v>
      </c>
      <c r="K389" s="155">
        <v>54</v>
      </c>
      <c r="L389" s="155">
        <v>53</v>
      </c>
      <c r="M389" s="155">
        <v>50</v>
      </c>
      <c r="N389" s="155">
        <v>48</v>
      </c>
      <c r="O389" s="155">
        <v>45</v>
      </c>
      <c r="P389" s="155">
        <v>43</v>
      </c>
      <c r="Q389" s="155">
        <v>43</v>
      </c>
      <c r="R389" s="155">
        <v>43</v>
      </c>
      <c r="S389" s="155">
        <v>43</v>
      </c>
      <c r="T389" s="155">
        <v>43</v>
      </c>
      <c r="U389" s="155">
        <v>43</v>
      </c>
      <c r="V389" s="155">
        <v>43</v>
      </c>
      <c r="W389" s="155">
        <v>43</v>
      </c>
    </row>
    <row r="390" spans="1:23" ht="15">
      <c r="A390" s="8" t="s">
        <v>144</v>
      </c>
      <c r="B390" s="155">
        <v>85</v>
      </c>
      <c r="C390" s="155">
        <v>85</v>
      </c>
      <c r="D390" s="155">
        <v>85</v>
      </c>
      <c r="E390" s="155">
        <v>81</v>
      </c>
      <c r="F390" s="155">
        <v>79</v>
      </c>
      <c r="G390" s="155">
        <v>76</v>
      </c>
      <c r="H390" s="155">
        <v>72</v>
      </c>
      <c r="I390" s="155">
        <v>66</v>
      </c>
      <c r="J390" s="155">
        <v>60</v>
      </c>
      <c r="K390" s="155">
        <v>54</v>
      </c>
      <c r="L390" s="155">
        <v>52</v>
      </c>
      <c r="M390" s="155">
        <v>49</v>
      </c>
      <c r="N390" s="155">
        <v>47</v>
      </c>
      <c r="O390" s="155">
        <v>45</v>
      </c>
      <c r="P390" s="155">
        <v>43</v>
      </c>
      <c r="Q390" s="155">
        <v>43</v>
      </c>
      <c r="R390" s="155">
        <v>43</v>
      </c>
      <c r="S390" s="155">
        <v>43</v>
      </c>
      <c r="T390" s="155">
        <v>43</v>
      </c>
      <c r="U390" s="155">
        <v>43</v>
      </c>
      <c r="V390" s="155">
        <v>43</v>
      </c>
      <c r="W390" s="155">
        <v>43</v>
      </c>
    </row>
    <row r="391" spans="1:23" ht="12.75">
      <c r="A391" s="189" t="s">
        <v>146</v>
      </c>
      <c r="B391" s="155">
        <v>83</v>
      </c>
      <c r="C391" s="155">
        <v>83</v>
      </c>
      <c r="D391" s="155">
        <v>83</v>
      </c>
      <c r="E391" s="155">
        <v>80</v>
      </c>
      <c r="F391" s="155">
        <v>77</v>
      </c>
      <c r="G391" s="155">
        <v>74</v>
      </c>
      <c r="H391" s="155">
        <v>71</v>
      </c>
      <c r="I391" s="155">
        <v>65</v>
      </c>
      <c r="J391" s="155">
        <v>59</v>
      </c>
      <c r="K391" s="155">
        <v>53</v>
      </c>
      <c r="L391" s="155">
        <v>51</v>
      </c>
      <c r="M391" s="155">
        <v>48</v>
      </c>
      <c r="N391" s="155">
        <v>46</v>
      </c>
      <c r="O391" s="155">
        <v>44</v>
      </c>
      <c r="P391" s="155">
        <v>42</v>
      </c>
      <c r="Q391" s="155">
        <v>42</v>
      </c>
      <c r="R391" s="155">
        <v>42</v>
      </c>
      <c r="S391" s="155">
        <v>42</v>
      </c>
      <c r="T391" s="155">
        <v>42</v>
      </c>
      <c r="U391" s="155">
        <v>42</v>
      </c>
      <c r="V391" s="155">
        <v>42</v>
      </c>
      <c r="W391" s="155">
        <v>42</v>
      </c>
    </row>
    <row r="392" spans="1:23" ht="15">
      <c r="A392" s="8" t="s">
        <v>339</v>
      </c>
      <c r="B392" s="155">
        <v>81</v>
      </c>
      <c r="C392" s="155">
        <v>81</v>
      </c>
      <c r="D392" s="155">
        <v>81</v>
      </c>
      <c r="E392" s="155">
        <v>79</v>
      </c>
      <c r="F392" s="155">
        <v>75</v>
      </c>
      <c r="G392" s="155">
        <v>72</v>
      </c>
      <c r="H392" s="155">
        <v>70</v>
      </c>
      <c r="I392" s="155">
        <v>63</v>
      </c>
      <c r="J392" s="155">
        <v>57</v>
      </c>
      <c r="K392" s="155">
        <v>52</v>
      </c>
      <c r="L392" s="155">
        <v>49</v>
      </c>
      <c r="M392" s="155">
        <v>47</v>
      </c>
      <c r="N392" s="155">
        <v>45</v>
      </c>
      <c r="O392" s="155">
        <v>43</v>
      </c>
      <c r="P392" s="155">
        <v>41</v>
      </c>
      <c r="Q392" s="155">
        <v>41</v>
      </c>
      <c r="R392" s="155">
        <v>41</v>
      </c>
      <c r="S392" s="155">
        <v>41</v>
      </c>
      <c r="T392" s="155">
        <v>41</v>
      </c>
      <c r="U392" s="155">
        <v>41</v>
      </c>
      <c r="V392" s="155">
        <v>41</v>
      </c>
      <c r="W392" s="155">
        <v>41</v>
      </c>
    </row>
    <row r="393" spans="1:23" ht="15">
      <c r="A393" s="8" t="s">
        <v>150</v>
      </c>
      <c r="B393" s="243">
        <v>81</v>
      </c>
      <c r="C393" s="243">
        <v>81</v>
      </c>
      <c r="D393" s="243">
        <v>81</v>
      </c>
      <c r="E393" s="155">
        <v>78</v>
      </c>
      <c r="F393" s="155">
        <v>74</v>
      </c>
      <c r="G393" s="155">
        <v>72</v>
      </c>
      <c r="H393" s="155">
        <v>69</v>
      </c>
      <c r="I393" s="155">
        <v>63</v>
      </c>
      <c r="J393" s="155">
        <v>57</v>
      </c>
      <c r="K393" s="155">
        <v>51</v>
      </c>
      <c r="L393" s="155">
        <v>49</v>
      </c>
      <c r="M393" s="155">
        <v>47</v>
      </c>
      <c r="N393" s="155">
        <v>45</v>
      </c>
      <c r="O393" s="155">
        <v>43</v>
      </c>
      <c r="P393" s="155">
        <v>40</v>
      </c>
      <c r="Q393" s="155">
        <v>40</v>
      </c>
      <c r="R393" s="155">
        <v>40</v>
      </c>
      <c r="S393" s="155">
        <v>40</v>
      </c>
      <c r="T393" s="155">
        <v>40</v>
      </c>
      <c r="U393" s="155">
        <v>40</v>
      </c>
      <c r="V393" s="155">
        <v>40</v>
      </c>
      <c r="W393" s="155">
        <v>40</v>
      </c>
    </row>
    <row r="394" spans="1:23" ht="12.75">
      <c r="A394" s="189" t="s">
        <v>151</v>
      </c>
      <c r="B394" s="155">
        <v>79</v>
      </c>
      <c r="C394" s="155">
        <v>79</v>
      </c>
      <c r="D394" s="155">
        <v>79</v>
      </c>
      <c r="E394" s="155">
        <v>76</v>
      </c>
      <c r="F394" s="155">
        <v>73</v>
      </c>
      <c r="G394" s="155">
        <v>70</v>
      </c>
      <c r="H394" s="155">
        <v>67</v>
      </c>
      <c r="I394" s="155">
        <v>62</v>
      </c>
      <c r="J394" s="155">
        <v>55</v>
      </c>
      <c r="K394" s="155">
        <v>50</v>
      </c>
      <c r="L394" s="155">
        <v>48</v>
      </c>
      <c r="M394" s="155">
        <v>45</v>
      </c>
      <c r="N394" s="155">
        <v>44</v>
      </c>
      <c r="O394" s="155">
        <v>42</v>
      </c>
      <c r="P394" s="155">
        <v>39</v>
      </c>
      <c r="Q394" s="155">
        <v>39</v>
      </c>
      <c r="R394" s="155">
        <v>39</v>
      </c>
      <c r="S394" s="155">
        <v>39</v>
      </c>
      <c r="T394" s="155">
        <v>39</v>
      </c>
      <c r="U394" s="155">
        <v>39</v>
      </c>
      <c r="V394" s="155">
        <v>39</v>
      </c>
      <c r="W394" s="155">
        <v>39</v>
      </c>
    </row>
    <row r="395" spans="1:23" ht="15">
      <c r="A395" s="8" t="s">
        <v>152</v>
      </c>
      <c r="B395" s="155">
        <v>78</v>
      </c>
      <c r="C395" s="155">
        <v>78</v>
      </c>
      <c r="D395" s="155">
        <v>78</v>
      </c>
      <c r="E395" s="155">
        <v>75</v>
      </c>
      <c r="F395" s="155">
        <v>72</v>
      </c>
      <c r="G395" s="155">
        <v>69</v>
      </c>
      <c r="H395" s="155">
        <v>66</v>
      </c>
      <c r="I395" s="155">
        <v>61</v>
      </c>
      <c r="J395" s="155">
        <v>55</v>
      </c>
      <c r="K395" s="155">
        <v>49</v>
      </c>
      <c r="L395" s="155">
        <v>47</v>
      </c>
      <c r="M395" s="155">
        <v>45</v>
      </c>
      <c r="N395" s="155">
        <v>44</v>
      </c>
      <c r="O395" s="155">
        <v>41</v>
      </c>
      <c r="P395" s="155">
        <v>39</v>
      </c>
      <c r="Q395" s="155">
        <v>39</v>
      </c>
      <c r="R395" s="155">
        <v>39</v>
      </c>
      <c r="S395" s="155">
        <v>39</v>
      </c>
      <c r="T395" s="155">
        <v>39</v>
      </c>
      <c r="U395" s="155">
        <v>39</v>
      </c>
      <c r="V395" s="155">
        <v>39</v>
      </c>
      <c r="W395" s="155">
        <v>39</v>
      </c>
    </row>
    <row r="396" spans="1:23" ht="15">
      <c r="A396" s="150" t="s">
        <v>328</v>
      </c>
      <c r="B396" s="151" t="s">
        <v>24</v>
      </c>
      <c r="C396" s="151" t="s">
        <v>25</v>
      </c>
      <c r="D396" s="151" t="s">
        <v>26</v>
      </c>
      <c r="E396" s="151" t="s">
        <v>27</v>
      </c>
      <c r="F396" s="151" t="s">
        <v>28</v>
      </c>
      <c r="G396" s="151" t="s">
        <v>74</v>
      </c>
      <c r="H396" s="151" t="s">
        <v>75</v>
      </c>
      <c r="I396" s="151" t="s">
        <v>76</v>
      </c>
      <c r="J396" s="151" t="s">
        <v>77</v>
      </c>
      <c r="K396" s="151" t="s">
        <v>78</v>
      </c>
      <c r="L396" s="151" t="s">
        <v>79</v>
      </c>
      <c r="M396" s="151" t="s">
        <v>80</v>
      </c>
      <c r="N396" s="16" t="s">
        <v>81</v>
      </c>
      <c r="O396" s="16" t="s">
        <v>82</v>
      </c>
      <c r="P396" s="16" t="s">
        <v>83</v>
      </c>
      <c r="Q396" s="16" t="s">
        <v>84</v>
      </c>
      <c r="R396" s="151" t="s">
        <v>85</v>
      </c>
      <c r="S396" s="16" t="s">
        <v>86</v>
      </c>
      <c r="T396" s="16" t="s">
        <v>87</v>
      </c>
      <c r="U396" s="16" t="s">
        <v>88</v>
      </c>
      <c r="V396" s="16" t="s">
        <v>89</v>
      </c>
      <c r="W396" s="151" t="s">
        <v>90</v>
      </c>
    </row>
    <row r="397" spans="1:23" ht="15">
      <c r="A397" s="8" t="s">
        <v>106</v>
      </c>
      <c r="B397" s="155">
        <f t="array" ref="B397:W401">INT($Z$113:$AU$117*0.9)</f>
        <v>79</v>
      </c>
      <c r="C397" s="155">
        <v>79</v>
      </c>
      <c r="D397" s="155">
        <v>79</v>
      </c>
      <c r="E397" s="155">
        <v>73</v>
      </c>
      <c r="F397" s="155">
        <v>67</v>
      </c>
      <c r="G397" s="155">
        <v>61</v>
      </c>
      <c r="H397" s="155">
        <v>55</v>
      </c>
      <c r="I397" s="155">
        <v>44</v>
      </c>
      <c r="J397" s="155">
        <v>40</v>
      </c>
      <c r="K397" s="155">
        <v>37</v>
      </c>
      <c r="L397" s="155">
        <v>37</v>
      </c>
      <c r="M397" s="155">
        <v>37</v>
      </c>
      <c r="N397" s="155">
        <v>37</v>
      </c>
      <c r="O397" s="155">
        <v>37</v>
      </c>
      <c r="P397" s="155">
        <v>37</v>
      </c>
      <c r="Q397" s="155">
        <v>37</v>
      </c>
      <c r="R397" s="155">
        <v>37</v>
      </c>
      <c r="S397" s="155">
        <v>37</v>
      </c>
      <c r="T397" s="155">
        <v>37</v>
      </c>
      <c r="U397" s="155">
        <v>37</v>
      </c>
      <c r="V397" s="155">
        <v>37</v>
      </c>
      <c r="W397" s="155">
        <v>37</v>
      </c>
    </row>
    <row r="398" spans="1:23" ht="15">
      <c r="A398" s="52" t="s">
        <v>108</v>
      </c>
      <c r="B398" s="155">
        <v>76</v>
      </c>
      <c r="C398" s="155">
        <v>76</v>
      </c>
      <c r="D398" s="155">
        <v>76</v>
      </c>
      <c r="E398" s="155">
        <v>70</v>
      </c>
      <c r="F398" s="155">
        <v>64</v>
      </c>
      <c r="G398" s="155">
        <v>59</v>
      </c>
      <c r="H398" s="155">
        <v>53</v>
      </c>
      <c r="I398" s="155">
        <v>42</v>
      </c>
      <c r="J398" s="155">
        <v>38</v>
      </c>
      <c r="K398" s="155">
        <v>36</v>
      </c>
      <c r="L398" s="155">
        <v>36</v>
      </c>
      <c r="M398" s="155">
        <v>36</v>
      </c>
      <c r="N398" s="155">
        <v>36</v>
      </c>
      <c r="O398" s="155">
        <v>36</v>
      </c>
      <c r="P398" s="155">
        <v>36</v>
      </c>
      <c r="Q398" s="155">
        <v>36</v>
      </c>
      <c r="R398" s="155">
        <v>36</v>
      </c>
      <c r="S398" s="155">
        <v>36</v>
      </c>
      <c r="T398" s="155">
        <v>36</v>
      </c>
      <c r="U398" s="155">
        <v>36</v>
      </c>
      <c r="V398" s="155">
        <v>36</v>
      </c>
      <c r="W398" s="155">
        <v>36</v>
      </c>
    </row>
    <row r="399" spans="1:23" ht="15">
      <c r="A399" s="50" t="s">
        <v>110</v>
      </c>
      <c r="B399" s="155">
        <v>74</v>
      </c>
      <c r="C399" s="155">
        <v>74</v>
      </c>
      <c r="D399" s="155">
        <v>74</v>
      </c>
      <c r="E399" s="155">
        <v>69</v>
      </c>
      <c r="F399" s="155">
        <v>63</v>
      </c>
      <c r="G399" s="155">
        <v>57</v>
      </c>
      <c r="H399" s="155">
        <v>52</v>
      </c>
      <c r="I399" s="155">
        <v>40</v>
      </c>
      <c r="J399" s="155">
        <v>37</v>
      </c>
      <c r="K399" s="155">
        <v>35</v>
      </c>
      <c r="L399" s="155">
        <v>35</v>
      </c>
      <c r="M399" s="155">
        <v>35</v>
      </c>
      <c r="N399" s="155">
        <v>35</v>
      </c>
      <c r="O399" s="155">
        <v>35</v>
      </c>
      <c r="P399" s="155">
        <v>35</v>
      </c>
      <c r="Q399" s="155">
        <v>35</v>
      </c>
      <c r="R399" s="155">
        <v>35</v>
      </c>
      <c r="S399" s="155">
        <v>35</v>
      </c>
      <c r="T399" s="155">
        <v>35</v>
      </c>
      <c r="U399" s="155">
        <v>35</v>
      </c>
      <c r="V399" s="155">
        <v>35</v>
      </c>
      <c r="W399" s="155">
        <v>35</v>
      </c>
    </row>
    <row r="400" spans="1:23" ht="15">
      <c r="A400" s="50" t="s">
        <v>112</v>
      </c>
      <c r="B400" s="164">
        <v>72</v>
      </c>
      <c r="C400" s="155">
        <v>72</v>
      </c>
      <c r="D400" s="155">
        <v>72</v>
      </c>
      <c r="E400" s="155">
        <v>66</v>
      </c>
      <c r="F400" s="155">
        <v>61</v>
      </c>
      <c r="G400" s="155">
        <v>55</v>
      </c>
      <c r="H400" s="155">
        <v>50</v>
      </c>
      <c r="I400" s="155">
        <v>39</v>
      </c>
      <c r="J400" s="155">
        <v>36</v>
      </c>
      <c r="K400" s="155">
        <v>34</v>
      </c>
      <c r="L400" s="155">
        <v>34</v>
      </c>
      <c r="M400" s="155">
        <v>34</v>
      </c>
      <c r="N400" s="155">
        <v>34</v>
      </c>
      <c r="O400" s="155">
        <v>34</v>
      </c>
      <c r="P400" s="155">
        <v>34</v>
      </c>
      <c r="Q400" s="155">
        <v>34</v>
      </c>
      <c r="R400" s="155">
        <v>34</v>
      </c>
      <c r="S400" s="155">
        <v>34</v>
      </c>
      <c r="T400" s="155">
        <v>34</v>
      </c>
      <c r="U400" s="155">
        <v>34</v>
      </c>
      <c r="V400" s="155">
        <v>34</v>
      </c>
      <c r="W400" s="155">
        <v>34</v>
      </c>
    </row>
    <row r="401" spans="1:23" ht="15">
      <c r="A401" s="50" t="s">
        <v>114</v>
      </c>
      <c r="B401" s="164">
        <v>70</v>
      </c>
      <c r="C401" s="155">
        <v>70</v>
      </c>
      <c r="D401" s="155">
        <v>70</v>
      </c>
      <c r="E401" s="155">
        <v>64</v>
      </c>
      <c r="F401" s="155">
        <v>59</v>
      </c>
      <c r="G401" s="155">
        <v>54</v>
      </c>
      <c r="H401" s="155">
        <v>49</v>
      </c>
      <c r="I401" s="155">
        <v>38</v>
      </c>
      <c r="J401" s="155">
        <v>36</v>
      </c>
      <c r="K401" s="155">
        <v>33</v>
      </c>
      <c r="L401" s="155">
        <v>33</v>
      </c>
      <c r="M401" s="155">
        <v>33</v>
      </c>
      <c r="N401" s="155">
        <v>33</v>
      </c>
      <c r="O401" s="155">
        <v>33</v>
      </c>
      <c r="P401" s="155">
        <v>33</v>
      </c>
      <c r="Q401" s="155">
        <v>33</v>
      </c>
      <c r="R401" s="155">
        <v>33</v>
      </c>
      <c r="S401" s="155">
        <v>33</v>
      </c>
      <c r="T401" s="155">
        <v>33</v>
      </c>
      <c r="U401" s="155">
        <v>33</v>
      </c>
      <c r="V401" s="155">
        <v>33</v>
      </c>
      <c r="W401" s="155">
        <v>33</v>
      </c>
    </row>
    <row r="402" spans="1:23" ht="15">
      <c r="A402" s="150" t="s">
        <v>333</v>
      </c>
      <c r="B402" s="151" t="s">
        <v>24</v>
      </c>
      <c r="C402" s="151" t="s">
        <v>25</v>
      </c>
      <c r="D402" s="151" t="s">
        <v>26</v>
      </c>
      <c r="E402" s="151" t="s">
        <v>27</v>
      </c>
      <c r="F402" s="151" t="s">
        <v>28</v>
      </c>
      <c r="G402" s="151" t="s">
        <v>74</v>
      </c>
      <c r="H402" s="151" t="s">
        <v>75</v>
      </c>
      <c r="I402" s="151" t="s">
        <v>76</v>
      </c>
      <c r="J402" s="151" t="s">
        <v>77</v>
      </c>
      <c r="K402" s="151" t="s">
        <v>78</v>
      </c>
      <c r="L402" s="151" t="s">
        <v>79</v>
      </c>
      <c r="M402" s="151" t="s">
        <v>80</v>
      </c>
      <c r="N402" s="16" t="s">
        <v>81</v>
      </c>
      <c r="O402" s="16" t="s">
        <v>82</v>
      </c>
      <c r="P402" s="16" t="s">
        <v>83</v>
      </c>
      <c r="Q402" s="16" t="s">
        <v>84</v>
      </c>
      <c r="R402" s="151" t="s">
        <v>85</v>
      </c>
      <c r="S402" s="16" t="s">
        <v>86</v>
      </c>
      <c r="T402" s="16" t="s">
        <v>87</v>
      </c>
      <c r="U402" s="16" t="s">
        <v>88</v>
      </c>
      <c r="V402" s="16" t="s">
        <v>89</v>
      </c>
      <c r="W402" s="151" t="s">
        <v>90</v>
      </c>
    </row>
    <row r="403" spans="1:23" ht="12.75">
      <c r="A403" s="192" t="s">
        <v>119</v>
      </c>
      <c r="B403" s="155">
        <f t="array" ref="B403:W409">INT($Z$119:$AU$125*0.9)</f>
        <v>95</v>
      </c>
      <c r="C403" s="155">
        <v>95</v>
      </c>
      <c r="D403" s="155">
        <v>95</v>
      </c>
      <c r="E403" s="155">
        <v>87</v>
      </c>
      <c r="F403" s="155">
        <v>79</v>
      </c>
      <c r="G403" s="155">
        <v>71</v>
      </c>
      <c r="H403" s="155">
        <v>63</v>
      </c>
      <c r="I403" s="155">
        <v>46</v>
      </c>
      <c r="J403" s="155">
        <v>44</v>
      </c>
      <c r="K403" s="155">
        <v>41</v>
      </c>
      <c r="L403" s="155">
        <v>41</v>
      </c>
      <c r="M403" s="155">
        <v>41</v>
      </c>
      <c r="N403" s="155">
        <v>41</v>
      </c>
      <c r="O403" s="155">
        <v>41</v>
      </c>
      <c r="P403" s="155">
        <v>41</v>
      </c>
      <c r="Q403" s="155">
        <v>41</v>
      </c>
      <c r="R403" s="155">
        <v>41</v>
      </c>
      <c r="S403" s="155">
        <v>41</v>
      </c>
      <c r="T403" s="155">
        <v>41</v>
      </c>
      <c r="U403" s="155">
        <v>41</v>
      </c>
      <c r="V403" s="155">
        <v>41</v>
      </c>
      <c r="W403" s="155">
        <v>41</v>
      </c>
    </row>
    <row r="404" spans="1:23" ht="12.75">
      <c r="A404" s="194" t="s">
        <v>136</v>
      </c>
      <c r="B404" s="155">
        <v>94</v>
      </c>
      <c r="C404" s="155">
        <v>94</v>
      </c>
      <c r="D404" s="155">
        <v>94</v>
      </c>
      <c r="E404" s="155">
        <v>86</v>
      </c>
      <c r="F404" s="155">
        <v>79</v>
      </c>
      <c r="G404" s="155">
        <v>71</v>
      </c>
      <c r="H404" s="155">
        <v>63</v>
      </c>
      <c r="I404" s="155">
        <v>46</v>
      </c>
      <c r="J404" s="155">
        <v>43</v>
      </c>
      <c r="K404" s="155">
        <v>41</v>
      </c>
      <c r="L404" s="155">
        <v>41</v>
      </c>
      <c r="M404" s="155">
        <v>41</v>
      </c>
      <c r="N404" s="155">
        <v>41</v>
      </c>
      <c r="O404" s="155">
        <v>41</v>
      </c>
      <c r="P404" s="155">
        <v>41</v>
      </c>
      <c r="Q404" s="155">
        <v>41</v>
      </c>
      <c r="R404" s="155">
        <v>41</v>
      </c>
      <c r="S404" s="155">
        <v>41</v>
      </c>
      <c r="T404" s="155">
        <v>41</v>
      </c>
      <c r="U404" s="155">
        <v>41</v>
      </c>
      <c r="V404" s="155">
        <v>41</v>
      </c>
      <c r="W404" s="155">
        <v>41</v>
      </c>
    </row>
    <row r="405" spans="1:23" ht="12.75">
      <c r="A405" s="196" t="s">
        <v>139</v>
      </c>
      <c r="B405" s="155">
        <v>89</v>
      </c>
      <c r="C405" s="155">
        <v>89</v>
      </c>
      <c r="D405" s="155">
        <v>89</v>
      </c>
      <c r="E405" s="155">
        <v>81</v>
      </c>
      <c r="F405" s="155">
        <v>74</v>
      </c>
      <c r="G405" s="155">
        <v>66</v>
      </c>
      <c r="H405" s="155">
        <v>59</v>
      </c>
      <c r="I405" s="155">
        <v>44</v>
      </c>
      <c r="J405" s="155">
        <v>41</v>
      </c>
      <c r="K405" s="155">
        <v>38</v>
      </c>
      <c r="L405" s="155">
        <v>38</v>
      </c>
      <c r="M405" s="155">
        <v>38</v>
      </c>
      <c r="N405" s="155">
        <v>38</v>
      </c>
      <c r="O405" s="155">
        <v>38</v>
      </c>
      <c r="P405" s="155">
        <v>38</v>
      </c>
      <c r="Q405" s="155">
        <v>38</v>
      </c>
      <c r="R405" s="155">
        <v>38</v>
      </c>
      <c r="S405" s="155">
        <v>38</v>
      </c>
      <c r="T405" s="155">
        <v>38</v>
      </c>
      <c r="U405" s="155">
        <v>38</v>
      </c>
      <c r="V405" s="155">
        <v>38</v>
      </c>
      <c r="W405" s="155">
        <v>38</v>
      </c>
    </row>
    <row r="406" spans="1:23" ht="12.75">
      <c r="A406" s="197" t="s">
        <v>142</v>
      </c>
      <c r="B406" s="155">
        <v>85</v>
      </c>
      <c r="C406" s="155">
        <v>85</v>
      </c>
      <c r="D406" s="155">
        <v>85</v>
      </c>
      <c r="E406" s="155">
        <v>78</v>
      </c>
      <c r="F406" s="155">
        <v>71</v>
      </c>
      <c r="G406" s="155">
        <v>63</v>
      </c>
      <c r="H406" s="155">
        <v>56</v>
      </c>
      <c r="I406" s="155">
        <v>42</v>
      </c>
      <c r="J406" s="155">
        <v>39</v>
      </c>
      <c r="K406" s="155">
        <v>36</v>
      </c>
      <c r="L406" s="155">
        <v>36</v>
      </c>
      <c r="M406" s="155">
        <v>36</v>
      </c>
      <c r="N406" s="155">
        <v>36</v>
      </c>
      <c r="O406" s="155">
        <v>36</v>
      </c>
      <c r="P406" s="155">
        <v>36</v>
      </c>
      <c r="Q406" s="155">
        <v>36</v>
      </c>
      <c r="R406" s="155">
        <v>36</v>
      </c>
      <c r="S406" s="155">
        <v>36</v>
      </c>
      <c r="T406" s="155">
        <v>36</v>
      </c>
      <c r="U406" s="155">
        <v>36</v>
      </c>
      <c r="V406" s="155">
        <v>36</v>
      </c>
      <c r="W406" s="155">
        <v>36</v>
      </c>
    </row>
    <row r="407" spans="1:23" ht="15">
      <c r="A407" s="199" t="s">
        <v>145</v>
      </c>
      <c r="B407" s="243">
        <v>81</v>
      </c>
      <c r="C407" s="243">
        <v>81</v>
      </c>
      <c r="D407" s="243">
        <v>81</v>
      </c>
      <c r="E407" s="155">
        <v>74</v>
      </c>
      <c r="F407" s="155">
        <v>67</v>
      </c>
      <c r="G407" s="155">
        <v>60</v>
      </c>
      <c r="H407" s="155">
        <v>54</v>
      </c>
      <c r="I407" s="155">
        <v>39</v>
      </c>
      <c r="J407" s="155">
        <v>36</v>
      </c>
      <c r="K407" s="155">
        <v>35</v>
      </c>
      <c r="L407" s="155">
        <v>35</v>
      </c>
      <c r="M407" s="155">
        <v>35</v>
      </c>
      <c r="N407" s="155">
        <v>35</v>
      </c>
      <c r="O407" s="155">
        <v>35</v>
      </c>
      <c r="P407" s="155">
        <v>35</v>
      </c>
      <c r="Q407" s="155">
        <v>35</v>
      </c>
      <c r="R407" s="155">
        <v>35</v>
      </c>
      <c r="S407" s="155">
        <v>35</v>
      </c>
      <c r="T407" s="155">
        <v>35</v>
      </c>
      <c r="U407" s="155">
        <v>35</v>
      </c>
      <c r="V407" s="155">
        <v>35</v>
      </c>
      <c r="W407" s="155">
        <v>35</v>
      </c>
    </row>
    <row r="408" spans="1:23" ht="12.75">
      <c r="A408" s="200" t="s">
        <v>147</v>
      </c>
      <c r="B408" s="164">
        <v>79</v>
      </c>
      <c r="C408" s="164">
        <v>79</v>
      </c>
      <c r="D408" s="155">
        <v>79</v>
      </c>
      <c r="E408" s="155">
        <v>72</v>
      </c>
      <c r="F408" s="155">
        <v>65</v>
      </c>
      <c r="G408" s="155">
        <v>59</v>
      </c>
      <c r="H408" s="155">
        <v>52</v>
      </c>
      <c r="I408" s="155">
        <v>38</v>
      </c>
      <c r="J408" s="155">
        <v>36</v>
      </c>
      <c r="K408" s="155">
        <v>34</v>
      </c>
      <c r="L408" s="155">
        <v>34</v>
      </c>
      <c r="M408" s="155">
        <v>34</v>
      </c>
      <c r="N408" s="155">
        <v>34</v>
      </c>
      <c r="O408" s="155">
        <v>34</v>
      </c>
      <c r="P408" s="155">
        <v>34</v>
      </c>
      <c r="Q408" s="155">
        <v>34</v>
      </c>
      <c r="R408" s="155">
        <v>34</v>
      </c>
      <c r="S408" s="155">
        <v>34</v>
      </c>
      <c r="T408" s="155">
        <v>34</v>
      </c>
      <c r="U408" s="155">
        <v>34</v>
      </c>
      <c r="V408" s="155">
        <v>34</v>
      </c>
      <c r="W408" s="155">
        <v>34</v>
      </c>
    </row>
    <row r="409" spans="1:23" ht="12.75">
      <c r="A409" s="202" t="s">
        <v>149</v>
      </c>
      <c r="B409" s="164">
        <v>74</v>
      </c>
      <c r="C409" s="164">
        <v>74</v>
      </c>
      <c r="D409" s="155">
        <v>74</v>
      </c>
      <c r="E409" s="155">
        <v>68</v>
      </c>
      <c r="F409" s="155">
        <v>62</v>
      </c>
      <c r="G409" s="155">
        <v>55</v>
      </c>
      <c r="H409" s="155">
        <v>49</v>
      </c>
      <c r="I409" s="155">
        <v>36</v>
      </c>
      <c r="J409" s="155">
        <v>34</v>
      </c>
      <c r="K409" s="155">
        <v>32</v>
      </c>
      <c r="L409" s="155">
        <v>32</v>
      </c>
      <c r="M409" s="155">
        <v>32</v>
      </c>
      <c r="N409" s="155">
        <v>32</v>
      </c>
      <c r="O409" s="155">
        <v>32</v>
      </c>
      <c r="P409" s="155">
        <v>32</v>
      </c>
      <c r="Q409" s="155">
        <v>32</v>
      </c>
      <c r="R409" s="155">
        <v>32</v>
      </c>
      <c r="S409" s="155">
        <v>32</v>
      </c>
      <c r="T409" s="155">
        <v>32</v>
      </c>
      <c r="U409" s="155">
        <v>32</v>
      </c>
      <c r="V409" s="155">
        <v>32</v>
      </c>
      <c r="W409" s="155">
        <v>32</v>
      </c>
    </row>
    <row r="410" spans="1:23" ht="15">
      <c r="A410" s="145" t="s">
        <v>340</v>
      </c>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row>
    <row r="411" spans="1:23" ht="15">
      <c r="A411" s="150" t="s">
        <v>323</v>
      </c>
      <c r="B411" s="151" t="s">
        <v>24</v>
      </c>
      <c r="C411" s="151" t="s">
        <v>25</v>
      </c>
      <c r="D411" s="151" t="s">
        <v>26</v>
      </c>
      <c r="E411" s="151" t="s">
        <v>27</v>
      </c>
      <c r="F411" s="151" t="s">
        <v>28</v>
      </c>
      <c r="G411" s="151" t="s">
        <v>74</v>
      </c>
      <c r="H411" s="151" t="s">
        <v>75</v>
      </c>
      <c r="I411" s="151" t="s">
        <v>76</v>
      </c>
      <c r="J411" s="151" t="s">
        <v>77</v>
      </c>
      <c r="K411" s="151" t="s">
        <v>78</v>
      </c>
      <c r="L411" s="151" t="s">
        <v>79</v>
      </c>
      <c r="M411" s="151" t="s">
        <v>80</v>
      </c>
      <c r="N411" s="16" t="s">
        <v>81</v>
      </c>
      <c r="O411" s="16" t="s">
        <v>82</v>
      </c>
      <c r="P411" s="16" t="s">
        <v>83</v>
      </c>
      <c r="Q411" s="16" t="s">
        <v>84</v>
      </c>
      <c r="R411" s="151" t="s">
        <v>85</v>
      </c>
      <c r="S411" s="16" t="s">
        <v>86</v>
      </c>
      <c r="T411" s="16" t="s">
        <v>87</v>
      </c>
      <c r="U411" s="16" t="s">
        <v>88</v>
      </c>
      <c r="V411" s="16" t="s">
        <v>89</v>
      </c>
      <c r="W411" s="151" t="s">
        <v>90</v>
      </c>
    </row>
    <row r="412" spans="1:23" ht="15">
      <c r="A412" s="50" t="s">
        <v>341</v>
      </c>
      <c r="B412" s="155">
        <f t="array" ref="B412:W418">INT($Z$128:$AU$134*0.9)</f>
        <v>78</v>
      </c>
      <c r="C412" s="155">
        <v>72</v>
      </c>
      <c r="D412" s="155">
        <v>68</v>
      </c>
      <c r="E412" s="155">
        <v>63</v>
      </c>
      <c r="F412" s="155">
        <v>58</v>
      </c>
      <c r="G412" s="155">
        <v>53</v>
      </c>
      <c r="H412" s="155">
        <v>48</v>
      </c>
      <c r="I412" s="155">
        <v>46</v>
      </c>
      <c r="J412" s="155">
        <v>45</v>
      </c>
      <c r="K412" s="155">
        <v>43</v>
      </c>
      <c r="L412" s="155">
        <v>41</v>
      </c>
      <c r="M412" s="155">
        <v>39</v>
      </c>
      <c r="N412" s="155">
        <v>39</v>
      </c>
      <c r="O412" s="155">
        <v>39</v>
      </c>
      <c r="P412" s="155">
        <v>39</v>
      </c>
      <c r="Q412" s="155">
        <v>39</v>
      </c>
      <c r="R412" s="155">
        <v>39</v>
      </c>
      <c r="S412" s="155">
        <v>39</v>
      </c>
      <c r="T412" s="155">
        <v>39</v>
      </c>
      <c r="U412" s="155">
        <v>39</v>
      </c>
      <c r="V412" s="155">
        <v>39</v>
      </c>
      <c r="W412" s="155">
        <v>39</v>
      </c>
    </row>
    <row r="413" spans="1:23" ht="12.75">
      <c r="A413" s="42" t="s">
        <v>342</v>
      </c>
      <c r="B413" s="155">
        <v>76</v>
      </c>
      <c r="C413" s="155">
        <v>71</v>
      </c>
      <c r="D413" s="155">
        <v>66</v>
      </c>
      <c r="E413" s="155">
        <v>61</v>
      </c>
      <c r="F413" s="155">
        <v>56</v>
      </c>
      <c r="G413" s="155">
        <v>52</v>
      </c>
      <c r="H413" s="155">
        <v>47</v>
      </c>
      <c r="I413" s="155">
        <v>45</v>
      </c>
      <c r="J413" s="155">
        <v>44</v>
      </c>
      <c r="K413" s="155">
        <v>42</v>
      </c>
      <c r="L413" s="155">
        <v>40</v>
      </c>
      <c r="M413" s="155">
        <v>38</v>
      </c>
      <c r="N413" s="155">
        <v>38</v>
      </c>
      <c r="O413" s="155">
        <v>38</v>
      </c>
      <c r="P413" s="155">
        <v>38</v>
      </c>
      <c r="Q413" s="155">
        <v>38</v>
      </c>
      <c r="R413" s="155">
        <v>38</v>
      </c>
      <c r="S413" s="155">
        <v>38</v>
      </c>
      <c r="T413" s="155">
        <v>38</v>
      </c>
      <c r="U413" s="155">
        <v>38</v>
      </c>
      <c r="V413" s="155">
        <v>38</v>
      </c>
      <c r="W413" s="155">
        <v>38</v>
      </c>
    </row>
    <row r="414" spans="1:23" ht="12.75">
      <c r="A414" s="184" t="s">
        <v>343</v>
      </c>
      <c r="B414" s="155">
        <v>74</v>
      </c>
      <c r="C414" s="155">
        <v>70</v>
      </c>
      <c r="D414" s="155">
        <v>64</v>
      </c>
      <c r="E414" s="155">
        <v>60</v>
      </c>
      <c r="F414" s="155">
        <v>55</v>
      </c>
      <c r="G414" s="155">
        <v>51</v>
      </c>
      <c r="H414" s="155">
        <v>45</v>
      </c>
      <c r="I414" s="155">
        <v>44</v>
      </c>
      <c r="J414" s="155">
        <v>42</v>
      </c>
      <c r="K414" s="155">
        <v>41</v>
      </c>
      <c r="L414" s="155">
        <v>39</v>
      </c>
      <c r="M414" s="155">
        <v>37</v>
      </c>
      <c r="N414" s="155">
        <v>37</v>
      </c>
      <c r="O414" s="155">
        <v>37</v>
      </c>
      <c r="P414" s="155">
        <v>37</v>
      </c>
      <c r="Q414" s="155">
        <v>37</v>
      </c>
      <c r="R414" s="155">
        <v>37</v>
      </c>
      <c r="S414" s="155">
        <v>37</v>
      </c>
      <c r="T414" s="155">
        <v>37</v>
      </c>
      <c r="U414" s="155">
        <v>37</v>
      </c>
      <c r="V414" s="155">
        <v>37</v>
      </c>
      <c r="W414" s="155">
        <v>37</v>
      </c>
    </row>
    <row r="415" spans="1:23" ht="12.75">
      <c r="A415" s="42" t="s">
        <v>344</v>
      </c>
      <c r="B415" s="155">
        <v>72</v>
      </c>
      <c r="C415" s="155">
        <v>67</v>
      </c>
      <c r="D415" s="155">
        <v>63</v>
      </c>
      <c r="E415" s="155">
        <v>58</v>
      </c>
      <c r="F415" s="155">
        <v>54</v>
      </c>
      <c r="G415" s="155">
        <v>49</v>
      </c>
      <c r="H415" s="155">
        <v>45</v>
      </c>
      <c r="I415" s="155">
        <v>42</v>
      </c>
      <c r="J415" s="155">
        <v>41</v>
      </c>
      <c r="K415" s="155">
        <v>39</v>
      </c>
      <c r="L415" s="155">
        <v>37</v>
      </c>
      <c r="M415" s="155">
        <v>36</v>
      </c>
      <c r="N415" s="155">
        <v>36</v>
      </c>
      <c r="O415" s="155">
        <v>36</v>
      </c>
      <c r="P415" s="155">
        <v>36</v>
      </c>
      <c r="Q415" s="155">
        <v>36</v>
      </c>
      <c r="R415" s="155">
        <v>36</v>
      </c>
      <c r="S415" s="155">
        <v>36</v>
      </c>
      <c r="T415" s="155">
        <v>36</v>
      </c>
      <c r="U415" s="155">
        <v>36</v>
      </c>
      <c r="V415" s="155">
        <v>36</v>
      </c>
      <c r="W415" s="155">
        <v>36</v>
      </c>
    </row>
    <row r="416" spans="1:23" ht="12.75">
      <c r="A416" s="165" t="s">
        <v>345</v>
      </c>
      <c r="B416" s="155">
        <v>70</v>
      </c>
      <c r="C416" s="155">
        <v>65</v>
      </c>
      <c r="D416" s="155">
        <v>61</v>
      </c>
      <c r="E416" s="155">
        <v>56</v>
      </c>
      <c r="F416" s="155">
        <v>52</v>
      </c>
      <c r="G416" s="155">
        <v>47</v>
      </c>
      <c r="H416" s="155">
        <v>43</v>
      </c>
      <c r="I416" s="155">
        <v>41</v>
      </c>
      <c r="J416" s="155">
        <v>40</v>
      </c>
      <c r="K416" s="155">
        <v>38</v>
      </c>
      <c r="L416" s="155">
        <v>36</v>
      </c>
      <c r="M416" s="155">
        <v>35</v>
      </c>
      <c r="N416" s="155">
        <v>35</v>
      </c>
      <c r="O416" s="155">
        <v>35</v>
      </c>
      <c r="P416" s="155">
        <v>35</v>
      </c>
      <c r="Q416" s="155">
        <v>35</v>
      </c>
      <c r="R416" s="155">
        <v>35</v>
      </c>
      <c r="S416" s="155">
        <v>35</v>
      </c>
      <c r="T416" s="155">
        <v>35</v>
      </c>
      <c r="U416" s="155">
        <v>35</v>
      </c>
      <c r="V416" s="155">
        <v>35</v>
      </c>
      <c r="W416" s="155">
        <v>35</v>
      </c>
    </row>
    <row r="417" spans="1:23" ht="15">
      <c r="A417" s="50" t="s">
        <v>346</v>
      </c>
      <c r="B417" s="155">
        <v>69</v>
      </c>
      <c r="C417" s="155">
        <v>64</v>
      </c>
      <c r="D417" s="155">
        <v>60</v>
      </c>
      <c r="E417" s="155">
        <v>55</v>
      </c>
      <c r="F417" s="155">
        <v>51</v>
      </c>
      <c r="G417" s="155">
        <v>47</v>
      </c>
      <c r="H417" s="155">
        <v>43</v>
      </c>
      <c r="I417" s="155">
        <v>41</v>
      </c>
      <c r="J417" s="155">
        <v>39</v>
      </c>
      <c r="K417" s="155">
        <v>37</v>
      </c>
      <c r="L417" s="155">
        <v>36</v>
      </c>
      <c r="M417" s="155">
        <v>35</v>
      </c>
      <c r="N417" s="155">
        <v>35</v>
      </c>
      <c r="O417" s="155">
        <v>35</v>
      </c>
      <c r="P417" s="155">
        <v>35</v>
      </c>
      <c r="Q417" s="155">
        <v>35</v>
      </c>
      <c r="R417" s="155">
        <v>35</v>
      </c>
      <c r="S417" s="155">
        <v>35</v>
      </c>
      <c r="T417" s="155">
        <v>35</v>
      </c>
      <c r="U417" s="155">
        <v>35</v>
      </c>
      <c r="V417" s="155">
        <v>35</v>
      </c>
      <c r="W417" s="155">
        <v>35</v>
      </c>
    </row>
    <row r="418" spans="1:23" ht="15">
      <c r="A418" s="38" t="s">
        <v>347</v>
      </c>
      <c r="B418" s="155">
        <v>68</v>
      </c>
      <c r="C418" s="155">
        <v>63</v>
      </c>
      <c r="D418" s="155">
        <v>59</v>
      </c>
      <c r="E418" s="155">
        <v>54</v>
      </c>
      <c r="F418" s="155">
        <v>51</v>
      </c>
      <c r="G418" s="155">
        <v>46</v>
      </c>
      <c r="H418" s="155">
        <v>42</v>
      </c>
      <c r="I418" s="155">
        <v>40</v>
      </c>
      <c r="J418" s="155">
        <v>38</v>
      </c>
      <c r="K418" s="155">
        <v>37</v>
      </c>
      <c r="L418" s="155">
        <v>36</v>
      </c>
      <c r="M418" s="155">
        <v>34</v>
      </c>
      <c r="N418" s="155">
        <v>34</v>
      </c>
      <c r="O418" s="155">
        <v>34</v>
      </c>
      <c r="P418" s="155">
        <v>34</v>
      </c>
      <c r="Q418" s="155">
        <v>34</v>
      </c>
      <c r="R418" s="155">
        <v>34</v>
      </c>
      <c r="S418" s="155">
        <v>34</v>
      </c>
      <c r="T418" s="155">
        <v>34</v>
      </c>
      <c r="U418" s="155">
        <v>34</v>
      </c>
      <c r="V418" s="155">
        <v>34</v>
      </c>
      <c r="W418" s="155">
        <v>34</v>
      </c>
    </row>
    <row r="419" spans="1:23" ht="15">
      <c r="A419" s="150" t="s">
        <v>328</v>
      </c>
      <c r="B419" s="151" t="s">
        <v>24</v>
      </c>
      <c r="C419" s="151" t="s">
        <v>25</v>
      </c>
      <c r="D419" s="151" t="s">
        <v>26</v>
      </c>
      <c r="E419" s="151" t="s">
        <v>27</v>
      </c>
      <c r="F419" s="151" t="s">
        <v>28</v>
      </c>
      <c r="G419" s="151" t="s">
        <v>74</v>
      </c>
      <c r="H419" s="151" t="s">
        <v>75</v>
      </c>
      <c r="I419" s="151" t="s">
        <v>76</v>
      </c>
      <c r="J419" s="151" t="s">
        <v>77</v>
      </c>
      <c r="K419" s="151" t="s">
        <v>78</v>
      </c>
      <c r="L419" s="151" t="s">
        <v>79</v>
      </c>
      <c r="M419" s="151" t="s">
        <v>80</v>
      </c>
      <c r="N419" s="16" t="s">
        <v>81</v>
      </c>
      <c r="O419" s="16" t="s">
        <v>82</v>
      </c>
      <c r="P419" s="16" t="s">
        <v>83</v>
      </c>
      <c r="Q419" s="16" t="s">
        <v>84</v>
      </c>
      <c r="R419" s="151" t="s">
        <v>85</v>
      </c>
      <c r="S419" s="16" t="s">
        <v>86</v>
      </c>
      <c r="T419" s="16" t="s">
        <v>87</v>
      </c>
      <c r="U419" s="16" t="s">
        <v>88</v>
      </c>
      <c r="V419" s="16" t="s">
        <v>89</v>
      </c>
      <c r="W419" s="151" t="s">
        <v>90</v>
      </c>
    </row>
    <row r="420" spans="1:23" ht="12.75">
      <c r="A420" s="35" t="s">
        <v>348</v>
      </c>
      <c r="B420" s="155">
        <f t="array" ref="B420:W428">INT($Z$136:$AU$144*0.9)</f>
        <v>72</v>
      </c>
      <c r="C420" s="155">
        <v>66</v>
      </c>
      <c r="D420" s="155">
        <v>61</v>
      </c>
      <c r="E420" s="155">
        <v>55</v>
      </c>
      <c r="F420" s="155">
        <v>50</v>
      </c>
      <c r="G420" s="155">
        <v>45</v>
      </c>
      <c r="H420" s="155">
        <v>39</v>
      </c>
      <c r="I420" s="155">
        <v>34</v>
      </c>
      <c r="J420" s="155">
        <v>34</v>
      </c>
      <c r="K420" s="155">
        <v>34</v>
      </c>
      <c r="L420" s="155">
        <v>34</v>
      </c>
      <c r="M420" s="155">
        <v>34</v>
      </c>
      <c r="N420" s="155">
        <v>34</v>
      </c>
      <c r="O420" s="155">
        <v>34</v>
      </c>
      <c r="P420" s="155">
        <v>34</v>
      </c>
      <c r="Q420" s="155">
        <v>34</v>
      </c>
      <c r="R420" s="155">
        <v>34</v>
      </c>
      <c r="S420" s="155">
        <v>34</v>
      </c>
      <c r="T420" s="155">
        <v>34</v>
      </c>
      <c r="U420" s="155">
        <v>34</v>
      </c>
      <c r="V420" s="155">
        <v>34</v>
      </c>
      <c r="W420" s="155">
        <v>34</v>
      </c>
    </row>
    <row r="421" spans="1:23" ht="12.75">
      <c r="A421" s="165" t="s">
        <v>350</v>
      </c>
      <c r="B421" s="155">
        <v>67</v>
      </c>
      <c r="C421" s="155">
        <v>62</v>
      </c>
      <c r="D421" s="155">
        <v>57</v>
      </c>
      <c r="E421" s="155">
        <v>52</v>
      </c>
      <c r="F421" s="155">
        <v>46</v>
      </c>
      <c r="G421" s="155">
        <v>42</v>
      </c>
      <c r="H421" s="155">
        <v>36</v>
      </c>
      <c r="I421" s="155">
        <v>32</v>
      </c>
      <c r="J421" s="155">
        <v>32</v>
      </c>
      <c r="K421" s="155">
        <v>32</v>
      </c>
      <c r="L421" s="155">
        <v>32</v>
      </c>
      <c r="M421" s="155">
        <v>32</v>
      </c>
      <c r="N421" s="155">
        <v>32</v>
      </c>
      <c r="O421" s="155">
        <v>32</v>
      </c>
      <c r="P421" s="155">
        <v>32</v>
      </c>
      <c r="Q421" s="155">
        <v>32</v>
      </c>
      <c r="R421" s="155">
        <v>32</v>
      </c>
      <c r="S421" s="155">
        <v>32</v>
      </c>
      <c r="T421" s="155">
        <v>32</v>
      </c>
      <c r="U421" s="155">
        <v>32</v>
      </c>
      <c r="V421" s="155">
        <v>32</v>
      </c>
      <c r="W421" s="155">
        <v>32</v>
      </c>
    </row>
    <row r="422" spans="1:23" ht="15">
      <c r="A422" s="50" t="s">
        <v>351</v>
      </c>
      <c r="B422" s="155">
        <v>63</v>
      </c>
      <c r="C422" s="155">
        <v>59</v>
      </c>
      <c r="D422" s="155">
        <v>54</v>
      </c>
      <c r="E422" s="155">
        <v>49</v>
      </c>
      <c r="F422" s="155">
        <v>45</v>
      </c>
      <c r="G422" s="155">
        <v>39</v>
      </c>
      <c r="H422" s="155">
        <v>35</v>
      </c>
      <c r="I422" s="155">
        <v>30</v>
      </c>
      <c r="J422" s="155">
        <v>30</v>
      </c>
      <c r="K422" s="155">
        <v>30</v>
      </c>
      <c r="L422" s="155">
        <v>30</v>
      </c>
      <c r="M422" s="155">
        <v>30</v>
      </c>
      <c r="N422" s="155">
        <v>30</v>
      </c>
      <c r="O422" s="155">
        <v>30</v>
      </c>
      <c r="P422" s="155">
        <v>30</v>
      </c>
      <c r="Q422" s="155">
        <v>30</v>
      </c>
      <c r="R422" s="155">
        <v>30</v>
      </c>
      <c r="S422" s="155">
        <v>30</v>
      </c>
      <c r="T422" s="155">
        <v>30</v>
      </c>
      <c r="U422" s="155">
        <v>30</v>
      </c>
      <c r="V422" s="155">
        <v>30</v>
      </c>
      <c r="W422" s="155">
        <v>30</v>
      </c>
    </row>
    <row r="423" spans="1:23" ht="15">
      <c r="A423" s="8" t="s">
        <v>352</v>
      </c>
      <c r="B423" s="155">
        <v>63</v>
      </c>
      <c r="C423" s="155">
        <v>58</v>
      </c>
      <c r="D423" s="155">
        <v>53</v>
      </c>
      <c r="E423" s="155">
        <v>48</v>
      </c>
      <c r="F423" s="155">
        <v>44</v>
      </c>
      <c r="G423" s="155">
        <v>39</v>
      </c>
      <c r="H423" s="155">
        <v>34</v>
      </c>
      <c r="I423" s="155">
        <v>29</v>
      </c>
      <c r="J423" s="155">
        <v>29</v>
      </c>
      <c r="K423" s="155">
        <v>29</v>
      </c>
      <c r="L423" s="155">
        <v>29</v>
      </c>
      <c r="M423" s="155">
        <v>29</v>
      </c>
      <c r="N423" s="155">
        <v>29</v>
      </c>
      <c r="O423" s="155">
        <v>29</v>
      </c>
      <c r="P423" s="155">
        <v>29</v>
      </c>
      <c r="Q423" s="155">
        <v>29</v>
      </c>
      <c r="R423" s="155">
        <v>29</v>
      </c>
      <c r="S423" s="155">
        <v>29</v>
      </c>
      <c r="T423" s="155">
        <v>29</v>
      </c>
      <c r="U423" s="155">
        <v>29</v>
      </c>
      <c r="V423" s="155">
        <v>29</v>
      </c>
      <c r="W423" s="155">
        <v>29</v>
      </c>
    </row>
    <row r="424" spans="1:23" ht="12.75">
      <c r="A424" s="35" t="s">
        <v>354</v>
      </c>
      <c r="B424" s="155">
        <v>60</v>
      </c>
      <c r="C424" s="155">
        <v>55</v>
      </c>
      <c r="D424" s="155">
        <v>51</v>
      </c>
      <c r="E424" s="155">
        <v>46</v>
      </c>
      <c r="F424" s="155">
        <v>42</v>
      </c>
      <c r="G424" s="155">
        <v>37</v>
      </c>
      <c r="H424" s="155">
        <v>33</v>
      </c>
      <c r="I424" s="155">
        <v>28</v>
      </c>
      <c r="J424" s="155">
        <v>28</v>
      </c>
      <c r="K424" s="155">
        <v>28</v>
      </c>
      <c r="L424" s="155">
        <v>28</v>
      </c>
      <c r="M424" s="155">
        <v>28</v>
      </c>
      <c r="N424" s="155">
        <v>28</v>
      </c>
      <c r="O424" s="155">
        <v>28</v>
      </c>
      <c r="P424" s="155">
        <v>28</v>
      </c>
      <c r="Q424" s="155">
        <v>28</v>
      </c>
      <c r="R424" s="155">
        <v>28</v>
      </c>
      <c r="S424" s="155">
        <v>28</v>
      </c>
      <c r="T424" s="155">
        <v>28</v>
      </c>
      <c r="U424" s="155">
        <v>28</v>
      </c>
      <c r="V424" s="155">
        <v>28</v>
      </c>
      <c r="W424" s="155">
        <v>28</v>
      </c>
    </row>
    <row r="425" spans="1:23" ht="12.75">
      <c r="A425" s="35" t="s">
        <v>356</v>
      </c>
      <c r="B425" s="156">
        <v>55</v>
      </c>
      <c r="C425" s="155">
        <v>51</v>
      </c>
      <c r="D425" s="155">
        <v>47</v>
      </c>
      <c r="E425" s="155">
        <v>43</v>
      </c>
      <c r="F425" s="155">
        <v>38</v>
      </c>
      <c r="G425" s="155">
        <v>35</v>
      </c>
      <c r="H425" s="155">
        <v>30</v>
      </c>
      <c r="I425" s="155">
        <v>26</v>
      </c>
      <c r="J425" s="155">
        <v>26</v>
      </c>
      <c r="K425" s="155">
        <v>26</v>
      </c>
      <c r="L425" s="155">
        <v>26</v>
      </c>
      <c r="M425" s="155">
        <v>26</v>
      </c>
      <c r="N425" s="155">
        <v>26</v>
      </c>
      <c r="O425" s="155">
        <v>26</v>
      </c>
      <c r="P425" s="155">
        <v>26</v>
      </c>
      <c r="Q425" s="155">
        <v>26</v>
      </c>
      <c r="R425" s="155">
        <v>26</v>
      </c>
      <c r="S425" s="155">
        <v>26</v>
      </c>
      <c r="T425" s="155">
        <v>26</v>
      </c>
      <c r="U425" s="155">
        <v>26</v>
      </c>
      <c r="V425" s="155">
        <v>26</v>
      </c>
      <c r="W425" s="155">
        <v>26</v>
      </c>
    </row>
    <row r="426" spans="1:23" ht="12.75">
      <c r="A426" s="209" t="s">
        <v>357</v>
      </c>
      <c r="B426" s="156">
        <v>53</v>
      </c>
      <c r="C426" s="155">
        <v>49</v>
      </c>
      <c r="D426" s="155">
        <v>45</v>
      </c>
      <c r="E426" s="155">
        <v>41</v>
      </c>
      <c r="F426" s="155">
        <v>36</v>
      </c>
      <c r="G426" s="155">
        <v>33</v>
      </c>
      <c r="H426" s="155">
        <v>28</v>
      </c>
      <c r="I426" s="155">
        <v>25</v>
      </c>
      <c r="J426" s="155">
        <v>25</v>
      </c>
      <c r="K426" s="155">
        <v>25</v>
      </c>
      <c r="L426" s="155">
        <v>25</v>
      </c>
      <c r="M426" s="155">
        <v>25</v>
      </c>
      <c r="N426" s="155">
        <v>25</v>
      </c>
      <c r="O426" s="155">
        <v>25</v>
      </c>
      <c r="P426" s="155">
        <v>25</v>
      </c>
      <c r="Q426" s="155">
        <v>25</v>
      </c>
      <c r="R426" s="155">
        <v>25</v>
      </c>
      <c r="S426" s="155">
        <v>25</v>
      </c>
      <c r="T426" s="155">
        <v>25</v>
      </c>
      <c r="U426" s="155">
        <v>25</v>
      </c>
      <c r="V426" s="155">
        <v>25</v>
      </c>
      <c r="W426" s="155">
        <v>25</v>
      </c>
    </row>
    <row r="427" spans="1:23" ht="15">
      <c r="A427" s="8" t="s">
        <v>358</v>
      </c>
      <c r="B427" s="156">
        <v>51</v>
      </c>
      <c r="C427" s="155">
        <v>47</v>
      </c>
      <c r="D427" s="155">
        <v>43</v>
      </c>
      <c r="E427" s="155">
        <v>39</v>
      </c>
      <c r="F427" s="155">
        <v>36</v>
      </c>
      <c r="G427" s="155">
        <v>31</v>
      </c>
      <c r="H427" s="155">
        <v>27</v>
      </c>
      <c r="I427" s="155">
        <v>24</v>
      </c>
      <c r="J427" s="155">
        <v>24</v>
      </c>
      <c r="K427" s="155">
        <v>24</v>
      </c>
      <c r="L427" s="155">
        <v>24</v>
      </c>
      <c r="M427" s="155">
        <v>24</v>
      </c>
      <c r="N427" s="155">
        <v>24</v>
      </c>
      <c r="O427" s="155">
        <v>24</v>
      </c>
      <c r="P427" s="155">
        <v>24</v>
      </c>
      <c r="Q427" s="155">
        <v>24</v>
      </c>
      <c r="R427" s="155">
        <v>24</v>
      </c>
      <c r="S427" s="155">
        <v>24</v>
      </c>
      <c r="T427" s="155">
        <v>24</v>
      </c>
      <c r="U427" s="155">
        <v>24</v>
      </c>
      <c r="V427" s="155">
        <v>24</v>
      </c>
      <c r="W427" s="155">
        <v>24</v>
      </c>
    </row>
    <row r="428" spans="1:23" ht="15">
      <c r="A428" s="38" t="s">
        <v>359</v>
      </c>
      <c r="B428" s="156">
        <v>48</v>
      </c>
      <c r="C428" s="155">
        <v>45</v>
      </c>
      <c r="D428" s="155">
        <v>41</v>
      </c>
      <c r="E428" s="155">
        <v>37</v>
      </c>
      <c r="F428" s="155">
        <v>34</v>
      </c>
      <c r="G428" s="155">
        <v>30</v>
      </c>
      <c r="H428" s="155">
        <v>27</v>
      </c>
      <c r="I428" s="155">
        <v>23</v>
      </c>
      <c r="J428" s="155">
        <v>22</v>
      </c>
      <c r="K428" s="155">
        <v>22</v>
      </c>
      <c r="L428" s="155">
        <v>22</v>
      </c>
      <c r="M428" s="155">
        <v>22</v>
      </c>
      <c r="N428" s="155">
        <v>22</v>
      </c>
      <c r="O428" s="155">
        <v>22</v>
      </c>
      <c r="P428" s="155">
        <v>22</v>
      </c>
      <c r="Q428" s="155">
        <v>22</v>
      </c>
      <c r="R428" s="155">
        <v>22</v>
      </c>
      <c r="S428" s="155">
        <v>22</v>
      </c>
      <c r="T428" s="155">
        <v>22</v>
      </c>
      <c r="U428" s="155">
        <v>22</v>
      </c>
      <c r="V428" s="155">
        <v>22</v>
      </c>
      <c r="W428" s="155">
        <v>22</v>
      </c>
    </row>
    <row r="429" spans="1:23" ht="15">
      <c r="A429" s="150" t="s">
        <v>333</v>
      </c>
      <c r="B429" s="151" t="s">
        <v>24</v>
      </c>
      <c r="C429" s="151" t="s">
        <v>25</v>
      </c>
      <c r="D429" s="151" t="s">
        <v>26</v>
      </c>
      <c r="E429" s="151" t="s">
        <v>27</v>
      </c>
      <c r="F429" s="151" t="s">
        <v>28</v>
      </c>
      <c r="G429" s="151" t="s">
        <v>74</v>
      </c>
      <c r="H429" s="151" t="s">
        <v>75</v>
      </c>
      <c r="I429" s="151" t="s">
        <v>76</v>
      </c>
      <c r="J429" s="151" t="s">
        <v>77</v>
      </c>
      <c r="K429" s="151" t="s">
        <v>78</v>
      </c>
      <c r="L429" s="151" t="s">
        <v>79</v>
      </c>
      <c r="M429" s="151" t="s">
        <v>80</v>
      </c>
      <c r="N429" s="16" t="s">
        <v>81</v>
      </c>
      <c r="O429" s="16" t="s">
        <v>82</v>
      </c>
      <c r="P429" s="16" t="s">
        <v>83</v>
      </c>
      <c r="Q429" s="16" t="s">
        <v>84</v>
      </c>
      <c r="R429" s="151" t="s">
        <v>85</v>
      </c>
      <c r="S429" s="16" t="s">
        <v>86</v>
      </c>
      <c r="T429" s="16" t="s">
        <v>87</v>
      </c>
      <c r="U429" s="16" t="s">
        <v>88</v>
      </c>
      <c r="V429" s="16" t="s">
        <v>89</v>
      </c>
      <c r="W429" s="151" t="s">
        <v>90</v>
      </c>
    </row>
    <row r="430" spans="1:23" ht="15">
      <c r="A430" s="210" t="s">
        <v>364</v>
      </c>
      <c r="B430" s="155">
        <f t="array" ref="B430:W431">INT($Z$146:$AU$147*0.9)</f>
        <v>72</v>
      </c>
      <c r="C430" s="155">
        <v>65</v>
      </c>
      <c r="D430" s="155">
        <v>59</v>
      </c>
      <c r="E430" s="155">
        <v>53</v>
      </c>
      <c r="F430" s="155">
        <v>47</v>
      </c>
      <c r="G430" s="155">
        <v>41</v>
      </c>
      <c r="H430" s="155">
        <v>35</v>
      </c>
      <c r="I430" s="155">
        <v>31</v>
      </c>
      <c r="J430" s="155">
        <v>31</v>
      </c>
      <c r="K430" s="155">
        <v>31</v>
      </c>
      <c r="L430" s="155">
        <v>31</v>
      </c>
      <c r="M430" s="155">
        <v>31</v>
      </c>
      <c r="N430" s="155">
        <v>31</v>
      </c>
      <c r="O430" s="155">
        <v>31</v>
      </c>
      <c r="P430" s="155">
        <v>31</v>
      </c>
      <c r="Q430" s="155">
        <v>31</v>
      </c>
      <c r="R430" s="155">
        <v>31</v>
      </c>
      <c r="S430" s="155">
        <v>31</v>
      </c>
      <c r="T430" s="155">
        <v>31</v>
      </c>
      <c r="U430" s="155">
        <v>31</v>
      </c>
      <c r="V430" s="155">
        <v>31</v>
      </c>
      <c r="W430" s="155">
        <v>31</v>
      </c>
    </row>
    <row r="431" spans="1:23" ht="15">
      <c r="A431" s="210" t="s">
        <v>365</v>
      </c>
      <c r="B431" s="155">
        <v>68</v>
      </c>
      <c r="C431" s="155">
        <v>63</v>
      </c>
      <c r="D431" s="155">
        <v>56</v>
      </c>
      <c r="E431" s="155">
        <v>51</v>
      </c>
      <c r="F431" s="155">
        <v>45</v>
      </c>
      <c r="G431" s="155">
        <v>39</v>
      </c>
      <c r="H431" s="155">
        <v>33</v>
      </c>
      <c r="I431" s="155">
        <v>29</v>
      </c>
      <c r="J431" s="155">
        <v>29</v>
      </c>
      <c r="K431" s="155">
        <v>29</v>
      </c>
      <c r="L431" s="155">
        <v>29</v>
      </c>
      <c r="M431" s="155">
        <v>29</v>
      </c>
      <c r="N431" s="155">
        <v>29</v>
      </c>
      <c r="O431" s="155">
        <v>29</v>
      </c>
      <c r="P431" s="155">
        <v>29</v>
      </c>
      <c r="Q431" s="155">
        <v>29</v>
      </c>
      <c r="R431" s="155">
        <v>29</v>
      </c>
      <c r="S431" s="155">
        <v>29</v>
      </c>
      <c r="T431" s="155">
        <v>29</v>
      </c>
      <c r="U431" s="155">
        <v>29</v>
      </c>
      <c r="V431" s="155">
        <v>29</v>
      </c>
      <c r="W431" s="155">
        <v>29</v>
      </c>
    </row>
    <row r="432" spans="1:23" ht="15">
      <c r="A432" s="150" t="s">
        <v>336</v>
      </c>
      <c r="B432" s="151" t="s">
        <v>24</v>
      </c>
      <c r="C432" s="151" t="s">
        <v>25</v>
      </c>
      <c r="D432" s="151" t="s">
        <v>26</v>
      </c>
      <c r="E432" s="151" t="s">
        <v>27</v>
      </c>
      <c r="F432" s="151" t="s">
        <v>28</v>
      </c>
      <c r="G432" s="151" t="s">
        <v>74</v>
      </c>
      <c r="H432" s="151" t="s">
        <v>75</v>
      </c>
      <c r="I432" s="151" t="s">
        <v>76</v>
      </c>
      <c r="J432" s="151" t="s">
        <v>77</v>
      </c>
      <c r="K432" s="151" t="s">
        <v>78</v>
      </c>
      <c r="L432" s="151" t="s">
        <v>79</v>
      </c>
      <c r="M432" s="151" t="s">
        <v>80</v>
      </c>
      <c r="N432" s="16" t="s">
        <v>81</v>
      </c>
      <c r="O432" s="16" t="s">
        <v>82</v>
      </c>
      <c r="P432" s="16" t="s">
        <v>83</v>
      </c>
      <c r="Q432" s="16" t="s">
        <v>84</v>
      </c>
      <c r="R432" s="151" t="s">
        <v>85</v>
      </c>
      <c r="S432" s="16" t="s">
        <v>86</v>
      </c>
      <c r="T432" s="16" t="s">
        <v>87</v>
      </c>
      <c r="U432" s="16" t="s">
        <v>88</v>
      </c>
      <c r="V432" s="16" t="s">
        <v>89</v>
      </c>
      <c r="W432" s="151" t="s">
        <v>90</v>
      </c>
    </row>
    <row r="433" spans="1:23" ht="15">
      <c r="A433" s="210" t="s">
        <v>368</v>
      </c>
      <c r="B433" s="155">
        <f t="array" ref="B433:W436">INT($Z$149:$AU$152*0.9)</f>
        <v>59</v>
      </c>
      <c r="C433" s="155">
        <v>54</v>
      </c>
      <c r="D433" s="155">
        <v>48</v>
      </c>
      <c r="E433" s="155">
        <v>43</v>
      </c>
      <c r="F433" s="155">
        <v>37</v>
      </c>
      <c r="G433" s="155">
        <v>32</v>
      </c>
      <c r="H433" s="155">
        <v>27</v>
      </c>
      <c r="I433" s="155">
        <v>24</v>
      </c>
      <c r="J433" s="155">
        <v>24</v>
      </c>
      <c r="K433" s="155">
        <v>24</v>
      </c>
      <c r="L433" s="155">
        <v>24</v>
      </c>
      <c r="M433" s="155">
        <v>24</v>
      </c>
      <c r="N433" s="155">
        <v>24</v>
      </c>
      <c r="O433" s="155">
        <v>24</v>
      </c>
      <c r="P433" s="155">
        <v>24</v>
      </c>
      <c r="Q433" s="155">
        <v>24</v>
      </c>
      <c r="R433" s="155">
        <v>24</v>
      </c>
      <c r="S433" s="155">
        <v>24</v>
      </c>
      <c r="T433" s="155">
        <v>24</v>
      </c>
      <c r="U433" s="155">
        <v>24</v>
      </c>
      <c r="V433" s="155">
        <v>24</v>
      </c>
      <c r="W433" s="155">
        <v>24</v>
      </c>
    </row>
    <row r="434" spans="1:23" ht="15">
      <c r="A434" s="199" t="s">
        <v>369</v>
      </c>
      <c r="B434" s="155">
        <v>56</v>
      </c>
      <c r="C434" s="155">
        <v>51</v>
      </c>
      <c r="D434" s="155">
        <v>46</v>
      </c>
      <c r="E434" s="155">
        <v>41</v>
      </c>
      <c r="F434" s="155">
        <v>35</v>
      </c>
      <c r="G434" s="155">
        <v>31</v>
      </c>
      <c r="H434" s="155">
        <v>27</v>
      </c>
      <c r="I434" s="155">
        <v>23</v>
      </c>
      <c r="J434" s="155">
        <v>23</v>
      </c>
      <c r="K434" s="155">
        <v>23</v>
      </c>
      <c r="L434" s="155">
        <v>23</v>
      </c>
      <c r="M434" s="155">
        <v>23</v>
      </c>
      <c r="N434" s="155">
        <v>23</v>
      </c>
      <c r="O434" s="155">
        <v>23</v>
      </c>
      <c r="P434" s="155">
        <v>23</v>
      </c>
      <c r="Q434" s="155">
        <v>23</v>
      </c>
      <c r="R434" s="155">
        <v>23</v>
      </c>
      <c r="S434" s="155">
        <v>23</v>
      </c>
      <c r="T434" s="155">
        <v>23</v>
      </c>
      <c r="U434" s="155">
        <v>23</v>
      </c>
      <c r="V434" s="155">
        <v>23</v>
      </c>
      <c r="W434" s="155">
        <v>23</v>
      </c>
    </row>
    <row r="435" spans="1:23" ht="12.75">
      <c r="A435" s="194" t="s">
        <v>370</v>
      </c>
      <c r="B435" s="155">
        <v>48</v>
      </c>
      <c r="C435" s="155">
        <v>44</v>
      </c>
      <c r="D435" s="155">
        <v>39</v>
      </c>
      <c r="E435" s="155">
        <v>35</v>
      </c>
      <c r="F435" s="155">
        <v>31</v>
      </c>
      <c r="G435" s="155">
        <v>27</v>
      </c>
      <c r="H435" s="155">
        <v>22</v>
      </c>
      <c r="I435" s="155">
        <v>19</v>
      </c>
      <c r="J435" s="155">
        <v>19</v>
      </c>
      <c r="K435" s="155">
        <v>19</v>
      </c>
      <c r="L435" s="155">
        <v>19</v>
      </c>
      <c r="M435" s="155">
        <v>19</v>
      </c>
      <c r="N435" s="155">
        <v>19</v>
      </c>
      <c r="O435" s="155">
        <v>19</v>
      </c>
      <c r="P435" s="155">
        <v>19</v>
      </c>
      <c r="Q435" s="155">
        <v>19</v>
      </c>
      <c r="R435" s="155">
        <v>19</v>
      </c>
      <c r="S435" s="155">
        <v>19</v>
      </c>
      <c r="T435" s="155">
        <v>19</v>
      </c>
      <c r="U435" s="155">
        <v>19</v>
      </c>
      <c r="V435" s="155">
        <v>19</v>
      </c>
      <c r="W435" s="155">
        <v>19</v>
      </c>
    </row>
    <row r="436" spans="1:23" ht="12.75">
      <c r="A436" s="212" t="s">
        <v>371</v>
      </c>
      <c r="B436" s="155">
        <v>45</v>
      </c>
      <c r="C436" s="155">
        <v>41</v>
      </c>
      <c r="D436" s="155">
        <v>37</v>
      </c>
      <c r="E436" s="155">
        <v>33</v>
      </c>
      <c r="F436" s="155">
        <v>29</v>
      </c>
      <c r="G436" s="155">
        <v>25</v>
      </c>
      <c r="H436" s="155">
        <v>21</v>
      </c>
      <c r="I436" s="155">
        <v>18</v>
      </c>
      <c r="J436" s="155">
        <v>18</v>
      </c>
      <c r="K436" s="155">
        <v>18</v>
      </c>
      <c r="L436" s="155">
        <v>18</v>
      </c>
      <c r="M436" s="155">
        <v>18</v>
      </c>
      <c r="N436" s="155">
        <v>18</v>
      </c>
      <c r="O436" s="155">
        <v>18</v>
      </c>
      <c r="P436" s="155">
        <v>18</v>
      </c>
      <c r="Q436" s="155">
        <v>18</v>
      </c>
      <c r="R436" s="155">
        <v>18</v>
      </c>
      <c r="S436" s="155">
        <v>18</v>
      </c>
      <c r="T436" s="155">
        <v>18</v>
      </c>
      <c r="U436" s="155">
        <v>18</v>
      </c>
      <c r="V436" s="155">
        <v>18</v>
      </c>
      <c r="W436" s="155">
        <v>18</v>
      </c>
    </row>
    <row r="437" spans="1:23" ht="22.5">
      <c r="A437" s="213" t="s">
        <v>374</v>
      </c>
      <c r="B437" s="214"/>
      <c r="O437" s="154"/>
      <c r="P437" s="154"/>
      <c r="Q437" s="154"/>
      <c r="R437" s="154"/>
      <c r="S437" s="154"/>
      <c r="T437" s="154"/>
      <c r="U437" s="154"/>
      <c r="V437" s="154"/>
      <c r="W437" s="154"/>
    </row>
    <row r="438" spans="1:23" ht="15">
      <c r="A438" s="150" t="s">
        <v>375</v>
      </c>
      <c r="B438" s="215" t="s">
        <v>121</v>
      </c>
      <c r="C438" s="215" t="s">
        <v>126</v>
      </c>
      <c r="D438" s="215" t="s">
        <v>132</v>
      </c>
      <c r="E438" s="216" t="s">
        <v>24</v>
      </c>
      <c r="F438" s="151" t="s">
        <v>25</v>
      </c>
      <c r="G438" s="151" t="s">
        <v>26</v>
      </c>
      <c r="H438" s="151" t="s">
        <v>27</v>
      </c>
      <c r="I438" s="151" t="s">
        <v>28</v>
      </c>
      <c r="J438" s="151" t="s">
        <v>74</v>
      </c>
      <c r="K438" s="151" t="s">
        <v>75</v>
      </c>
      <c r="L438" s="151" t="s">
        <v>76</v>
      </c>
      <c r="M438" s="151" t="s">
        <v>77</v>
      </c>
      <c r="N438" s="151" t="s">
        <v>78</v>
      </c>
      <c r="O438" s="151" t="s">
        <v>79</v>
      </c>
      <c r="P438" s="151" t="s">
        <v>80</v>
      </c>
      <c r="Q438" s="151" t="s">
        <v>81</v>
      </c>
      <c r="R438" s="151" t="s">
        <v>82</v>
      </c>
      <c r="S438" s="151" t="s">
        <v>83</v>
      </c>
      <c r="T438" s="151" t="s">
        <v>84</v>
      </c>
      <c r="U438" s="151" t="s">
        <v>85</v>
      </c>
      <c r="V438" s="151" t="s">
        <v>86</v>
      </c>
      <c r="W438" s="151" t="s">
        <v>87</v>
      </c>
    </row>
    <row r="439" spans="1:23" ht="15">
      <c r="A439" s="38" t="s">
        <v>153</v>
      </c>
      <c r="B439" s="155">
        <f t="array" ref="B439:W439">INT($Z$155:$AU$155*0.405)</f>
        <v>147</v>
      </c>
      <c r="C439" s="155">
        <v>147</v>
      </c>
      <c r="D439" s="155">
        <v>132</v>
      </c>
      <c r="E439" s="155">
        <v>113</v>
      </c>
      <c r="F439" s="155">
        <v>97</v>
      </c>
      <c r="G439" s="155">
        <v>85</v>
      </c>
      <c r="H439" s="155">
        <v>74</v>
      </c>
      <c r="I439" s="155">
        <v>63</v>
      </c>
      <c r="J439" s="155">
        <v>59</v>
      </c>
      <c r="K439" s="155">
        <v>54</v>
      </c>
      <c r="L439" s="155">
        <v>45</v>
      </c>
      <c r="M439" s="155">
        <v>36</v>
      </c>
      <c r="N439" s="155">
        <v>34</v>
      </c>
      <c r="O439" s="155">
        <v>31</v>
      </c>
      <c r="P439" s="155">
        <v>29</v>
      </c>
      <c r="Q439" s="155">
        <v>29</v>
      </c>
      <c r="R439" s="155">
        <v>29</v>
      </c>
      <c r="S439" s="155">
        <v>29</v>
      </c>
      <c r="T439" s="155">
        <v>29</v>
      </c>
      <c r="U439" s="155">
        <v>29</v>
      </c>
      <c r="V439" s="155">
        <v>29</v>
      </c>
      <c r="W439" s="155">
        <v>29</v>
      </c>
    </row>
    <row r="440" spans="1:23" ht="15">
      <c r="A440" s="50" t="s">
        <v>376</v>
      </c>
      <c r="B440" s="164">
        <f t="array" ref="B440:W442">INT($Z$156:$AU$158*0.7)</f>
        <v>169</v>
      </c>
      <c r="C440" s="164">
        <v>149</v>
      </c>
      <c r="D440" s="155">
        <v>128</v>
      </c>
      <c r="E440" s="155">
        <v>112</v>
      </c>
      <c r="F440" s="155">
        <v>97</v>
      </c>
      <c r="G440" s="155">
        <v>82</v>
      </c>
      <c r="H440" s="155">
        <v>77</v>
      </c>
      <c r="I440" s="155">
        <v>74</v>
      </c>
      <c r="J440" s="155">
        <v>71</v>
      </c>
      <c r="K440" s="155">
        <v>67</v>
      </c>
      <c r="L440" s="155">
        <v>60</v>
      </c>
      <c r="M440" s="155">
        <v>53</v>
      </c>
      <c r="N440" s="155">
        <v>47</v>
      </c>
      <c r="O440" s="155">
        <v>40</v>
      </c>
      <c r="P440" s="155">
        <v>33</v>
      </c>
      <c r="Q440" s="155">
        <v>33</v>
      </c>
      <c r="R440" s="155">
        <v>33</v>
      </c>
      <c r="S440" s="155">
        <v>33</v>
      </c>
      <c r="T440" s="155">
        <v>33</v>
      </c>
      <c r="U440" s="155">
        <v>33</v>
      </c>
      <c r="V440" s="155">
        <v>33</v>
      </c>
      <c r="W440" s="155">
        <v>33</v>
      </c>
    </row>
    <row r="441" spans="1:23" ht="15">
      <c r="A441" s="50" t="s">
        <v>155</v>
      </c>
      <c r="B441" s="164">
        <v>154</v>
      </c>
      <c r="C441" s="164">
        <v>135</v>
      </c>
      <c r="D441" s="155">
        <v>116</v>
      </c>
      <c r="E441" s="155">
        <v>102</v>
      </c>
      <c r="F441" s="155">
        <v>88</v>
      </c>
      <c r="G441" s="155">
        <v>74</v>
      </c>
      <c r="H441" s="155">
        <v>70</v>
      </c>
      <c r="I441" s="155">
        <v>67</v>
      </c>
      <c r="J441" s="155">
        <v>64</v>
      </c>
      <c r="K441" s="155">
        <v>61</v>
      </c>
      <c r="L441" s="155">
        <v>55</v>
      </c>
      <c r="M441" s="155">
        <v>49</v>
      </c>
      <c r="N441" s="155">
        <v>43</v>
      </c>
      <c r="O441" s="155">
        <v>37</v>
      </c>
      <c r="P441" s="155">
        <v>30</v>
      </c>
      <c r="Q441" s="155">
        <v>30</v>
      </c>
      <c r="R441" s="155">
        <v>30</v>
      </c>
      <c r="S441" s="155">
        <v>30</v>
      </c>
      <c r="T441" s="155">
        <v>30</v>
      </c>
      <c r="U441" s="155">
        <v>30</v>
      </c>
      <c r="V441" s="155">
        <v>30</v>
      </c>
      <c r="W441" s="155">
        <v>30</v>
      </c>
    </row>
    <row r="442" spans="1:23" ht="15">
      <c r="A442" s="50" t="s">
        <v>156</v>
      </c>
      <c r="B442" s="164">
        <v>69</v>
      </c>
      <c r="C442" s="155">
        <v>60</v>
      </c>
      <c r="D442" s="155">
        <v>52</v>
      </c>
      <c r="E442" s="155">
        <v>46</v>
      </c>
      <c r="F442" s="155">
        <v>39</v>
      </c>
      <c r="G442" s="155">
        <v>33</v>
      </c>
      <c r="H442" s="155">
        <v>31</v>
      </c>
      <c r="I442" s="155">
        <v>30</v>
      </c>
      <c r="J442" s="155">
        <v>28</v>
      </c>
      <c r="K442" s="155">
        <v>27</v>
      </c>
      <c r="L442" s="155">
        <v>24</v>
      </c>
      <c r="M442" s="155">
        <v>21</v>
      </c>
      <c r="N442" s="155">
        <v>18</v>
      </c>
      <c r="O442" s="155">
        <v>16</v>
      </c>
      <c r="P442" s="155">
        <v>13</v>
      </c>
      <c r="Q442" s="155">
        <v>13</v>
      </c>
      <c r="R442" s="155">
        <v>13</v>
      </c>
      <c r="S442" s="155">
        <v>13</v>
      </c>
      <c r="T442" s="155">
        <v>13</v>
      </c>
      <c r="U442" s="155">
        <v>13</v>
      </c>
      <c r="V442" s="155">
        <v>13</v>
      </c>
      <c r="W442" s="155">
        <v>13</v>
      </c>
    </row>
    <row r="443" spans="1:23" ht="15">
      <c r="A443" s="8" t="s">
        <v>157</v>
      </c>
      <c r="B443" s="164">
        <f t="array" ref="B443:W446">INT($Z$159:$AU$162*0.75)</f>
        <v>195</v>
      </c>
      <c r="C443" s="164">
        <v>184</v>
      </c>
      <c r="D443" s="155">
        <v>171</v>
      </c>
      <c r="E443" s="155">
        <v>159</v>
      </c>
      <c r="F443" s="155">
        <v>146</v>
      </c>
      <c r="G443" s="155">
        <v>130</v>
      </c>
      <c r="H443" s="155">
        <v>112</v>
      </c>
      <c r="I443" s="155">
        <v>97</v>
      </c>
      <c r="J443" s="155">
        <v>93</v>
      </c>
      <c r="K443" s="155">
        <v>89</v>
      </c>
      <c r="L443" s="155">
        <v>81</v>
      </c>
      <c r="M443" s="155">
        <v>72</v>
      </c>
      <c r="N443" s="155">
        <v>60</v>
      </c>
      <c r="O443" s="155">
        <v>50</v>
      </c>
      <c r="P443" s="155">
        <v>39</v>
      </c>
      <c r="Q443" s="155">
        <v>39</v>
      </c>
      <c r="R443" s="155">
        <v>39</v>
      </c>
      <c r="S443" s="155">
        <v>39</v>
      </c>
      <c r="T443" s="155">
        <v>39</v>
      </c>
      <c r="U443" s="155">
        <v>39</v>
      </c>
      <c r="V443" s="155">
        <v>39</v>
      </c>
      <c r="W443" s="155">
        <v>39</v>
      </c>
    </row>
    <row r="444" spans="1:23" ht="15">
      <c r="A444" s="8" t="s">
        <v>158</v>
      </c>
      <c r="B444" s="164">
        <v>120</v>
      </c>
      <c r="C444" s="164">
        <v>120</v>
      </c>
      <c r="D444" s="155">
        <v>106</v>
      </c>
      <c r="E444" s="155">
        <v>90</v>
      </c>
      <c r="F444" s="155">
        <v>81</v>
      </c>
      <c r="G444" s="155">
        <v>70</v>
      </c>
      <c r="H444" s="155">
        <v>60</v>
      </c>
      <c r="I444" s="155">
        <v>57</v>
      </c>
      <c r="J444" s="155">
        <v>54</v>
      </c>
      <c r="K444" s="155">
        <v>51</v>
      </c>
      <c r="L444" s="155">
        <v>45</v>
      </c>
      <c r="M444" s="155">
        <v>39</v>
      </c>
      <c r="N444" s="155">
        <v>34</v>
      </c>
      <c r="O444" s="155">
        <v>0</v>
      </c>
      <c r="P444" s="155">
        <v>0</v>
      </c>
      <c r="Q444" s="155">
        <v>0</v>
      </c>
      <c r="R444" s="155">
        <v>0</v>
      </c>
      <c r="S444" s="155">
        <v>0</v>
      </c>
      <c r="T444" s="155">
        <v>0</v>
      </c>
      <c r="U444" s="155">
        <v>0</v>
      </c>
      <c r="V444" s="155">
        <v>0</v>
      </c>
      <c r="W444" s="155">
        <v>0</v>
      </c>
    </row>
    <row r="445" spans="1:23" ht="15">
      <c r="A445" s="50" t="s">
        <v>379</v>
      </c>
      <c r="B445" s="156">
        <v>91</v>
      </c>
      <c r="C445" s="155">
        <v>87</v>
      </c>
      <c r="D445" s="155">
        <v>81</v>
      </c>
      <c r="E445" s="155">
        <v>75</v>
      </c>
      <c r="F445" s="155">
        <v>69</v>
      </c>
      <c r="G445" s="155">
        <v>61</v>
      </c>
      <c r="H445" s="155">
        <v>54</v>
      </c>
      <c r="I445" s="155">
        <v>45</v>
      </c>
      <c r="J445" s="155">
        <v>43</v>
      </c>
      <c r="K445" s="155">
        <v>42</v>
      </c>
      <c r="L445" s="218">
        <v>38</v>
      </c>
      <c r="M445" s="155">
        <v>33</v>
      </c>
      <c r="N445" s="155">
        <v>28</v>
      </c>
      <c r="O445" s="155">
        <v>23</v>
      </c>
      <c r="P445" s="155">
        <v>18</v>
      </c>
      <c r="Q445" s="155">
        <v>18</v>
      </c>
      <c r="R445" s="155">
        <v>18</v>
      </c>
      <c r="S445" s="155">
        <v>18</v>
      </c>
      <c r="T445" s="155">
        <v>18</v>
      </c>
      <c r="U445" s="155">
        <v>18</v>
      </c>
      <c r="V445" s="155">
        <v>18</v>
      </c>
      <c r="W445" s="155">
        <v>18</v>
      </c>
    </row>
    <row r="446" spans="1:23" ht="15">
      <c r="A446" s="50" t="s">
        <v>380</v>
      </c>
      <c r="B446" s="156">
        <v>150</v>
      </c>
      <c r="C446" s="155">
        <v>150</v>
      </c>
      <c r="D446" s="155">
        <v>150</v>
      </c>
      <c r="E446" s="155">
        <v>150</v>
      </c>
      <c r="F446" s="155">
        <v>150</v>
      </c>
      <c r="G446" s="155">
        <v>150</v>
      </c>
      <c r="H446" s="155">
        <v>132</v>
      </c>
      <c r="I446" s="155">
        <v>112</v>
      </c>
      <c r="J446" s="155">
        <v>94</v>
      </c>
      <c r="K446" s="155">
        <v>76</v>
      </c>
      <c r="L446" s="218">
        <v>66</v>
      </c>
      <c r="M446" s="155">
        <v>57</v>
      </c>
      <c r="N446" s="155">
        <v>48</v>
      </c>
      <c r="O446" s="155">
        <v>39</v>
      </c>
      <c r="P446" s="155">
        <v>30</v>
      </c>
      <c r="Q446" s="155">
        <v>30</v>
      </c>
      <c r="R446" s="155">
        <v>30</v>
      </c>
      <c r="S446" s="155">
        <v>30</v>
      </c>
      <c r="T446" s="155">
        <v>30</v>
      </c>
      <c r="U446" s="155">
        <v>30</v>
      </c>
      <c r="V446" s="155">
        <v>30</v>
      </c>
      <c r="W446" s="155">
        <v>30</v>
      </c>
    </row>
    <row r="447" spans="1:23" ht="15">
      <c r="A447" s="8" t="s">
        <v>161</v>
      </c>
      <c r="B447" s="156">
        <f t="array" ref="B447:W447">INT($Z$163:$AU$163*0.9)</f>
        <v>51</v>
      </c>
      <c r="C447" s="155">
        <v>51</v>
      </c>
      <c r="D447" s="155">
        <v>51</v>
      </c>
      <c r="E447" s="155">
        <v>51</v>
      </c>
      <c r="F447" s="155">
        <v>45</v>
      </c>
      <c r="G447" s="155">
        <v>38</v>
      </c>
      <c r="H447" s="155">
        <v>36</v>
      </c>
      <c r="I447" s="155">
        <v>33</v>
      </c>
      <c r="J447" s="155">
        <v>30</v>
      </c>
      <c r="K447" s="155">
        <v>27</v>
      </c>
      <c r="L447" s="218">
        <v>21</v>
      </c>
      <c r="M447" s="155">
        <v>16</v>
      </c>
      <c r="N447" s="155">
        <v>9</v>
      </c>
      <c r="O447" s="155">
        <v>9</v>
      </c>
      <c r="P447" s="155">
        <v>9</v>
      </c>
      <c r="Q447" s="155">
        <v>9</v>
      </c>
      <c r="R447" s="155">
        <v>9</v>
      </c>
      <c r="S447" s="155">
        <v>9</v>
      </c>
      <c r="T447" s="155">
        <v>9</v>
      </c>
      <c r="U447" s="155">
        <v>9</v>
      </c>
      <c r="V447" s="155">
        <v>9</v>
      </c>
      <c r="W447" s="155">
        <v>9</v>
      </c>
    </row>
    <row r="448" spans="1:23" ht="22.5">
      <c r="A448" s="219" t="s">
        <v>73</v>
      </c>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row>
    <row r="449" spans="1:23" ht="15">
      <c r="A449" s="145" t="s">
        <v>322</v>
      </c>
      <c r="B449" s="220"/>
      <c r="C449" s="220"/>
      <c r="D449" s="220"/>
      <c r="E449" s="220"/>
      <c r="F449" s="220"/>
      <c r="G449" s="220"/>
      <c r="H449" s="220"/>
      <c r="I449" s="220"/>
      <c r="J449" s="220"/>
      <c r="K449" s="220"/>
      <c r="L449" s="220"/>
      <c r="M449" s="220"/>
      <c r="N449" s="220"/>
      <c r="O449" s="220"/>
      <c r="P449" s="220"/>
      <c r="Q449" s="220"/>
      <c r="R449" s="220"/>
      <c r="S449" s="220"/>
      <c r="T449" s="220"/>
      <c r="U449" s="220"/>
      <c r="V449" s="220"/>
      <c r="W449" s="220"/>
    </row>
    <row r="450" spans="1:23" ht="15">
      <c r="A450" s="222" t="s">
        <v>323</v>
      </c>
      <c r="B450" s="151" t="s">
        <v>24</v>
      </c>
      <c r="C450" s="151" t="s">
        <v>25</v>
      </c>
      <c r="D450" s="151" t="s">
        <v>26</v>
      </c>
      <c r="E450" s="151" t="s">
        <v>27</v>
      </c>
      <c r="F450" s="151" t="s">
        <v>28</v>
      </c>
      <c r="G450" s="151" t="s">
        <v>74</v>
      </c>
      <c r="H450" s="151" t="s">
        <v>75</v>
      </c>
      <c r="I450" s="151" t="s">
        <v>76</v>
      </c>
      <c r="J450" s="151" t="s">
        <v>77</v>
      </c>
      <c r="K450" s="151" t="s">
        <v>78</v>
      </c>
      <c r="L450" s="151" t="s">
        <v>79</v>
      </c>
      <c r="M450" s="151" t="s">
        <v>80</v>
      </c>
      <c r="N450" s="16" t="s">
        <v>81</v>
      </c>
      <c r="O450" s="16" t="s">
        <v>82</v>
      </c>
      <c r="P450" s="16" t="s">
        <v>83</v>
      </c>
      <c r="Q450" s="16" t="s">
        <v>84</v>
      </c>
      <c r="R450" s="151" t="s">
        <v>85</v>
      </c>
      <c r="S450" s="16" t="s">
        <v>86</v>
      </c>
      <c r="T450" s="16" t="s">
        <v>87</v>
      </c>
      <c r="U450" s="16" t="s">
        <v>88</v>
      </c>
      <c r="V450" s="16" t="s">
        <v>89</v>
      </c>
      <c r="W450" s="151" t="s">
        <v>90</v>
      </c>
    </row>
    <row r="451" spans="1:23" ht="15">
      <c r="A451" s="50" t="s">
        <v>46</v>
      </c>
      <c r="B451" s="155">
        <f t="array" ref="B451:W455">INT($Z$167:$AU$171*0.9)</f>
        <v>103</v>
      </c>
      <c r="C451" s="155">
        <v>103</v>
      </c>
      <c r="D451" s="155">
        <v>103</v>
      </c>
      <c r="E451" s="155">
        <v>103</v>
      </c>
      <c r="F451" s="155">
        <v>103</v>
      </c>
      <c r="G451" s="155">
        <v>103</v>
      </c>
      <c r="H451" s="155">
        <v>103</v>
      </c>
      <c r="I451" s="155">
        <v>95</v>
      </c>
      <c r="J451" s="155">
        <v>87</v>
      </c>
      <c r="K451" s="155">
        <v>80</v>
      </c>
      <c r="L451" s="155">
        <v>72</v>
      </c>
      <c r="M451" s="155">
        <v>63</v>
      </c>
      <c r="N451" s="155">
        <v>63</v>
      </c>
      <c r="O451" s="155">
        <v>62</v>
      </c>
      <c r="P451" s="155">
        <v>61</v>
      </c>
      <c r="Q451" s="156">
        <v>61</v>
      </c>
      <c r="R451" s="156">
        <v>60</v>
      </c>
      <c r="S451" s="156">
        <v>59</v>
      </c>
      <c r="T451" s="156">
        <v>58</v>
      </c>
      <c r="U451" s="156">
        <v>57</v>
      </c>
      <c r="V451" s="156">
        <v>57</v>
      </c>
      <c r="W451" s="156">
        <v>56</v>
      </c>
    </row>
    <row r="452" spans="1:23" ht="15">
      <c r="A452" s="50" t="s">
        <v>49</v>
      </c>
      <c r="B452" s="164">
        <v>99</v>
      </c>
      <c r="C452" s="155">
        <v>99</v>
      </c>
      <c r="D452" s="155">
        <v>99</v>
      </c>
      <c r="E452" s="155">
        <v>99</v>
      </c>
      <c r="F452" s="155">
        <v>99</v>
      </c>
      <c r="G452" s="155">
        <v>99</v>
      </c>
      <c r="H452" s="155">
        <v>99</v>
      </c>
      <c r="I452" s="155">
        <v>91</v>
      </c>
      <c r="J452" s="155">
        <v>83</v>
      </c>
      <c r="K452" s="155">
        <v>76</v>
      </c>
      <c r="L452" s="155">
        <v>68</v>
      </c>
      <c r="M452" s="155">
        <v>61</v>
      </c>
      <c r="N452" s="155">
        <v>60</v>
      </c>
      <c r="O452" s="155">
        <v>59</v>
      </c>
      <c r="P452" s="155">
        <v>58</v>
      </c>
      <c r="Q452" s="156">
        <v>58</v>
      </c>
      <c r="R452" s="156">
        <v>57</v>
      </c>
      <c r="S452" s="156">
        <v>56</v>
      </c>
      <c r="T452" s="156">
        <v>55</v>
      </c>
      <c r="U452" s="156">
        <v>55</v>
      </c>
      <c r="V452" s="156">
        <v>54</v>
      </c>
      <c r="W452" s="156">
        <v>54</v>
      </c>
    </row>
    <row r="453" spans="1:23" ht="15">
      <c r="A453" s="50" t="s">
        <v>52</v>
      </c>
      <c r="B453" s="164">
        <v>96</v>
      </c>
      <c r="C453" s="155">
        <v>96</v>
      </c>
      <c r="D453" s="155">
        <v>96</v>
      </c>
      <c r="E453" s="155">
        <v>96</v>
      </c>
      <c r="F453" s="155">
        <v>96</v>
      </c>
      <c r="G453" s="155">
        <v>96</v>
      </c>
      <c r="H453" s="155">
        <v>96</v>
      </c>
      <c r="I453" s="155">
        <v>89</v>
      </c>
      <c r="J453" s="155">
        <v>81</v>
      </c>
      <c r="K453" s="155">
        <v>73</v>
      </c>
      <c r="L453" s="155">
        <v>67</v>
      </c>
      <c r="M453" s="155">
        <v>59</v>
      </c>
      <c r="N453" s="155">
        <v>58</v>
      </c>
      <c r="O453" s="155">
        <v>57</v>
      </c>
      <c r="P453" s="155">
        <v>57</v>
      </c>
      <c r="Q453" s="156">
        <v>56</v>
      </c>
      <c r="R453" s="156">
        <v>55</v>
      </c>
      <c r="S453" s="156">
        <v>54</v>
      </c>
      <c r="T453" s="156">
        <v>54</v>
      </c>
      <c r="U453" s="156">
        <v>54</v>
      </c>
      <c r="V453" s="156">
        <v>53</v>
      </c>
      <c r="W453" s="156">
        <v>52</v>
      </c>
    </row>
    <row r="454" spans="1:23" ht="15">
      <c r="A454" s="50" t="s">
        <v>383</v>
      </c>
      <c r="B454" s="155">
        <v>89</v>
      </c>
      <c r="C454" s="155">
        <v>89</v>
      </c>
      <c r="D454" s="155">
        <v>89</v>
      </c>
      <c r="E454" s="155">
        <v>89</v>
      </c>
      <c r="F454" s="155">
        <v>89</v>
      </c>
      <c r="G454" s="155">
        <v>89</v>
      </c>
      <c r="H454" s="155">
        <v>89</v>
      </c>
      <c r="I454" s="155">
        <v>81</v>
      </c>
      <c r="J454" s="155">
        <v>75</v>
      </c>
      <c r="K454" s="155">
        <v>68</v>
      </c>
      <c r="L454" s="155">
        <v>62</v>
      </c>
      <c r="M454" s="155">
        <v>54</v>
      </c>
      <c r="N454" s="155">
        <v>54</v>
      </c>
      <c r="O454" s="155">
        <v>54</v>
      </c>
      <c r="P454" s="155">
        <v>53</v>
      </c>
      <c r="Q454" s="155">
        <v>52</v>
      </c>
      <c r="R454" s="155">
        <v>51</v>
      </c>
      <c r="S454" s="155">
        <v>51</v>
      </c>
      <c r="T454" s="155">
        <v>50</v>
      </c>
      <c r="U454" s="155">
        <v>49</v>
      </c>
      <c r="V454" s="155">
        <v>49</v>
      </c>
      <c r="W454" s="155">
        <v>48</v>
      </c>
    </row>
    <row r="455" spans="1:23" ht="15">
      <c r="A455" s="8" t="s">
        <v>64</v>
      </c>
      <c r="B455" s="155">
        <v>87</v>
      </c>
      <c r="C455" s="155">
        <v>87</v>
      </c>
      <c r="D455" s="155">
        <v>87</v>
      </c>
      <c r="E455" s="155">
        <v>87</v>
      </c>
      <c r="F455" s="155">
        <v>87</v>
      </c>
      <c r="G455" s="155">
        <v>87</v>
      </c>
      <c r="H455" s="155">
        <v>87</v>
      </c>
      <c r="I455" s="155">
        <v>80</v>
      </c>
      <c r="J455" s="155">
        <v>73</v>
      </c>
      <c r="K455" s="155">
        <v>67</v>
      </c>
      <c r="L455" s="155">
        <v>60</v>
      </c>
      <c r="M455" s="155">
        <v>54</v>
      </c>
      <c r="N455" s="155">
        <v>53</v>
      </c>
      <c r="O455" s="155">
        <v>52</v>
      </c>
      <c r="P455" s="155">
        <v>52</v>
      </c>
      <c r="Q455" s="155">
        <v>51</v>
      </c>
      <c r="R455" s="155">
        <v>50</v>
      </c>
      <c r="S455" s="155">
        <v>50</v>
      </c>
      <c r="T455" s="155">
        <v>49</v>
      </c>
      <c r="U455" s="155">
        <v>48</v>
      </c>
      <c r="V455" s="155">
        <v>48</v>
      </c>
      <c r="W455" s="155">
        <v>47</v>
      </c>
    </row>
    <row r="456" spans="1:23" ht="15">
      <c r="A456" s="150" t="s">
        <v>328</v>
      </c>
      <c r="B456" s="151" t="s">
        <v>24</v>
      </c>
      <c r="C456" s="151" t="s">
        <v>25</v>
      </c>
      <c r="D456" s="151" t="s">
        <v>26</v>
      </c>
      <c r="E456" s="151" t="s">
        <v>27</v>
      </c>
      <c r="F456" s="151" t="s">
        <v>28</v>
      </c>
      <c r="G456" s="151" t="s">
        <v>74</v>
      </c>
      <c r="H456" s="151" t="s">
        <v>75</v>
      </c>
      <c r="I456" s="151" t="s">
        <v>76</v>
      </c>
      <c r="J456" s="151" t="s">
        <v>77</v>
      </c>
      <c r="K456" s="151" t="s">
        <v>78</v>
      </c>
      <c r="L456" s="151" t="s">
        <v>79</v>
      </c>
      <c r="M456" s="151" t="s">
        <v>80</v>
      </c>
      <c r="N456" s="16" t="s">
        <v>81</v>
      </c>
      <c r="O456" s="16" t="s">
        <v>82</v>
      </c>
      <c r="P456" s="16" t="s">
        <v>83</v>
      </c>
      <c r="Q456" s="16" t="s">
        <v>84</v>
      </c>
      <c r="R456" s="151" t="s">
        <v>85</v>
      </c>
      <c r="S456" s="16" t="s">
        <v>86</v>
      </c>
      <c r="T456" s="16" t="s">
        <v>87</v>
      </c>
      <c r="U456" s="16" t="s">
        <v>88</v>
      </c>
      <c r="V456" s="16" t="s">
        <v>89</v>
      </c>
      <c r="W456" s="151" t="s">
        <v>90</v>
      </c>
    </row>
    <row r="457" spans="1:23" ht="15">
      <c r="A457" s="50" t="s">
        <v>47</v>
      </c>
      <c r="B457" s="155">
        <f t="array" ref="B457:W460">INT($Z$173:$AU$176*0.9)</f>
        <v>103</v>
      </c>
      <c r="C457" s="155">
        <v>103</v>
      </c>
      <c r="D457" s="155">
        <v>103</v>
      </c>
      <c r="E457" s="155">
        <v>103</v>
      </c>
      <c r="F457" s="155">
        <v>103</v>
      </c>
      <c r="G457" s="155">
        <v>103</v>
      </c>
      <c r="H457" s="155">
        <v>103</v>
      </c>
      <c r="I457" s="155">
        <v>90</v>
      </c>
      <c r="J457" s="155">
        <v>75</v>
      </c>
      <c r="K457" s="155">
        <v>61</v>
      </c>
      <c r="L457" s="155">
        <v>51</v>
      </c>
      <c r="M457" s="155">
        <v>51</v>
      </c>
      <c r="N457" s="155">
        <v>51</v>
      </c>
      <c r="O457" s="155">
        <v>51</v>
      </c>
      <c r="P457" s="155">
        <v>51</v>
      </c>
      <c r="Q457" s="155">
        <v>51</v>
      </c>
      <c r="R457" s="155">
        <v>51</v>
      </c>
      <c r="S457" s="155">
        <v>51</v>
      </c>
      <c r="T457" s="155">
        <v>51</v>
      </c>
      <c r="U457" s="155">
        <v>51</v>
      </c>
      <c r="V457" s="155">
        <v>51</v>
      </c>
      <c r="W457" s="155">
        <v>51</v>
      </c>
    </row>
    <row r="458" spans="1:23" ht="15">
      <c r="A458" s="8" t="s">
        <v>50</v>
      </c>
      <c r="B458" s="164">
        <v>87</v>
      </c>
      <c r="C458" s="155">
        <v>87</v>
      </c>
      <c r="D458" s="155">
        <v>87</v>
      </c>
      <c r="E458" s="155">
        <v>87</v>
      </c>
      <c r="F458" s="155">
        <v>87</v>
      </c>
      <c r="G458" s="155">
        <v>87</v>
      </c>
      <c r="H458" s="155">
        <v>87</v>
      </c>
      <c r="I458" s="155">
        <v>75</v>
      </c>
      <c r="J458" s="155">
        <v>63</v>
      </c>
      <c r="K458" s="155">
        <v>51</v>
      </c>
      <c r="L458" s="155">
        <v>44</v>
      </c>
      <c r="M458" s="155">
        <v>44</v>
      </c>
      <c r="N458" s="155">
        <v>44</v>
      </c>
      <c r="O458" s="155">
        <v>44</v>
      </c>
      <c r="P458" s="155">
        <v>44</v>
      </c>
      <c r="Q458" s="155">
        <v>44</v>
      </c>
      <c r="R458" s="155">
        <v>44</v>
      </c>
      <c r="S458" s="155">
        <v>44</v>
      </c>
      <c r="T458" s="155">
        <v>44</v>
      </c>
      <c r="U458" s="155">
        <v>44</v>
      </c>
      <c r="V458" s="155">
        <v>44</v>
      </c>
      <c r="W458" s="155">
        <v>44</v>
      </c>
    </row>
    <row r="459" spans="1:23" ht="15">
      <c r="A459" s="224" t="s">
        <v>384</v>
      </c>
      <c r="B459" s="155">
        <v>85</v>
      </c>
      <c r="C459" s="155">
        <v>85</v>
      </c>
      <c r="D459" s="155">
        <v>85</v>
      </c>
      <c r="E459" s="155">
        <v>85</v>
      </c>
      <c r="F459" s="155">
        <v>85</v>
      </c>
      <c r="G459" s="155">
        <v>85</v>
      </c>
      <c r="H459" s="155">
        <v>85</v>
      </c>
      <c r="I459" s="155">
        <v>73</v>
      </c>
      <c r="J459" s="155">
        <v>62</v>
      </c>
      <c r="K459" s="155">
        <v>50</v>
      </c>
      <c r="L459" s="155">
        <v>43</v>
      </c>
      <c r="M459" s="155">
        <v>42</v>
      </c>
      <c r="N459" s="155">
        <v>42</v>
      </c>
      <c r="O459" s="155">
        <v>42</v>
      </c>
      <c r="P459" s="155">
        <v>42</v>
      </c>
      <c r="Q459" s="155">
        <v>42</v>
      </c>
      <c r="R459" s="155">
        <v>42</v>
      </c>
      <c r="S459" s="155">
        <v>42</v>
      </c>
      <c r="T459" s="155">
        <v>42</v>
      </c>
      <c r="U459" s="155">
        <v>42</v>
      </c>
      <c r="V459" s="155">
        <v>42</v>
      </c>
      <c r="W459" s="155">
        <v>42</v>
      </c>
    </row>
    <row r="460" spans="1:23" ht="15">
      <c r="A460" s="50" t="s">
        <v>332</v>
      </c>
      <c r="B460" s="155">
        <v>84</v>
      </c>
      <c r="C460" s="155">
        <v>84</v>
      </c>
      <c r="D460" s="155">
        <v>84</v>
      </c>
      <c r="E460" s="155">
        <v>84</v>
      </c>
      <c r="F460" s="155">
        <v>84</v>
      </c>
      <c r="G460" s="155">
        <v>84</v>
      </c>
      <c r="H460" s="155">
        <v>84</v>
      </c>
      <c r="I460" s="155">
        <v>72</v>
      </c>
      <c r="J460" s="155">
        <v>61</v>
      </c>
      <c r="K460" s="155">
        <v>50</v>
      </c>
      <c r="L460" s="155">
        <v>42</v>
      </c>
      <c r="M460" s="155">
        <v>42</v>
      </c>
      <c r="N460" s="155">
        <v>42</v>
      </c>
      <c r="O460" s="155">
        <v>42</v>
      </c>
      <c r="P460" s="155">
        <v>42</v>
      </c>
      <c r="Q460" s="155">
        <v>42</v>
      </c>
      <c r="R460" s="155">
        <v>42</v>
      </c>
      <c r="S460" s="155">
        <v>42</v>
      </c>
      <c r="T460" s="155">
        <v>42</v>
      </c>
      <c r="U460" s="155">
        <v>42</v>
      </c>
      <c r="V460" s="155">
        <v>42</v>
      </c>
      <c r="W460" s="155">
        <v>42</v>
      </c>
    </row>
    <row r="461" spans="1:23" ht="15">
      <c r="A461" s="145" t="s">
        <v>338</v>
      </c>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row>
    <row r="462" spans="1:23" ht="15">
      <c r="A462" s="150" t="s">
        <v>323</v>
      </c>
      <c r="B462" s="151" t="s">
        <v>24</v>
      </c>
      <c r="C462" s="151" t="s">
        <v>25</v>
      </c>
      <c r="D462" s="151" t="s">
        <v>26</v>
      </c>
      <c r="E462" s="151" t="s">
        <v>27</v>
      </c>
      <c r="F462" s="151" t="s">
        <v>28</v>
      </c>
      <c r="G462" s="151" t="s">
        <v>74</v>
      </c>
      <c r="H462" s="151" t="s">
        <v>75</v>
      </c>
      <c r="I462" s="151" t="s">
        <v>76</v>
      </c>
      <c r="J462" s="151" t="s">
        <v>77</v>
      </c>
      <c r="K462" s="151" t="s">
        <v>78</v>
      </c>
      <c r="L462" s="151" t="s">
        <v>79</v>
      </c>
      <c r="M462" s="151" t="s">
        <v>80</v>
      </c>
      <c r="N462" s="16" t="s">
        <v>81</v>
      </c>
      <c r="O462" s="16" t="s">
        <v>82</v>
      </c>
      <c r="P462" s="16" t="s">
        <v>83</v>
      </c>
      <c r="Q462" s="16" t="s">
        <v>84</v>
      </c>
      <c r="R462" s="151" t="s">
        <v>85</v>
      </c>
      <c r="S462" s="16" t="s">
        <v>86</v>
      </c>
      <c r="T462" s="16" t="s">
        <v>87</v>
      </c>
      <c r="U462" s="16" t="s">
        <v>88</v>
      </c>
      <c r="V462" s="16" t="s">
        <v>89</v>
      </c>
      <c r="W462" s="151" t="s">
        <v>90</v>
      </c>
    </row>
    <row r="463" spans="1:23" ht="15">
      <c r="A463" s="50" t="s">
        <v>387</v>
      </c>
      <c r="B463" s="155">
        <f t="array" ref="B463:W468">INT($Z$179:$AU$184*0.9)</f>
        <v>100</v>
      </c>
      <c r="C463" s="155">
        <v>100</v>
      </c>
      <c r="D463" s="155">
        <v>100</v>
      </c>
      <c r="E463" s="155">
        <v>100</v>
      </c>
      <c r="F463" s="155">
        <v>100</v>
      </c>
      <c r="G463" s="155">
        <v>97</v>
      </c>
      <c r="H463" s="155">
        <v>93</v>
      </c>
      <c r="I463" s="155">
        <v>86</v>
      </c>
      <c r="J463" s="155">
        <v>79</v>
      </c>
      <c r="K463" s="155">
        <v>72</v>
      </c>
      <c r="L463" s="155">
        <v>64</v>
      </c>
      <c r="M463" s="155">
        <v>61</v>
      </c>
      <c r="N463" s="155">
        <v>58</v>
      </c>
      <c r="O463" s="155">
        <v>55</v>
      </c>
      <c r="P463" s="155">
        <v>53</v>
      </c>
      <c r="Q463" s="155">
        <v>53</v>
      </c>
      <c r="R463" s="155">
        <v>53</v>
      </c>
      <c r="S463" s="155">
        <v>53</v>
      </c>
      <c r="T463" s="155">
        <v>53</v>
      </c>
      <c r="U463" s="155">
        <v>53</v>
      </c>
      <c r="V463" s="155">
        <v>53</v>
      </c>
      <c r="W463" s="155">
        <v>53</v>
      </c>
    </row>
    <row r="464" spans="1:23" ht="15">
      <c r="A464" s="50" t="s">
        <v>118</v>
      </c>
      <c r="B464" s="155">
        <v>90</v>
      </c>
      <c r="C464" s="155">
        <v>90</v>
      </c>
      <c r="D464" s="155">
        <v>90</v>
      </c>
      <c r="E464" s="155">
        <v>90</v>
      </c>
      <c r="F464" s="155">
        <v>90</v>
      </c>
      <c r="G464" s="155">
        <v>86</v>
      </c>
      <c r="H464" s="155">
        <v>83</v>
      </c>
      <c r="I464" s="155">
        <v>76</v>
      </c>
      <c r="J464" s="155">
        <v>70</v>
      </c>
      <c r="K464" s="155">
        <v>63</v>
      </c>
      <c r="L464" s="155">
        <v>57</v>
      </c>
      <c r="M464" s="155">
        <v>54</v>
      </c>
      <c r="N464" s="155">
        <v>52</v>
      </c>
      <c r="O464" s="155">
        <v>49</v>
      </c>
      <c r="P464" s="155">
        <v>47</v>
      </c>
      <c r="Q464" s="155">
        <v>46</v>
      </c>
      <c r="R464" s="156">
        <v>46</v>
      </c>
      <c r="S464" s="156">
        <v>46</v>
      </c>
      <c r="T464" s="156">
        <v>46</v>
      </c>
      <c r="U464" s="156">
        <v>46</v>
      </c>
      <c r="V464" s="156">
        <v>46</v>
      </c>
      <c r="W464" s="156">
        <v>46</v>
      </c>
    </row>
    <row r="465" spans="1:23" ht="12.75">
      <c r="A465" s="209" t="s">
        <v>138</v>
      </c>
      <c r="B465" s="164">
        <v>87</v>
      </c>
      <c r="C465" s="155">
        <v>87</v>
      </c>
      <c r="D465" s="155">
        <v>87</v>
      </c>
      <c r="E465" s="155">
        <v>87</v>
      </c>
      <c r="F465" s="155">
        <v>87</v>
      </c>
      <c r="G465" s="155">
        <v>83</v>
      </c>
      <c r="H465" s="243">
        <v>81</v>
      </c>
      <c r="I465" s="155">
        <v>74</v>
      </c>
      <c r="J465" s="155">
        <v>68</v>
      </c>
      <c r="K465" s="155">
        <v>62</v>
      </c>
      <c r="L465" s="155">
        <v>55</v>
      </c>
      <c r="M465" s="155">
        <v>53</v>
      </c>
      <c r="N465" s="155">
        <v>50</v>
      </c>
      <c r="O465" s="155">
        <v>48</v>
      </c>
      <c r="P465" s="155">
        <v>45</v>
      </c>
      <c r="Q465" s="155">
        <v>45</v>
      </c>
      <c r="R465" s="155">
        <v>45</v>
      </c>
      <c r="S465" s="155">
        <v>45</v>
      </c>
      <c r="T465" s="155">
        <v>45</v>
      </c>
      <c r="U465" s="155">
        <v>45</v>
      </c>
      <c r="V465" s="155">
        <v>45</v>
      </c>
      <c r="W465" s="155">
        <v>45</v>
      </c>
    </row>
    <row r="466" spans="1:23" ht="15">
      <c r="A466" s="8" t="s">
        <v>388</v>
      </c>
      <c r="B466" s="218">
        <v>85</v>
      </c>
      <c r="C466" s="155">
        <v>85</v>
      </c>
      <c r="D466" s="155">
        <v>85</v>
      </c>
      <c r="E466" s="155">
        <v>85</v>
      </c>
      <c r="F466" s="155">
        <v>85</v>
      </c>
      <c r="G466" s="155">
        <v>81</v>
      </c>
      <c r="H466" s="155">
        <v>79</v>
      </c>
      <c r="I466" s="155">
        <v>72</v>
      </c>
      <c r="J466" s="155">
        <v>66</v>
      </c>
      <c r="K466" s="155">
        <v>61</v>
      </c>
      <c r="L466" s="155">
        <v>54</v>
      </c>
      <c r="M466" s="155">
        <v>52</v>
      </c>
      <c r="N466" s="155">
        <v>49</v>
      </c>
      <c r="O466" s="155">
        <v>47</v>
      </c>
      <c r="P466" s="155">
        <v>45</v>
      </c>
      <c r="Q466" s="155">
        <v>45</v>
      </c>
      <c r="R466" s="155">
        <v>45</v>
      </c>
      <c r="S466" s="155">
        <v>45</v>
      </c>
      <c r="T466" s="155">
        <v>45</v>
      </c>
      <c r="U466" s="155">
        <v>45</v>
      </c>
      <c r="V466" s="155">
        <v>45</v>
      </c>
      <c r="W466" s="155">
        <v>45</v>
      </c>
    </row>
    <row r="467" spans="1:23" ht="12.75">
      <c r="A467" s="227" t="s">
        <v>389</v>
      </c>
      <c r="B467" s="155">
        <v>83</v>
      </c>
      <c r="C467" s="155">
        <v>83</v>
      </c>
      <c r="D467" s="155">
        <v>83</v>
      </c>
      <c r="E467" s="155">
        <v>83</v>
      </c>
      <c r="F467" s="155">
        <v>83</v>
      </c>
      <c r="G467" s="155">
        <v>80</v>
      </c>
      <c r="H467" s="155">
        <v>77</v>
      </c>
      <c r="I467" s="155">
        <v>71</v>
      </c>
      <c r="J467" s="155">
        <v>65</v>
      </c>
      <c r="K467" s="155">
        <v>59</v>
      </c>
      <c r="L467" s="155">
        <v>53</v>
      </c>
      <c r="M467" s="155">
        <v>51</v>
      </c>
      <c r="N467" s="155">
        <v>48</v>
      </c>
      <c r="O467" s="155">
        <v>46</v>
      </c>
      <c r="P467" s="155">
        <v>44</v>
      </c>
      <c r="Q467" s="155">
        <v>44</v>
      </c>
      <c r="R467" s="155">
        <v>44</v>
      </c>
      <c r="S467" s="155">
        <v>44</v>
      </c>
      <c r="T467" s="155">
        <v>44</v>
      </c>
      <c r="U467" s="155">
        <v>44</v>
      </c>
      <c r="V467" s="155">
        <v>44</v>
      </c>
      <c r="W467" s="155">
        <v>44</v>
      </c>
    </row>
    <row r="468" spans="1:23" ht="15">
      <c r="A468" s="50" t="s">
        <v>148</v>
      </c>
      <c r="B468" s="155">
        <v>81</v>
      </c>
      <c r="C468" s="155">
        <v>81</v>
      </c>
      <c r="D468" s="155">
        <v>81</v>
      </c>
      <c r="E468" s="155">
        <v>81</v>
      </c>
      <c r="F468" s="155">
        <v>81</v>
      </c>
      <c r="G468" s="155">
        <v>79</v>
      </c>
      <c r="H468" s="155">
        <v>75</v>
      </c>
      <c r="I468" s="155">
        <v>70</v>
      </c>
      <c r="J468" s="155">
        <v>63</v>
      </c>
      <c r="K468" s="155">
        <v>58</v>
      </c>
      <c r="L468" s="155">
        <v>52</v>
      </c>
      <c r="M468" s="155">
        <v>49</v>
      </c>
      <c r="N468" s="155">
        <v>47</v>
      </c>
      <c r="O468" s="155">
        <v>45</v>
      </c>
      <c r="P468" s="155">
        <v>43</v>
      </c>
      <c r="Q468" s="155">
        <v>43</v>
      </c>
      <c r="R468" s="155">
        <v>43</v>
      </c>
      <c r="S468" s="155">
        <v>43</v>
      </c>
      <c r="T468" s="155">
        <v>43</v>
      </c>
      <c r="U468" s="155">
        <v>43</v>
      </c>
      <c r="V468" s="155">
        <v>43</v>
      </c>
      <c r="W468" s="155">
        <v>43</v>
      </c>
    </row>
    <row r="469" spans="1:23" ht="15">
      <c r="A469" s="150" t="s">
        <v>328</v>
      </c>
      <c r="B469" s="151" t="s">
        <v>24</v>
      </c>
      <c r="C469" s="151" t="s">
        <v>25</v>
      </c>
      <c r="D469" s="151" t="s">
        <v>26</v>
      </c>
      <c r="E469" s="151" t="s">
        <v>27</v>
      </c>
      <c r="F469" s="151" t="s">
        <v>28</v>
      </c>
      <c r="G469" s="151" t="s">
        <v>74</v>
      </c>
      <c r="H469" s="151" t="s">
        <v>75</v>
      </c>
      <c r="I469" s="151" t="s">
        <v>76</v>
      </c>
      <c r="J469" s="151" t="s">
        <v>77</v>
      </c>
      <c r="K469" s="151" t="s">
        <v>78</v>
      </c>
      <c r="L469" s="151" t="s">
        <v>79</v>
      </c>
      <c r="M469" s="151" t="s">
        <v>80</v>
      </c>
      <c r="N469" s="16" t="s">
        <v>81</v>
      </c>
      <c r="O469" s="16" t="s">
        <v>82</v>
      </c>
      <c r="P469" s="16" t="s">
        <v>83</v>
      </c>
      <c r="Q469" s="16" t="s">
        <v>84</v>
      </c>
      <c r="R469" s="151" t="s">
        <v>85</v>
      </c>
      <c r="S469" s="16" t="s">
        <v>86</v>
      </c>
      <c r="T469" s="16" t="s">
        <v>87</v>
      </c>
      <c r="U469" s="16" t="s">
        <v>88</v>
      </c>
      <c r="V469" s="16" t="s">
        <v>89</v>
      </c>
      <c r="W469" s="151" t="s">
        <v>90</v>
      </c>
    </row>
    <row r="470" spans="1:23" ht="15">
      <c r="A470" s="8" t="s">
        <v>106</v>
      </c>
      <c r="B470" s="155">
        <f t="array" ref="B470:W472">INT($Z$186:$AU$188*0.9)</f>
        <v>79</v>
      </c>
      <c r="C470" s="155">
        <v>79</v>
      </c>
      <c r="D470" s="155">
        <v>79</v>
      </c>
      <c r="E470" s="155">
        <v>79</v>
      </c>
      <c r="F470" s="155">
        <v>79</v>
      </c>
      <c r="G470" s="155">
        <v>73</v>
      </c>
      <c r="H470" s="155">
        <v>67</v>
      </c>
      <c r="I470" s="155">
        <v>55</v>
      </c>
      <c r="J470" s="155">
        <v>43</v>
      </c>
      <c r="K470" s="155">
        <v>39</v>
      </c>
      <c r="L470" s="155">
        <v>39</v>
      </c>
      <c r="M470" s="155">
        <v>39</v>
      </c>
      <c r="N470" s="155">
        <v>39</v>
      </c>
      <c r="O470" s="155">
        <v>39</v>
      </c>
      <c r="P470" s="155">
        <v>39</v>
      </c>
      <c r="Q470" s="155">
        <v>39</v>
      </c>
      <c r="R470" s="155">
        <v>39</v>
      </c>
      <c r="S470" s="155">
        <v>39</v>
      </c>
      <c r="T470" s="155">
        <v>39</v>
      </c>
      <c r="U470" s="155">
        <v>39</v>
      </c>
      <c r="V470" s="155">
        <v>39</v>
      </c>
      <c r="W470" s="155">
        <v>39</v>
      </c>
    </row>
    <row r="471" spans="1:23" ht="15">
      <c r="A471" s="38" t="s">
        <v>108</v>
      </c>
      <c r="B471" s="155">
        <v>76</v>
      </c>
      <c r="C471" s="155">
        <v>76</v>
      </c>
      <c r="D471" s="155">
        <v>76</v>
      </c>
      <c r="E471" s="155">
        <v>76</v>
      </c>
      <c r="F471" s="155">
        <v>76</v>
      </c>
      <c r="G471" s="155">
        <v>71</v>
      </c>
      <c r="H471" s="155">
        <v>64</v>
      </c>
      <c r="I471" s="155">
        <v>54</v>
      </c>
      <c r="J471" s="155">
        <v>42</v>
      </c>
      <c r="K471" s="155">
        <v>37</v>
      </c>
      <c r="L471" s="155">
        <v>37</v>
      </c>
      <c r="M471" s="155">
        <v>37</v>
      </c>
      <c r="N471" s="155">
        <v>37</v>
      </c>
      <c r="O471" s="155">
        <v>37</v>
      </c>
      <c r="P471" s="155">
        <v>37</v>
      </c>
      <c r="Q471" s="155">
        <v>37</v>
      </c>
      <c r="R471" s="155">
        <v>37</v>
      </c>
      <c r="S471" s="155">
        <v>37</v>
      </c>
      <c r="T471" s="155">
        <v>37</v>
      </c>
      <c r="U471" s="155">
        <v>37</v>
      </c>
      <c r="V471" s="155">
        <v>37</v>
      </c>
      <c r="W471" s="155">
        <v>37</v>
      </c>
    </row>
    <row r="472" spans="1:23" ht="15">
      <c r="A472" s="8" t="s">
        <v>391</v>
      </c>
      <c r="B472" s="155">
        <v>74</v>
      </c>
      <c r="C472" s="155">
        <v>74</v>
      </c>
      <c r="D472" s="155">
        <v>74</v>
      </c>
      <c r="E472" s="155">
        <v>74</v>
      </c>
      <c r="F472" s="155">
        <v>74</v>
      </c>
      <c r="G472" s="155">
        <v>69</v>
      </c>
      <c r="H472" s="155">
        <v>63</v>
      </c>
      <c r="I472" s="155">
        <v>52</v>
      </c>
      <c r="J472" s="155">
        <v>41</v>
      </c>
      <c r="K472" s="155">
        <v>36</v>
      </c>
      <c r="L472" s="155">
        <v>36</v>
      </c>
      <c r="M472" s="155">
        <v>36</v>
      </c>
      <c r="N472" s="155">
        <v>36</v>
      </c>
      <c r="O472" s="155">
        <v>36</v>
      </c>
      <c r="P472" s="155">
        <v>36</v>
      </c>
      <c r="Q472" s="155">
        <v>36</v>
      </c>
      <c r="R472" s="155">
        <v>36</v>
      </c>
      <c r="S472" s="155">
        <v>36</v>
      </c>
      <c r="T472" s="155">
        <v>36</v>
      </c>
      <c r="U472" s="155">
        <v>36</v>
      </c>
      <c r="V472" s="155">
        <v>36</v>
      </c>
      <c r="W472" s="155">
        <v>36</v>
      </c>
    </row>
    <row r="473" spans="1:23" ht="15">
      <c r="A473" s="145" t="s">
        <v>340</v>
      </c>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row>
    <row r="474" spans="1:23" ht="15">
      <c r="A474" s="150" t="s">
        <v>323</v>
      </c>
      <c r="B474" s="151" t="s">
        <v>24</v>
      </c>
      <c r="C474" s="151" t="s">
        <v>25</v>
      </c>
      <c r="D474" s="151" t="s">
        <v>26</v>
      </c>
      <c r="E474" s="151" t="s">
        <v>27</v>
      </c>
      <c r="F474" s="151" t="s">
        <v>28</v>
      </c>
      <c r="G474" s="151" t="s">
        <v>74</v>
      </c>
      <c r="H474" s="151" t="s">
        <v>75</v>
      </c>
      <c r="I474" s="151" t="s">
        <v>76</v>
      </c>
      <c r="J474" s="151" t="s">
        <v>77</v>
      </c>
      <c r="K474" s="151" t="s">
        <v>78</v>
      </c>
      <c r="L474" s="151" t="s">
        <v>79</v>
      </c>
      <c r="M474" s="151" t="s">
        <v>80</v>
      </c>
      <c r="N474" s="16" t="s">
        <v>81</v>
      </c>
      <c r="O474" s="16" t="s">
        <v>82</v>
      </c>
      <c r="P474" s="16" t="s">
        <v>83</v>
      </c>
      <c r="Q474" s="16" t="s">
        <v>84</v>
      </c>
      <c r="R474" s="151" t="s">
        <v>85</v>
      </c>
      <c r="S474" s="16" t="s">
        <v>86</v>
      </c>
      <c r="T474" s="16" t="s">
        <v>87</v>
      </c>
      <c r="U474" s="16" t="s">
        <v>88</v>
      </c>
      <c r="V474" s="16" t="s">
        <v>89</v>
      </c>
      <c r="W474" s="151" t="s">
        <v>90</v>
      </c>
    </row>
    <row r="475" spans="1:23" ht="15">
      <c r="A475" s="8" t="s">
        <v>392</v>
      </c>
      <c r="B475" s="155">
        <f t="array" ref="B475:W477">INT($Z$191:$AU$193*0.9)</f>
        <v>78</v>
      </c>
      <c r="C475" s="155">
        <v>78</v>
      </c>
      <c r="D475" s="155">
        <v>78</v>
      </c>
      <c r="E475" s="155">
        <v>72</v>
      </c>
      <c r="F475" s="155">
        <v>68</v>
      </c>
      <c r="G475" s="155">
        <v>63</v>
      </c>
      <c r="H475" s="155">
        <v>58</v>
      </c>
      <c r="I475" s="155">
        <v>48</v>
      </c>
      <c r="J475" s="155">
        <v>46</v>
      </c>
      <c r="K475" s="155">
        <v>45</v>
      </c>
      <c r="L475" s="155">
        <v>43</v>
      </c>
      <c r="M475" s="155">
        <v>41</v>
      </c>
      <c r="N475" s="155">
        <v>41</v>
      </c>
      <c r="O475" s="155">
        <v>41</v>
      </c>
      <c r="P475" s="155">
        <v>41</v>
      </c>
      <c r="Q475" s="155">
        <v>41</v>
      </c>
      <c r="R475" s="155">
        <v>41</v>
      </c>
      <c r="S475" s="155">
        <v>41</v>
      </c>
      <c r="T475" s="155">
        <v>41</v>
      </c>
      <c r="U475" s="155">
        <v>41</v>
      </c>
      <c r="V475" s="155">
        <v>41</v>
      </c>
      <c r="W475" s="155">
        <v>41</v>
      </c>
    </row>
    <row r="476" spans="1:23" ht="12.75">
      <c r="A476" s="229" t="s">
        <v>393</v>
      </c>
      <c r="B476" s="155">
        <v>76</v>
      </c>
      <c r="C476" s="155">
        <v>76</v>
      </c>
      <c r="D476" s="155">
        <v>76</v>
      </c>
      <c r="E476" s="155">
        <v>72</v>
      </c>
      <c r="F476" s="155">
        <v>66</v>
      </c>
      <c r="G476" s="155">
        <v>62</v>
      </c>
      <c r="H476" s="155">
        <v>56</v>
      </c>
      <c r="I476" s="155">
        <v>47</v>
      </c>
      <c r="J476" s="155">
        <v>45</v>
      </c>
      <c r="K476" s="155">
        <v>44</v>
      </c>
      <c r="L476" s="155">
        <v>42</v>
      </c>
      <c r="M476" s="155">
        <v>40</v>
      </c>
      <c r="N476" s="155">
        <v>40</v>
      </c>
      <c r="O476" s="155">
        <v>40</v>
      </c>
      <c r="P476" s="155">
        <v>40</v>
      </c>
      <c r="Q476" s="155">
        <v>40</v>
      </c>
      <c r="R476" s="155">
        <v>40</v>
      </c>
      <c r="S476" s="155">
        <v>40</v>
      </c>
      <c r="T476" s="155">
        <v>40</v>
      </c>
      <c r="U476" s="155">
        <v>40</v>
      </c>
      <c r="V476" s="155">
        <v>40</v>
      </c>
      <c r="W476" s="155">
        <v>40</v>
      </c>
    </row>
    <row r="477" spans="1:23" ht="12.75">
      <c r="A477" s="189" t="s">
        <v>394</v>
      </c>
      <c r="B477" s="155">
        <v>74</v>
      </c>
      <c r="C477" s="155">
        <v>74</v>
      </c>
      <c r="D477" s="155">
        <v>74</v>
      </c>
      <c r="E477" s="155">
        <v>70</v>
      </c>
      <c r="F477" s="155">
        <v>64</v>
      </c>
      <c r="G477" s="155">
        <v>60</v>
      </c>
      <c r="H477" s="155">
        <v>55</v>
      </c>
      <c r="I477" s="155">
        <v>45</v>
      </c>
      <c r="J477" s="155">
        <v>44</v>
      </c>
      <c r="K477" s="155">
        <v>42</v>
      </c>
      <c r="L477" s="155">
        <v>40</v>
      </c>
      <c r="M477" s="155">
        <v>39</v>
      </c>
      <c r="N477" s="155">
        <v>38</v>
      </c>
      <c r="O477" s="155">
        <v>38</v>
      </c>
      <c r="P477" s="155">
        <v>38</v>
      </c>
      <c r="Q477" s="155">
        <v>38</v>
      </c>
      <c r="R477" s="155">
        <v>38</v>
      </c>
      <c r="S477" s="155">
        <v>38</v>
      </c>
      <c r="T477" s="155">
        <v>38</v>
      </c>
      <c r="U477" s="155">
        <v>38</v>
      </c>
      <c r="V477" s="155">
        <v>38</v>
      </c>
      <c r="W477" s="155">
        <v>38</v>
      </c>
    </row>
    <row r="478" spans="1:23" ht="15">
      <c r="A478" s="150" t="s">
        <v>328</v>
      </c>
      <c r="B478" s="151" t="s">
        <v>24</v>
      </c>
      <c r="C478" s="151" t="s">
        <v>25</v>
      </c>
      <c r="D478" s="151" t="s">
        <v>26</v>
      </c>
      <c r="E478" s="151" t="s">
        <v>27</v>
      </c>
      <c r="F478" s="151" t="s">
        <v>28</v>
      </c>
      <c r="G478" s="151" t="s">
        <v>74</v>
      </c>
      <c r="H478" s="151" t="s">
        <v>75</v>
      </c>
      <c r="I478" s="151" t="s">
        <v>76</v>
      </c>
      <c r="J478" s="151" t="s">
        <v>77</v>
      </c>
      <c r="K478" s="151" t="s">
        <v>78</v>
      </c>
      <c r="L478" s="151" t="s">
        <v>79</v>
      </c>
      <c r="M478" s="151" t="s">
        <v>80</v>
      </c>
      <c r="N478" s="16" t="s">
        <v>81</v>
      </c>
      <c r="O478" s="16" t="s">
        <v>82</v>
      </c>
      <c r="P478" s="16" t="s">
        <v>83</v>
      </c>
      <c r="Q478" s="16" t="s">
        <v>84</v>
      </c>
      <c r="R478" s="151" t="s">
        <v>85</v>
      </c>
      <c r="S478" s="16" t="s">
        <v>86</v>
      </c>
      <c r="T478" s="16" t="s">
        <v>87</v>
      </c>
      <c r="U478" s="16" t="s">
        <v>88</v>
      </c>
      <c r="V478" s="16" t="s">
        <v>89</v>
      </c>
      <c r="W478" s="151" t="s">
        <v>90</v>
      </c>
    </row>
    <row r="479" spans="1:23" ht="12.75">
      <c r="A479" s="41" t="s">
        <v>396</v>
      </c>
      <c r="B479" s="155">
        <f t="array" ref="B479:W480">INT($Z$195:$AU$196*0.9)</f>
        <v>72</v>
      </c>
      <c r="C479" s="155">
        <v>72</v>
      </c>
      <c r="D479" s="155">
        <v>72</v>
      </c>
      <c r="E479" s="155">
        <v>66</v>
      </c>
      <c r="F479" s="155">
        <v>61</v>
      </c>
      <c r="G479" s="155">
        <v>55</v>
      </c>
      <c r="H479" s="155">
        <v>50</v>
      </c>
      <c r="I479" s="155">
        <v>39</v>
      </c>
      <c r="J479" s="155">
        <v>36</v>
      </c>
      <c r="K479" s="155">
        <v>36</v>
      </c>
      <c r="L479" s="155">
        <v>36</v>
      </c>
      <c r="M479" s="155">
        <v>36</v>
      </c>
      <c r="N479" s="155">
        <v>36</v>
      </c>
      <c r="O479" s="155">
        <v>36</v>
      </c>
      <c r="P479" s="155">
        <v>36</v>
      </c>
      <c r="Q479" s="155">
        <v>36</v>
      </c>
      <c r="R479" s="155">
        <v>36</v>
      </c>
      <c r="S479" s="155">
        <v>36</v>
      </c>
      <c r="T479" s="155">
        <v>36</v>
      </c>
      <c r="U479" s="155">
        <v>36</v>
      </c>
      <c r="V479" s="155">
        <v>36</v>
      </c>
      <c r="W479" s="155">
        <v>36</v>
      </c>
    </row>
    <row r="480" spans="1:23" ht="12.75">
      <c r="A480" s="41" t="s">
        <v>398</v>
      </c>
      <c r="B480" s="155">
        <v>67</v>
      </c>
      <c r="C480" s="155">
        <v>67</v>
      </c>
      <c r="D480" s="155">
        <v>67</v>
      </c>
      <c r="E480" s="155">
        <v>62</v>
      </c>
      <c r="F480" s="155">
        <v>57</v>
      </c>
      <c r="G480" s="155">
        <v>52</v>
      </c>
      <c r="H480" s="155">
        <v>47</v>
      </c>
      <c r="I480" s="155">
        <v>36</v>
      </c>
      <c r="J480" s="155">
        <v>33</v>
      </c>
      <c r="K480" s="155">
        <v>33</v>
      </c>
      <c r="L480" s="155">
        <v>33</v>
      </c>
      <c r="M480" s="155">
        <v>33</v>
      </c>
      <c r="N480" s="155">
        <v>33</v>
      </c>
      <c r="O480" s="155">
        <v>33</v>
      </c>
      <c r="P480" s="155">
        <v>33</v>
      </c>
      <c r="Q480" s="155">
        <v>33</v>
      </c>
      <c r="R480" s="155">
        <v>33</v>
      </c>
      <c r="S480" s="155">
        <v>33</v>
      </c>
      <c r="T480" s="155">
        <v>33</v>
      </c>
      <c r="U480" s="155">
        <v>33</v>
      </c>
      <c r="V480" s="155">
        <v>33</v>
      </c>
      <c r="W480" s="155">
        <v>33</v>
      </c>
    </row>
    <row r="481" spans="1:23" ht="23.25">
      <c r="A481" s="230" t="s">
        <v>400</v>
      </c>
      <c r="B481" s="220"/>
      <c r="C481" s="220"/>
      <c r="D481" s="220"/>
      <c r="E481" s="220"/>
      <c r="F481" s="220"/>
      <c r="G481" s="220"/>
      <c r="H481" s="220"/>
      <c r="I481" s="220"/>
      <c r="J481" s="220"/>
      <c r="K481" s="220"/>
      <c r="L481" s="220"/>
      <c r="M481" s="220"/>
      <c r="N481" s="220"/>
      <c r="O481" s="220"/>
      <c r="P481" s="220"/>
      <c r="Q481" s="220"/>
      <c r="R481" s="220"/>
      <c r="S481" s="220"/>
      <c r="T481" s="220"/>
      <c r="U481" s="220"/>
      <c r="V481" s="220"/>
      <c r="W481" s="220"/>
    </row>
    <row r="482" spans="1:23" ht="15">
      <c r="A482" s="150" t="s">
        <v>323</v>
      </c>
      <c r="B482" s="151" t="s">
        <v>24</v>
      </c>
      <c r="C482" s="151" t="s">
        <v>25</v>
      </c>
      <c r="D482" s="151" t="s">
        <v>26</v>
      </c>
      <c r="E482" s="151" t="s">
        <v>27</v>
      </c>
      <c r="F482" s="151" t="s">
        <v>28</v>
      </c>
      <c r="G482" s="151" t="s">
        <v>74</v>
      </c>
      <c r="H482" s="151" t="s">
        <v>75</v>
      </c>
      <c r="I482" s="151" t="s">
        <v>76</v>
      </c>
      <c r="J482" s="151" t="s">
        <v>77</v>
      </c>
      <c r="K482" s="151" t="s">
        <v>78</v>
      </c>
      <c r="L482" s="151" t="s">
        <v>79</v>
      </c>
      <c r="M482" s="151" t="s">
        <v>80</v>
      </c>
      <c r="N482" s="16" t="s">
        <v>81</v>
      </c>
      <c r="O482" s="16" t="s">
        <v>82</v>
      </c>
      <c r="P482" s="16" t="s">
        <v>83</v>
      </c>
      <c r="Q482" s="16" t="s">
        <v>84</v>
      </c>
      <c r="R482" s="151" t="s">
        <v>85</v>
      </c>
      <c r="S482" s="16" t="s">
        <v>86</v>
      </c>
      <c r="T482" s="16" t="s">
        <v>87</v>
      </c>
      <c r="U482" s="16" t="s">
        <v>88</v>
      </c>
      <c r="V482" s="16" t="s">
        <v>89</v>
      </c>
      <c r="W482" s="151" t="s">
        <v>90</v>
      </c>
    </row>
    <row r="483" spans="1:23" ht="15">
      <c r="A483" s="8" t="s">
        <v>55</v>
      </c>
      <c r="B483" s="164">
        <f t="array" ref="B483:W487">INT($Z$199:$AU$203*0.9)</f>
        <v>81</v>
      </c>
      <c r="C483" s="155">
        <v>81</v>
      </c>
      <c r="D483" s="155">
        <v>81</v>
      </c>
      <c r="E483" s="155">
        <v>81</v>
      </c>
      <c r="F483" s="155">
        <v>81</v>
      </c>
      <c r="G483" s="155">
        <v>77</v>
      </c>
      <c r="H483" s="155">
        <v>74</v>
      </c>
      <c r="I483" s="155">
        <v>68</v>
      </c>
      <c r="J483" s="155">
        <v>62</v>
      </c>
      <c r="K483" s="155">
        <v>56</v>
      </c>
      <c r="L483" s="155">
        <v>50</v>
      </c>
      <c r="M483" s="155">
        <v>49</v>
      </c>
      <c r="N483" s="155">
        <v>49</v>
      </c>
      <c r="O483" s="155">
        <v>48</v>
      </c>
      <c r="P483" s="155">
        <v>48</v>
      </c>
      <c r="Q483" s="155">
        <v>48</v>
      </c>
      <c r="R483" s="155">
        <v>47</v>
      </c>
      <c r="S483" s="155">
        <v>47</v>
      </c>
      <c r="T483" s="155">
        <v>47</v>
      </c>
      <c r="U483" s="155">
        <v>46</v>
      </c>
      <c r="V483" s="155">
        <v>46</v>
      </c>
      <c r="W483" s="155">
        <v>46</v>
      </c>
    </row>
    <row r="484" spans="1:23" ht="15">
      <c r="A484" s="50" t="s">
        <v>61</v>
      </c>
      <c r="B484" s="231">
        <v>78</v>
      </c>
      <c r="C484" s="155">
        <v>78</v>
      </c>
      <c r="D484" s="155">
        <v>78</v>
      </c>
      <c r="E484" s="155">
        <v>78</v>
      </c>
      <c r="F484" s="155">
        <v>78</v>
      </c>
      <c r="G484" s="155">
        <v>75</v>
      </c>
      <c r="H484" s="155">
        <v>72</v>
      </c>
      <c r="I484" s="155">
        <v>66</v>
      </c>
      <c r="J484" s="155">
        <v>60</v>
      </c>
      <c r="K484" s="155">
        <v>54</v>
      </c>
      <c r="L484" s="155">
        <v>48</v>
      </c>
      <c r="M484" s="155">
        <v>47</v>
      </c>
      <c r="N484" s="155">
        <v>47</v>
      </c>
      <c r="O484" s="155">
        <v>47</v>
      </c>
      <c r="P484" s="155">
        <v>46</v>
      </c>
      <c r="Q484" s="155">
        <v>46</v>
      </c>
      <c r="R484" s="155">
        <v>46</v>
      </c>
      <c r="S484" s="156">
        <v>45</v>
      </c>
      <c r="T484" s="156">
        <v>45</v>
      </c>
      <c r="U484" s="156">
        <v>45</v>
      </c>
      <c r="V484" s="156">
        <v>45</v>
      </c>
      <c r="W484" s="156">
        <v>45</v>
      </c>
    </row>
    <row r="485" spans="1:23" ht="15">
      <c r="A485" s="50" t="s">
        <v>326</v>
      </c>
      <c r="B485" s="231">
        <v>76</v>
      </c>
      <c r="C485" s="155">
        <v>76</v>
      </c>
      <c r="D485" s="155">
        <v>76</v>
      </c>
      <c r="E485" s="155">
        <v>76</v>
      </c>
      <c r="F485" s="155">
        <v>76</v>
      </c>
      <c r="G485" s="155">
        <v>73</v>
      </c>
      <c r="H485" s="155">
        <v>70</v>
      </c>
      <c r="I485" s="155">
        <v>64</v>
      </c>
      <c r="J485" s="155">
        <v>58</v>
      </c>
      <c r="K485" s="155">
        <v>53</v>
      </c>
      <c r="L485" s="155">
        <v>47</v>
      </c>
      <c r="M485" s="155">
        <v>46</v>
      </c>
      <c r="N485" s="155">
        <v>46</v>
      </c>
      <c r="O485" s="155">
        <v>45</v>
      </c>
      <c r="P485" s="155">
        <v>45</v>
      </c>
      <c r="Q485" s="156">
        <v>45</v>
      </c>
      <c r="R485" s="156">
        <v>45</v>
      </c>
      <c r="S485" s="156">
        <v>45</v>
      </c>
      <c r="T485" s="156">
        <v>45</v>
      </c>
      <c r="U485" s="156">
        <v>44</v>
      </c>
      <c r="V485" s="156">
        <v>44</v>
      </c>
      <c r="W485" s="156">
        <v>44</v>
      </c>
    </row>
    <row r="486" spans="1:23" ht="15">
      <c r="A486" s="50" t="s">
        <v>401</v>
      </c>
      <c r="B486" s="231">
        <v>75</v>
      </c>
      <c r="C486" s="155">
        <v>75</v>
      </c>
      <c r="D486" s="155">
        <v>75</v>
      </c>
      <c r="E486" s="155">
        <v>75</v>
      </c>
      <c r="F486" s="155">
        <v>75</v>
      </c>
      <c r="G486" s="155">
        <v>72</v>
      </c>
      <c r="H486" s="155">
        <v>69</v>
      </c>
      <c r="I486" s="155">
        <v>63</v>
      </c>
      <c r="J486" s="155">
        <v>58</v>
      </c>
      <c r="K486" s="155">
        <v>52</v>
      </c>
      <c r="L486" s="155">
        <v>46</v>
      </c>
      <c r="M486" s="155">
        <v>45</v>
      </c>
      <c r="N486" s="155">
        <v>45</v>
      </c>
      <c r="O486" s="155">
        <v>45</v>
      </c>
      <c r="P486" s="155">
        <v>45</v>
      </c>
      <c r="Q486" s="155">
        <v>45</v>
      </c>
      <c r="R486" s="155">
        <v>45</v>
      </c>
      <c r="S486" s="155">
        <v>44</v>
      </c>
      <c r="T486" s="155">
        <v>44</v>
      </c>
      <c r="U486" s="155">
        <v>44</v>
      </c>
      <c r="V486" s="155">
        <v>44</v>
      </c>
      <c r="W486" s="155">
        <v>43</v>
      </c>
    </row>
    <row r="487" spans="1:23" ht="15">
      <c r="A487" s="8" t="s">
        <v>402</v>
      </c>
      <c r="B487" s="231">
        <v>73</v>
      </c>
      <c r="C487" s="155">
        <v>73</v>
      </c>
      <c r="D487" s="155">
        <v>73</v>
      </c>
      <c r="E487" s="155">
        <v>73</v>
      </c>
      <c r="F487" s="155">
        <v>73</v>
      </c>
      <c r="G487" s="155">
        <v>71</v>
      </c>
      <c r="H487" s="155">
        <v>68</v>
      </c>
      <c r="I487" s="155">
        <v>62</v>
      </c>
      <c r="J487" s="155">
        <v>56</v>
      </c>
      <c r="K487" s="155">
        <v>51</v>
      </c>
      <c r="L487" s="155">
        <v>45</v>
      </c>
      <c r="M487" s="155">
        <v>45</v>
      </c>
      <c r="N487" s="155">
        <v>45</v>
      </c>
      <c r="O487" s="155">
        <v>44</v>
      </c>
      <c r="P487" s="155">
        <v>44</v>
      </c>
      <c r="Q487" s="155">
        <v>44</v>
      </c>
      <c r="R487" s="155">
        <v>44</v>
      </c>
      <c r="S487" s="155">
        <v>43</v>
      </c>
      <c r="T487" s="155">
        <v>43</v>
      </c>
      <c r="U487" s="155">
        <v>43</v>
      </c>
      <c r="V487" s="155">
        <v>42</v>
      </c>
      <c r="W487" s="155">
        <v>42</v>
      </c>
    </row>
    <row r="488" spans="1:23" ht="22.5">
      <c r="A488" s="219" t="s">
        <v>403</v>
      </c>
    </row>
    <row r="489" spans="1:23" ht="15">
      <c r="A489" s="52" t="s">
        <v>404</v>
      </c>
      <c r="B489" s="15" t="s">
        <v>121</v>
      </c>
      <c r="C489" s="15" t="s">
        <v>122</v>
      </c>
      <c r="D489" s="15" t="s">
        <v>123</v>
      </c>
      <c r="E489" s="15" t="s">
        <v>124</v>
      </c>
      <c r="F489" s="15" t="s">
        <v>125</v>
      </c>
      <c r="G489" s="15" t="s">
        <v>126</v>
      </c>
      <c r="H489" s="15" t="s">
        <v>127</v>
      </c>
      <c r="I489" s="15" t="s">
        <v>128</v>
      </c>
      <c r="J489" s="15" t="s">
        <v>129</v>
      </c>
      <c r="K489" s="15" t="s">
        <v>130</v>
      </c>
      <c r="L489" s="15" t="s">
        <v>131</v>
      </c>
      <c r="M489" s="15" t="s">
        <v>132</v>
      </c>
      <c r="N489" s="15" t="s">
        <v>24</v>
      </c>
      <c r="O489" s="15" t="s">
        <v>25</v>
      </c>
      <c r="P489" s="15" t="s">
        <v>26</v>
      </c>
      <c r="Q489" s="15" t="s">
        <v>27</v>
      </c>
      <c r="R489" s="15" t="s">
        <v>28</v>
      </c>
      <c r="S489" s="15" t="s">
        <v>74</v>
      </c>
      <c r="T489" s="15" t="s">
        <v>75</v>
      </c>
      <c r="U489" s="15" t="s">
        <v>133</v>
      </c>
      <c r="V489" s="15" t="s">
        <v>76</v>
      </c>
      <c r="W489" s="15" t="s">
        <v>134</v>
      </c>
    </row>
    <row r="490" spans="1:23" ht="15">
      <c r="A490" s="50" t="s">
        <v>405</v>
      </c>
      <c r="B490" s="164">
        <f t="array" ref="B490:W496">INT($Z$206:$AU$212*0.75)</f>
        <v>146</v>
      </c>
      <c r="C490" s="155">
        <v>141</v>
      </c>
      <c r="D490" s="155">
        <v>133</v>
      </c>
      <c r="E490" s="155">
        <v>123</v>
      </c>
      <c r="F490" s="155">
        <v>114</v>
      </c>
      <c r="G490" s="155">
        <v>105</v>
      </c>
      <c r="H490" s="155">
        <v>103</v>
      </c>
      <c r="I490" s="155">
        <v>100</v>
      </c>
      <c r="J490" s="155">
        <v>96</v>
      </c>
      <c r="K490" s="155">
        <v>93</v>
      </c>
      <c r="L490" s="155">
        <v>90</v>
      </c>
      <c r="M490" s="155">
        <v>87</v>
      </c>
      <c r="N490" s="155">
        <v>81</v>
      </c>
      <c r="O490" s="155">
        <v>75</v>
      </c>
      <c r="P490" s="155">
        <v>67</v>
      </c>
      <c r="Q490" s="155">
        <v>59</v>
      </c>
      <c r="R490" s="155">
        <v>51</v>
      </c>
      <c r="S490" s="155">
        <v>44</v>
      </c>
      <c r="T490" s="155">
        <v>42</v>
      </c>
      <c r="U490" s="155">
        <v>42</v>
      </c>
      <c r="V490" s="155">
        <v>41</v>
      </c>
      <c r="W490" s="155">
        <v>41</v>
      </c>
    </row>
    <row r="491" spans="1:23" ht="12.75">
      <c r="A491" s="232" t="s">
        <v>406</v>
      </c>
      <c r="B491" s="164">
        <v>146</v>
      </c>
      <c r="C491" s="155">
        <v>141</v>
      </c>
      <c r="D491" s="155">
        <v>133</v>
      </c>
      <c r="E491" s="155">
        <v>123</v>
      </c>
      <c r="F491" s="155">
        <v>114</v>
      </c>
      <c r="G491" s="155">
        <v>105</v>
      </c>
      <c r="H491" s="164">
        <v>103</v>
      </c>
      <c r="I491" s="155">
        <v>100</v>
      </c>
      <c r="J491" s="155">
        <v>96</v>
      </c>
      <c r="K491" s="155">
        <v>93</v>
      </c>
      <c r="L491" s="155">
        <v>90</v>
      </c>
      <c r="M491" s="155">
        <v>87</v>
      </c>
      <c r="N491" s="155">
        <v>81</v>
      </c>
      <c r="O491" s="155">
        <v>75</v>
      </c>
      <c r="P491" s="155">
        <v>67</v>
      </c>
      <c r="Q491" s="155">
        <v>59</v>
      </c>
      <c r="R491" s="155">
        <v>51</v>
      </c>
      <c r="S491" s="155">
        <v>44</v>
      </c>
      <c r="T491" s="155">
        <v>42</v>
      </c>
      <c r="U491" s="155">
        <v>42</v>
      </c>
      <c r="V491" s="155">
        <v>41</v>
      </c>
      <c r="W491" s="155">
        <v>41</v>
      </c>
    </row>
    <row r="492" spans="1:23" ht="12.75">
      <c r="A492" s="233" t="s">
        <v>407</v>
      </c>
      <c r="B492" s="234">
        <v>146</v>
      </c>
      <c r="C492" s="155">
        <v>141</v>
      </c>
      <c r="D492" s="155">
        <v>129</v>
      </c>
      <c r="E492" s="155">
        <v>120</v>
      </c>
      <c r="F492" s="155">
        <v>108</v>
      </c>
      <c r="G492" s="155">
        <v>98</v>
      </c>
      <c r="H492" s="155">
        <v>95</v>
      </c>
      <c r="I492" s="155">
        <v>92</v>
      </c>
      <c r="J492" s="155">
        <v>90</v>
      </c>
      <c r="K492" s="155">
        <v>87</v>
      </c>
      <c r="L492" s="155">
        <v>86</v>
      </c>
      <c r="M492" s="155">
        <v>84</v>
      </c>
      <c r="N492" s="155">
        <v>75</v>
      </c>
      <c r="O492" s="155">
        <v>66</v>
      </c>
      <c r="P492" s="155">
        <v>59</v>
      </c>
      <c r="Q492" s="155">
        <v>52</v>
      </c>
      <c r="R492" s="155">
        <v>45</v>
      </c>
      <c r="S492" s="155">
        <v>39</v>
      </c>
      <c r="T492" s="155">
        <v>38</v>
      </c>
      <c r="U492" s="155">
        <v>38</v>
      </c>
      <c r="V492" s="155">
        <v>37</v>
      </c>
      <c r="W492" s="155">
        <v>37</v>
      </c>
    </row>
    <row r="493" spans="1:23" ht="12.75">
      <c r="A493" s="227" t="s">
        <v>408</v>
      </c>
      <c r="B493" s="164">
        <v>146</v>
      </c>
      <c r="C493" s="155">
        <v>141</v>
      </c>
      <c r="D493" s="155">
        <v>129</v>
      </c>
      <c r="E493" s="155">
        <v>120</v>
      </c>
      <c r="F493" s="155">
        <v>108</v>
      </c>
      <c r="G493" s="155">
        <v>98</v>
      </c>
      <c r="H493" s="164">
        <v>95</v>
      </c>
      <c r="I493" s="155">
        <v>92</v>
      </c>
      <c r="J493" s="155">
        <v>90</v>
      </c>
      <c r="K493" s="155">
        <v>87</v>
      </c>
      <c r="L493" s="155">
        <v>86</v>
      </c>
      <c r="M493" s="155">
        <v>84</v>
      </c>
      <c r="N493" s="155">
        <v>75</v>
      </c>
      <c r="O493" s="155">
        <v>66</v>
      </c>
      <c r="P493" s="155">
        <v>59</v>
      </c>
      <c r="Q493" s="155">
        <v>52</v>
      </c>
      <c r="R493" s="155">
        <v>45</v>
      </c>
      <c r="S493" s="155">
        <v>39</v>
      </c>
      <c r="T493" s="155">
        <v>38</v>
      </c>
      <c r="U493" s="155">
        <v>38</v>
      </c>
      <c r="V493" s="155">
        <v>37</v>
      </c>
      <c r="W493" s="155">
        <v>37</v>
      </c>
    </row>
    <row r="494" spans="1:23" ht="12.75">
      <c r="A494" s="209" t="s">
        <v>409</v>
      </c>
      <c r="B494" s="164">
        <v>146</v>
      </c>
      <c r="C494" s="155">
        <v>141</v>
      </c>
      <c r="D494" s="155">
        <v>129</v>
      </c>
      <c r="E494" s="155">
        <v>117</v>
      </c>
      <c r="F494" s="155">
        <v>105</v>
      </c>
      <c r="G494" s="155">
        <v>93</v>
      </c>
      <c r="H494" s="155">
        <v>90</v>
      </c>
      <c r="I494" s="155">
        <v>87</v>
      </c>
      <c r="J494" s="155">
        <v>84</v>
      </c>
      <c r="K494" s="155">
        <v>82</v>
      </c>
      <c r="L494" s="155">
        <v>79</v>
      </c>
      <c r="M494" s="155">
        <v>77</v>
      </c>
      <c r="N494" s="155">
        <v>64</v>
      </c>
      <c r="O494" s="155">
        <v>51</v>
      </c>
      <c r="P494" s="155">
        <v>47</v>
      </c>
      <c r="Q494" s="155">
        <v>43</v>
      </c>
      <c r="R494" s="155">
        <v>39</v>
      </c>
      <c r="S494" s="155">
        <v>36</v>
      </c>
      <c r="T494" s="155">
        <v>35</v>
      </c>
      <c r="U494" s="155">
        <v>35</v>
      </c>
      <c r="V494" s="155">
        <v>34</v>
      </c>
      <c r="W494" s="155">
        <v>33</v>
      </c>
    </row>
    <row r="495" spans="1:23" ht="12.75">
      <c r="A495" s="209" t="s">
        <v>410</v>
      </c>
      <c r="B495" s="234">
        <v>146</v>
      </c>
      <c r="C495" s="155">
        <v>141</v>
      </c>
      <c r="D495" s="155">
        <v>129</v>
      </c>
      <c r="E495" s="155">
        <v>117</v>
      </c>
      <c r="F495" s="155">
        <v>105</v>
      </c>
      <c r="G495" s="155">
        <v>93</v>
      </c>
      <c r="H495" s="164">
        <v>90</v>
      </c>
      <c r="I495" s="155">
        <v>87</v>
      </c>
      <c r="J495" s="155">
        <v>84</v>
      </c>
      <c r="K495" s="155">
        <v>82</v>
      </c>
      <c r="L495" s="155">
        <v>79</v>
      </c>
      <c r="M495" s="155">
        <v>77</v>
      </c>
      <c r="N495" s="155">
        <v>64</v>
      </c>
      <c r="O495" s="155">
        <v>51</v>
      </c>
      <c r="P495" s="155">
        <v>47</v>
      </c>
      <c r="Q495" s="155">
        <v>43</v>
      </c>
      <c r="R495" s="155">
        <v>39</v>
      </c>
      <c r="S495" s="155">
        <v>36</v>
      </c>
      <c r="T495" s="155">
        <v>35</v>
      </c>
      <c r="U495" s="155">
        <v>35</v>
      </c>
      <c r="V495" s="155">
        <v>34</v>
      </c>
      <c r="W495" s="155">
        <v>33</v>
      </c>
    </row>
    <row r="496" spans="1:23" ht="12.75">
      <c r="A496" s="235" t="s">
        <v>411</v>
      </c>
      <c r="B496" s="236">
        <v>146</v>
      </c>
      <c r="C496" s="155">
        <v>141</v>
      </c>
      <c r="D496" s="155">
        <v>129</v>
      </c>
      <c r="E496" s="155">
        <v>117</v>
      </c>
      <c r="F496" s="155">
        <v>105</v>
      </c>
      <c r="G496" s="155">
        <v>93</v>
      </c>
      <c r="H496" s="164">
        <v>90</v>
      </c>
      <c r="I496" s="155">
        <v>87</v>
      </c>
      <c r="J496" s="155">
        <v>84</v>
      </c>
      <c r="K496" s="155">
        <v>82</v>
      </c>
      <c r="L496" s="155">
        <v>79</v>
      </c>
      <c r="M496" s="155">
        <v>77</v>
      </c>
      <c r="N496" s="155">
        <v>64</v>
      </c>
      <c r="O496" s="155">
        <v>51</v>
      </c>
      <c r="P496" s="155">
        <v>47</v>
      </c>
      <c r="Q496" s="155">
        <v>43</v>
      </c>
      <c r="R496" s="155">
        <v>39</v>
      </c>
      <c r="S496" s="155">
        <v>36</v>
      </c>
      <c r="T496" s="155">
        <v>35</v>
      </c>
      <c r="U496" s="155">
        <v>35</v>
      </c>
      <c r="V496" s="155">
        <v>34</v>
      </c>
      <c r="W496" s="155">
        <v>33</v>
      </c>
    </row>
    <row r="497" spans="1:23" ht="36">
      <c r="A497" s="244" t="s">
        <v>416</v>
      </c>
      <c r="B497" s="359" t="s">
        <v>417</v>
      </c>
      <c r="C497" s="346"/>
      <c r="D497" s="346"/>
      <c r="E497" s="346"/>
      <c r="F497" s="346"/>
      <c r="G497" s="346"/>
      <c r="H497" s="346"/>
      <c r="I497" s="346"/>
      <c r="J497" s="346"/>
      <c r="K497" s="346"/>
      <c r="L497" s="346"/>
      <c r="M497" s="346"/>
      <c r="N497" s="346"/>
      <c r="O497" s="346"/>
      <c r="P497" s="346"/>
      <c r="Q497" s="346"/>
      <c r="R497" s="346"/>
      <c r="S497" s="346"/>
      <c r="T497" s="346"/>
      <c r="U497" s="346"/>
      <c r="V497" s="346"/>
      <c r="W497" s="346"/>
    </row>
    <row r="498" spans="1:23" ht="15">
      <c r="A498" s="145" t="s">
        <v>322</v>
      </c>
      <c r="B498" s="238"/>
      <c r="C498" s="238"/>
      <c r="D498" s="238"/>
      <c r="E498" s="238"/>
      <c r="F498" s="238"/>
      <c r="G498" s="238"/>
      <c r="H498" s="238"/>
      <c r="I498" s="238"/>
      <c r="J498" s="238"/>
      <c r="K498" s="238"/>
      <c r="L498" s="238"/>
      <c r="M498" s="238"/>
      <c r="N498" s="238"/>
      <c r="O498" s="238"/>
      <c r="P498" s="238"/>
      <c r="Q498" s="238"/>
      <c r="R498" s="238"/>
      <c r="S498" s="238"/>
      <c r="T498" s="238"/>
      <c r="U498" s="238"/>
      <c r="V498" s="238"/>
      <c r="W498" s="238"/>
    </row>
    <row r="499" spans="1:23" ht="15">
      <c r="A499" s="150" t="s">
        <v>323</v>
      </c>
      <c r="B499" s="151" t="s">
        <v>24</v>
      </c>
      <c r="C499" s="151" t="s">
        <v>25</v>
      </c>
      <c r="D499" s="151" t="s">
        <v>26</v>
      </c>
      <c r="E499" s="151" t="s">
        <v>27</v>
      </c>
      <c r="F499" s="151" t="s">
        <v>28</v>
      </c>
      <c r="G499" s="151" t="s">
        <v>74</v>
      </c>
      <c r="H499" s="151" t="s">
        <v>75</v>
      </c>
      <c r="I499" s="151" t="s">
        <v>76</v>
      </c>
      <c r="J499" s="151" t="s">
        <v>77</v>
      </c>
      <c r="K499" s="151" t="s">
        <v>78</v>
      </c>
      <c r="L499" s="151" t="s">
        <v>79</v>
      </c>
      <c r="M499" s="151" t="s">
        <v>80</v>
      </c>
      <c r="N499" s="16" t="s">
        <v>81</v>
      </c>
      <c r="O499" s="16" t="s">
        <v>82</v>
      </c>
      <c r="P499" s="16" t="s">
        <v>83</v>
      </c>
      <c r="Q499" s="16" t="s">
        <v>84</v>
      </c>
      <c r="R499" s="151" t="s">
        <v>85</v>
      </c>
      <c r="S499" s="16" t="s">
        <v>86</v>
      </c>
      <c r="T499" s="16" t="s">
        <v>87</v>
      </c>
      <c r="U499" s="16" t="s">
        <v>88</v>
      </c>
      <c r="V499" s="16" t="s">
        <v>89</v>
      </c>
      <c r="W499" s="151" t="s">
        <v>90</v>
      </c>
    </row>
    <row r="500" spans="1:23" ht="15">
      <c r="A500" s="50" t="s">
        <v>46</v>
      </c>
      <c r="B500" s="155">
        <f t="array" ref="B500:W508">INT($Z$75:$AU$83*0.8)</f>
        <v>92</v>
      </c>
      <c r="C500" s="155">
        <v>92</v>
      </c>
      <c r="D500" s="155">
        <v>92</v>
      </c>
      <c r="E500" s="155">
        <v>92</v>
      </c>
      <c r="F500" s="155">
        <v>92</v>
      </c>
      <c r="G500" s="155">
        <v>88</v>
      </c>
      <c r="H500" s="155">
        <v>84</v>
      </c>
      <c r="I500" s="155">
        <v>77</v>
      </c>
      <c r="J500" s="155">
        <v>71</v>
      </c>
      <c r="K500" s="155">
        <v>64</v>
      </c>
      <c r="L500" s="155">
        <v>56</v>
      </c>
      <c r="M500" s="155">
        <v>56</v>
      </c>
      <c r="N500" s="155">
        <v>55</v>
      </c>
      <c r="O500" s="155">
        <v>54</v>
      </c>
      <c r="P500" s="155">
        <v>53</v>
      </c>
      <c r="Q500" s="156">
        <v>52</v>
      </c>
      <c r="R500" s="156">
        <v>52</v>
      </c>
      <c r="S500" s="156">
        <v>51</v>
      </c>
      <c r="T500" s="156">
        <v>50</v>
      </c>
      <c r="U500" s="156">
        <v>49</v>
      </c>
      <c r="V500" s="156">
        <v>48</v>
      </c>
      <c r="W500" s="156">
        <v>48</v>
      </c>
    </row>
    <row r="501" spans="1:23" ht="15">
      <c r="A501" s="50" t="s">
        <v>49</v>
      </c>
      <c r="B501" s="155">
        <v>88</v>
      </c>
      <c r="C501" s="155">
        <v>88</v>
      </c>
      <c r="D501" s="155">
        <v>88</v>
      </c>
      <c r="E501" s="155">
        <v>88</v>
      </c>
      <c r="F501" s="155">
        <v>88</v>
      </c>
      <c r="G501" s="155">
        <v>84</v>
      </c>
      <c r="H501" s="155">
        <v>81</v>
      </c>
      <c r="I501" s="155">
        <v>74</v>
      </c>
      <c r="J501" s="155">
        <v>68</v>
      </c>
      <c r="K501" s="155">
        <v>61</v>
      </c>
      <c r="L501" s="155">
        <v>54</v>
      </c>
      <c r="M501" s="155">
        <v>53</v>
      </c>
      <c r="N501" s="155">
        <v>52</v>
      </c>
      <c r="O501" s="155">
        <v>52</v>
      </c>
      <c r="P501" s="155">
        <v>51</v>
      </c>
      <c r="Q501" s="155">
        <v>50</v>
      </c>
      <c r="R501" s="156">
        <v>49</v>
      </c>
      <c r="S501" s="156">
        <v>48</v>
      </c>
      <c r="T501" s="156">
        <v>48</v>
      </c>
      <c r="U501" s="156">
        <v>48</v>
      </c>
      <c r="V501" s="156">
        <v>47</v>
      </c>
      <c r="W501" s="156">
        <v>46</v>
      </c>
    </row>
    <row r="502" spans="1:23" ht="15">
      <c r="A502" s="50" t="s">
        <v>324</v>
      </c>
      <c r="B502" s="164">
        <v>85</v>
      </c>
      <c r="C502" s="164">
        <v>85</v>
      </c>
      <c r="D502" s="164">
        <v>85</v>
      </c>
      <c r="E502" s="164">
        <v>85</v>
      </c>
      <c r="F502" s="164">
        <v>85</v>
      </c>
      <c r="G502" s="155">
        <v>82</v>
      </c>
      <c r="H502" s="155">
        <v>79</v>
      </c>
      <c r="I502" s="155">
        <v>72</v>
      </c>
      <c r="J502" s="155">
        <v>65</v>
      </c>
      <c r="K502" s="155">
        <v>59</v>
      </c>
      <c r="L502" s="155">
        <v>52</v>
      </c>
      <c r="M502" s="155">
        <v>52</v>
      </c>
      <c r="N502" s="155">
        <v>51</v>
      </c>
      <c r="O502" s="155">
        <v>50</v>
      </c>
      <c r="P502" s="155">
        <v>49</v>
      </c>
      <c r="Q502" s="155">
        <v>49</v>
      </c>
      <c r="R502" s="156">
        <v>48</v>
      </c>
      <c r="S502" s="156">
        <v>48</v>
      </c>
      <c r="T502" s="156">
        <v>47</v>
      </c>
      <c r="U502" s="156">
        <v>46</v>
      </c>
      <c r="V502" s="156">
        <v>45</v>
      </c>
      <c r="W502" s="156">
        <v>44</v>
      </c>
    </row>
    <row r="503" spans="1:23" ht="12.75">
      <c r="A503" s="165" t="s">
        <v>325</v>
      </c>
      <c r="B503" s="155">
        <v>84</v>
      </c>
      <c r="C503" s="155">
        <v>84</v>
      </c>
      <c r="D503" s="155">
        <v>84</v>
      </c>
      <c r="E503" s="155">
        <v>84</v>
      </c>
      <c r="F503" s="155">
        <v>84</v>
      </c>
      <c r="G503" s="155">
        <v>80</v>
      </c>
      <c r="H503" s="155">
        <v>77</v>
      </c>
      <c r="I503" s="155">
        <v>71</v>
      </c>
      <c r="J503" s="155">
        <v>64</v>
      </c>
      <c r="K503" s="155">
        <v>58</v>
      </c>
      <c r="L503" s="155">
        <v>52</v>
      </c>
      <c r="M503" s="155">
        <v>51</v>
      </c>
      <c r="N503" s="155">
        <v>50</v>
      </c>
      <c r="O503" s="155">
        <v>49</v>
      </c>
      <c r="P503" s="155">
        <v>48</v>
      </c>
      <c r="Q503" s="155">
        <v>48</v>
      </c>
      <c r="R503" s="156">
        <v>47</v>
      </c>
      <c r="S503" s="156">
        <v>47</v>
      </c>
      <c r="T503" s="156">
        <v>46</v>
      </c>
      <c r="U503" s="156">
        <v>45</v>
      </c>
      <c r="V503" s="156">
        <v>44</v>
      </c>
      <c r="W503" s="156">
        <v>44</v>
      </c>
    </row>
    <row r="504" spans="1:23" ht="15">
      <c r="A504" s="8" t="s">
        <v>58</v>
      </c>
      <c r="B504" s="155">
        <v>82</v>
      </c>
      <c r="C504" s="155">
        <v>82</v>
      </c>
      <c r="D504" s="155">
        <v>82</v>
      </c>
      <c r="E504" s="155">
        <v>82</v>
      </c>
      <c r="F504" s="155">
        <v>82</v>
      </c>
      <c r="G504" s="155">
        <v>79</v>
      </c>
      <c r="H504" s="155">
        <v>76</v>
      </c>
      <c r="I504" s="155">
        <v>69</v>
      </c>
      <c r="J504" s="155">
        <v>63</v>
      </c>
      <c r="K504" s="155">
        <v>57</v>
      </c>
      <c r="L504" s="155">
        <v>51</v>
      </c>
      <c r="M504" s="155">
        <v>50</v>
      </c>
      <c r="N504" s="155">
        <v>49</v>
      </c>
      <c r="O504" s="155">
        <v>48</v>
      </c>
      <c r="P504" s="155">
        <v>48</v>
      </c>
      <c r="Q504" s="156">
        <v>47</v>
      </c>
      <c r="R504" s="156">
        <v>46</v>
      </c>
      <c r="S504" s="156">
        <v>46</v>
      </c>
      <c r="T504" s="156">
        <v>45</v>
      </c>
      <c r="U504" s="156">
        <v>44</v>
      </c>
      <c r="V504" s="156">
        <v>44</v>
      </c>
      <c r="W504" s="156">
        <v>43</v>
      </c>
    </row>
    <row r="505" spans="1:23" ht="15">
      <c r="A505" s="52" t="s">
        <v>61</v>
      </c>
      <c r="B505" s="155">
        <v>81</v>
      </c>
      <c r="C505" s="155">
        <v>81</v>
      </c>
      <c r="D505" s="155">
        <v>81</v>
      </c>
      <c r="E505" s="155">
        <v>81</v>
      </c>
      <c r="F505" s="155">
        <v>81</v>
      </c>
      <c r="G505" s="155">
        <v>78</v>
      </c>
      <c r="H505" s="155">
        <v>75</v>
      </c>
      <c r="I505" s="155">
        <v>68</v>
      </c>
      <c r="J505" s="155">
        <v>63</v>
      </c>
      <c r="K505" s="155">
        <v>56</v>
      </c>
      <c r="L505" s="155">
        <v>50</v>
      </c>
      <c r="M505" s="155">
        <v>49</v>
      </c>
      <c r="N505" s="155">
        <v>48</v>
      </c>
      <c r="O505" s="155">
        <v>48</v>
      </c>
      <c r="P505" s="155">
        <v>47</v>
      </c>
      <c r="Q505" s="156">
        <v>47</v>
      </c>
      <c r="R505" s="156">
        <v>46</v>
      </c>
      <c r="S505" s="156">
        <v>45</v>
      </c>
      <c r="T505" s="156">
        <v>44</v>
      </c>
      <c r="U505" s="156">
        <v>44</v>
      </c>
      <c r="V505" s="156">
        <v>43</v>
      </c>
      <c r="W505" s="156">
        <v>43</v>
      </c>
    </row>
    <row r="506" spans="1:23" ht="15">
      <c r="A506" s="50" t="s">
        <v>326</v>
      </c>
      <c r="B506" s="155">
        <v>80</v>
      </c>
      <c r="C506" s="155">
        <v>80</v>
      </c>
      <c r="D506" s="155">
        <v>80</v>
      </c>
      <c r="E506" s="155">
        <v>80</v>
      </c>
      <c r="F506" s="155">
        <v>80</v>
      </c>
      <c r="G506" s="155">
        <v>76</v>
      </c>
      <c r="H506" s="155">
        <v>73</v>
      </c>
      <c r="I506" s="155">
        <v>68</v>
      </c>
      <c r="J506" s="155">
        <v>61</v>
      </c>
      <c r="K506" s="155">
        <v>55</v>
      </c>
      <c r="L506" s="155">
        <v>49</v>
      </c>
      <c r="M506" s="155">
        <v>48</v>
      </c>
      <c r="N506" s="155">
        <v>48</v>
      </c>
      <c r="O506" s="155">
        <v>47</v>
      </c>
      <c r="P506" s="155">
        <v>46</v>
      </c>
      <c r="Q506" s="156">
        <v>45</v>
      </c>
      <c r="R506" s="156">
        <v>45</v>
      </c>
      <c r="S506" s="156">
        <v>44</v>
      </c>
      <c r="T506" s="156">
        <v>44</v>
      </c>
      <c r="U506" s="156">
        <v>43</v>
      </c>
      <c r="V506" s="156">
        <v>42</v>
      </c>
      <c r="W506" s="156">
        <v>42</v>
      </c>
    </row>
    <row r="507" spans="1:23" ht="15">
      <c r="A507" s="50" t="s">
        <v>66</v>
      </c>
      <c r="B507" s="164">
        <v>79</v>
      </c>
      <c r="C507" s="164">
        <v>79</v>
      </c>
      <c r="D507" s="164">
        <v>79</v>
      </c>
      <c r="E507" s="164">
        <v>79</v>
      </c>
      <c r="F507" s="164">
        <v>79</v>
      </c>
      <c r="G507" s="155">
        <v>76</v>
      </c>
      <c r="H507" s="155">
        <v>72</v>
      </c>
      <c r="I507" s="155">
        <v>67</v>
      </c>
      <c r="J507" s="155">
        <v>60</v>
      </c>
      <c r="K507" s="155">
        <v>55</v>
      </c>
      <c r="L507" s="155">
        <v>48</v>
      </c>
      <c r="M507" s="155">
        <v>48</v>
      </c>
      <c r="N507" s="155">
        <v>47</v>
      </c>
      <c r="O507" s="155">
        <v>47</v>
      </c>
      <c r="P507" s="155">
        <v>46</v>
      </c>
      <c r="Q507" s="155">
        <v>45</v>
      </c>
      <c r="R507" s="155">
        <v>44</v>
      </c>
      <c r="S507" s="156">
        <v>44</v>
      </c>
      <c r="T507" s="156">
        <v>43</v>
      </c>
      <c r="U507" s="156">
        <v>43</v>
      </c>
      <c r="V507" s="156">
        <v>42</v>
      </c>
      <c r="W507" s="156">
        <v>41</v>
      </c>
    </row>
    <row r="508" spans="1:23" ht="12.75">
      <c r="A508" s="35" t="s">
        <v>327</v>
      </c>
      <c r="B508" s="155">
        <v>77</v>
      </c>
      <c r="C508" s="155">
        <v>77</v>
      </c>
      <c r="D508" s="155">
        <v>77</v>
      </c>
      <c r="E508" s="155">
        <v>77</v>
      </c>
      <c r="F508" s="155">
        <v>77</v>
      </c>
      <c r="G508" s="155">
        <v>74</v>
      </c>
      <c r="H508" s="155">
        <v>72</v>
      </c>
      <c r="I508" s="155">
        <v>65</v>
      </c>
      <c r="J508" s="155">
        <v>60</v>
      </c>
      <c r="K508" s="155">
        <v>54</v>
      </c>
      <c r="L508" s="155">
        <v>48</v>
      </c>
      <c r="M508" s="155">
        <v>47</v>
      </c>
      <c r="N508" s="155">
        <v>46</v>
      </c>
      <c r="O508" s="155">
        <v>45</v>
      </c>
      <c r="P508" s="155">
        <v>45</v>
      </c>
      <c r="Q508" s="155">
        <v>44</v>
      </c>
      <c r="R508" s="155">
        <v>44</v>
      </c>
      <c r="S508" s="155">
        <v>43</v>
      </c>
      <c r="T508" s="155">
        <v>42</v>
      </c>
      <c r="U508" s="155">
        <v>42</v>
      </c>
      <c r="V508" s="155">
        <v>41</v>
      </c>
      <c r="W508" s="155">
        <v>40</v>
      </c>
    </row>
    <row r="509" spans="1:23" ht="15">
      <c r="A509" s="150" t="s">
        <v>328</v>
      </c>
      <c r="B509" s="151" t="s">
        <v>24</v>
      </c>
      <c r="C509" s="151" t="s">
        <v>25</v>
      </c>
      <c r="D509" s="151" t="s">
        <v>26</v>
      </c>
      <c r="E509" s="151" t="s">
        <v>27</v>
      </c>
      <c r="F509" s="151" t="s">
        <v>28</v>
      </c>
      <c r="G509" s="151" t="s">
        <v>74</v>
      </c>
      <c r="H509" s="151" t="s">
        <v>75</v>
      </c>
      <c r="I509" s="151" t="s">
        <v>76</v>
      </c>
      <c r="J509" s="151" t="s">
        <v>77</v>
      </c>
      <c r="K509" s="151" t="s">
        <v>78</v>
      </c>
      <c r="L509" s="151" t="s">
        <v>79</v>
      </c>
      <c r="M509" s="151" t="s">
        <v>80</v>
      </c>
      <c r="N509" s="16" t="s">
        <v>81</v>
      </c>
      <c r="O509" s="16" t="s">
        <v>82</v>
      </c>
      <c r="P509" s="16" t="s">
        <v>83</v>
      </c>
      <c r="Q509" s="16" t="s">
        <v>84</v>
      </c>
      <c r="R509" s="151" t="s">
        <v>85</v>
      </c>
      <c r="S509" s="16" t="s">
        <v>86</v>
      </c>
      <c r="T509" s="16" t="s">
        <v>87</v>
      </c>
      <c r="U509" s="16" t="s">
        <v>88</v>
      </c>
      <c r="V509" s="16" t="s">
        <v>89</v>
      </c>
      <c r="W509" s="151" t="s">
        <v>90</v>
      </c>
    </row>
    <row r="510" spans="1:23" ht="15">
      <c r="A510" s="50" t="s">
        <v>329</v>
      </c>
      <c r="B510" s="155">
        <f t="array" ref="B510:W513">INT($Z$85:$AU$88*0.8)</f>
        <v>92</v>
      </c>
      <c r="C510" s="155">
        <v>92</v>
      </c>
      <c r="D510" s="155">
        <v>92</v>
      </c>
      <c r="E510" s="155">
        <v>92</v>
      </c>
      <c r="F510" s="155">
        <v>92</v>
      </c>
      <c r="G510" s="155">
        <v>85</v>
      </c>
      <c r="H510" s="155">
        <v>80</v>
      </c>
      <c r="I510" s="155">
        <v>66</v>
      </c>
      <c r="J510" s="155">
        <v>54</v>
      </c>
      <c r="K510" s="155">
        <v>48</v>
      </c>
      <c r="L510" s="155">
        <v>44</v>
      </c>
      <c r="M510" s="155">
        <v>44</v>
      </c>
      <c r="N510" s="155">
        <v>44</v>
      </c>
      <c r="O510" s="155">
        <v>44</v>
      </c>
      <c r="P510" s="155">
        <v>44</v>
      </c>
      <c r="Q510" s="155">
        <v>44</v>
      </c>
      <c r="R510" s="155">
        <v>44</v>
      </c>
      <c r="S510" s="155">
        <v>44</v>
      </c>
      <c r="T510" s="155">
        <v>44</v>
      </c>
      <c r="U510" s="155">
        <v>44</v>
      </c>
      <c r="V510" s="155">
        <v>44</v>
      </c>
      <c r="W510" s="155">
        <v>44</v>
      </c>
    </row>
    <row r="511" spans="1:23" ht="15">
      <c r="A511" s="50" t="s">
        <v>330</v>
      </c>
      <c r="B511" s="164">
        <v>77</v>
      </c>
      <c r="C511" s="155">
        <v>77</v>
      </c>
      <c r="D511" s="155">
        <v>77</v>
      </c>
      <c r="E511" s="155">
        <v>77</v>
      </c>
      <c r="F511" s="155">
        <v>77</v>
      </c>
      <c r="G511" s="155">
        <v>72</v>
      </c>
      <c r="H511" s="155">
        <v>67</v>
      </c>
      <c r="I511" s="155">
        <v>56</v>
      </c>
      <c r="J511" s="155">
        <v>45</v>
      </c>
      <c r="K511" s="155">
        <v>41</v>
      </c>
      <c r="L511" s="155">
        <v>36</v>
      </c>
      <c r="M511" s="155">
        <v>36</v>
      </c>
      <c r="N511" s="155">
        <v>36</v>
      </c>
      <c r="O511" s="155">
        <v>36</v>
      </c>
      <c r="P511" s="155">
        <v>36</v>
      </c>
      <c r="Q511" s="155">
        <v>36</v>
      </c>
      <c r="R511" s="155">
        <v>36</v>
      </c>
      <c r="S511" s="155">
        <v>36</v>
      </c>
      <c r="T511" s="155">
        <v>36</v>
      </c>
      <c r="U511" s="155">
        <v>36</v>
      </c>
      <c r="V511" s="155">
        <v>36</v>
      </c>
      <c r="W511" s="155">
        <v>36</v>
      </c>
    </row>
    <row r="512" spans="1:23" ht="15">
      <c r="A512" s="175" t="s">
        <v>331</v>
      </c>
      <c r="B512" s="164">
        <v>76</v>
      </c>
      <c r="C512" s="155">
        <v>76</v>
      </c>
      <c r="D512" s="155">
        <v>76</v>
      </c>
      <c r="E512" s="155">
        <v>76</v>
      </c>
      <c r="F512" s="155">
        <v>76</v>
      </c>
      <c r="G512" s="155">
        <v>71</v>
      </c>
      <c r="H512" s="155">
        <v>65</v>
      </c>
      <c r="I512" s="155">
        <v>55</v>
      </c>
      <c r="J512" s="155">
        <v>44</v>
      </c>
      <c r="K512" s="155">
        <v>40</v>
      </c>
      <c r="L512" s="155">
        <v>36</v>
      </c>
      <c r="M512" s="155">
        <v>36</v>
      </c>
      <c r="N512" s="155">
        <v>36</v>
      </c>
      <c r="O512" s="155">
        <v>36</v>
      </c>
      <c r="P512" s="155">
        <v>36</v>
      </c>
      <c r="Q512" s="155">
        <v>36</v>
      </c>
      <c r="R512" s="155">
        <v>36</v>
      </c>
      <c r="S512" s="155">
        <v>36</v>
      </c>
      <c r="T512" s="155">
        <v>36</v>
      </c>
      <c r="U512" s="155">
        <v>36</v>
      </c>
      <c r="V512" s="155">
        <v>36</v>
      </c>
      <c r="W512" s="155">
        <v>36</v>
      </c>
    </row>
    <row r="513" spans="1:23" ht="15">
      <c r="A513" s="50" t="s">
        <v>332</v>
      </c>
      <c r="B513" s="155">
        <v>75</v>
      </c>
      <c r="C513" s="155">
        <v>75</v>
      </c>
      <c r="D513" s="155">
        <v>75</v>
      </c>
      <c r="E513" s="155">
        <v>75</v>
      </c>
      <c r="F513" s="155">
        <v>75</v>
      </c>
      <c r="G513" s="155">
        <v>70</v>
      </c>
      <c r="H513" s="155">
        <v>64</v>
      </c>
      <c r="I513" s="155">
        <v>54</v>
      </c>
      <c r="J513" s="155">
        <v>44</v>
      </c>
      <c r="K513" s="155">
        <v>40</v>
      </c>
      <c r="L513" s="155">
        <v>36</v>
      </c>
      <c r="M513" s="155">
        <v>36</v>
      </c>
      <c r="N513" s="155">
        <v>36</v>
      </c>
      <c r="O513" s="155">
        <v>36</v>
      </c>
      <c r="P513" s="155">
        <v>36</v>
      </c>
      <c r="Q513" s="155">
        <v>36</v>
      </c>
      <c r="R513" s="155">
        <v>36</v>
      </c>
      <c r="S513" s="155">
        <v>36</v>
      </c>
      <c r="T513" s="155">
        <v>36</v>
      </c>
      <c r="U513" s="155">
        <v>36</v>
      </c>
      <c r="V513" s="155">
        <v>36</v>
      </c>
      <c r="W513" s="155">
        <v>36</v>
      </c>
    </row>
    <row r="514" spans="1:23" ht="15">
      <c r="A514" s="150" t="s">
        <v>333</v>
      </c>
      <c r="B514" s="151" t="s">
        <v>24</v>
      </c>
      <c r="C514" s="151" t="s">
        <v>25</v>
      </c>
      <c r="D514" s="151" t="s">
        <v>26</v>
      </c>
      <c r="E514" s="151" t="s">
        <v>27</v>
      </c>
      <c r="F514" s="151" t="s">
        <v>28</v>
      </c>
      <c r="G514" s="151" t="s">
        <v>74</v>
      </c>
      <c r="H514" s="151" t="s">
        <v>75</v>
      </c>
      <c r="I514" s="151" t="s">
        <v>76</v>
      </c>
      <c r="J514" s="151" t="s">
        <v>77</v>
      </c>
      <c r="K514" s="151" t="s">
        <v>78</v>
      </c>
      <c r="L514" s="151" t="s">
        <v>79</v>
      </c>
      <c r="M514" s="151" t="s">
        <v>80</v>
      </c>
      <c r="N514" s="16" t="s">
        <v>81</v>
      </c>
      <c r="O514" s="16" t="s">
        <v>82</v>
      </c>
      <c r="P514" s="16" t="s">
        <v>83</v>
      </c>
      <c r="Q514" s="16" t="s">
        <v>84</v>
      </c>
      <c r="R514" s="151" t="s">
        <v>85</v>
      </c>
      <c r="S514" s="16" t="s">
        <v>86</v>
      </c>
      <c r="T514" s="16" t="s">
        <v>87</v>
      </c>
      <c r="U514" s="16" t="s">
        <v>88</v>
      </c>
      <c r="V514" s="16" t="s">
        <v>89</v>
      </c>
      <c r="W514" s="151" t="s">
        <v>90</v>
      </c>
    </row>
    <row r="515" spans="1:23" ht="15">
      <c r="A515" s="8" t="s">
        <v>334</v>
      </c>
      <c r="B515" s="164">
        <f t="array" ref="B515:W516">INT($Z$90:$AU$91*0.8)</f>
        <v>82</v>
      </c>
      <c r="C515" s="155">
        <v>82</v>
      </c>
      <c r="D515" s="155">
        <v>82</v>
      </c>
      <c r="E515" s="155">
        <v>82</v>
      </c>
      <c r="F515" s="155">
        <v>82</v>
      </c>
      <c r="G515" s="155">
        <v>76</v>
      </c>
      <c r="H515" s="155">
        <v>68</v>
      </c>
      <c r="I515" s="155">
        <v>54</v>
      </c>
      <c r="J515" s="155">
        <v>40</v>
      </c>
      <c r="K515" s="155">
        <v>38</v>
      </c>
      <c r="L515" s="155">
        <v>36</v>
      </c>
      <c r="M515" s="155">
        <v>36</v>
      </c>
      <c r="N515" s="155">
        <v>36</v>
      </c>
      <c r="O515" s="155">
        <v>36</v>
      </c>
      <c r="P515" s="155">
        <v>36</v>
      </c>
      <c r="Q515" s="155">
        <v>36</v>
      </c>
      <c r="R515" s="155">
        <v>36</v>
      </c>
      <c r="S515" s="156">
        <v>36</v>
      </c>
      <c r="T515" s="156">
        <v>36</v>
      </c>
      <c r="U515" s="156">
        <v>36</v>
      </c>
      <c r="V515" s="156">
        <v>36</v>
      </c>
      <c r="W515" s="156">
        <v>36</v>
      </c>
    </row>
    <row r="516" spans="1:23" ht="15">
      <c r="A516" s="8" t="s">
        <v>335</v>
      </c>
      <c r="B516" s="164">
        <v>69</v>
      </c>
      <c r="C516" s="155">
        <v>69</v>
      </c>
      <c r="D516" s="155">
        <v>69</v>
      </c>
      <c r="E516" s="155">
        <v>69</v>
      </c>
      <c r="F516" s="155">
        <v>69</v>
      </c>
      <c r="G516" s="155">
        <v>64</v>
      </c>
      <c r="H516" s="155">
        <v>57</v>
      </c>
      <c r="I516" s="155">
        <v>46</v>
      </c>
      <c r="J516" s="155">
        <v>34</v>
      </c>
      <c r="K516" s="155">
        <v>32</v>
      </c>
      <c r="L516" s="155">
        <v>30</v>
      </c>
      <c r="M516" s="155">
        <v>30</v>
      </c>
      <c r="N516" s="155">
        <v>30</v>
      </c>
      <c r="O516" s="155">
        <v>30</v>
      </c>
      <c r="P516" s="155">
        <v>30</v>
      </c>
      <c r="Q516" s="156">
        <v>30</v>
      </c>
      <c r="R516" s="156">
        <v>30</v>
      </c>
      <c r="S516" s="156">
        <v>30</v>
      </c>
      <c r="T516" s="156">
        <v>30</v>
      </c>
      <c r="U516" s="156">
        <v>30</v>
      </c>
      <c r="V516" s="156">
        <v>30</v>
      </c>
      <c r="W516" s="156">
        <v>30</v>
      </c>
    </row>
    <row r="517" spans="1:23" ht="15">
      <c r="A517" s="150" t="s">
        <v>336</v>
      </c>
      <c r="B517" s="151" t="s">
        <v>24</v>
      </c>
      <c r="C517" s="151" t="s">
        <v>25</v>
      </c>
      <c r="D517" s="151" t="s">
        <v>26</v>
      </c>
      <c r="E517" s="151" t="s">
        <v>27</v>
      </c>
      <c r="F517" s="151" t="s">
        <v>28</v>
      </c>
      <c r="G517" s="151" t="s">
        <v>74</v>
      </c>
      <c r="H517" s="151" t="s">
        <v>75</v>
      </c>
      <c r="I517" s="151" t="s">
        <v>76</v>
      </c>
      <c r="J517" s="151" t="s">
        <v>77</v>
      </c>
      <c r="K517" s="151" t="s">
        <v>78</v>
      </c>
      <c r="L517" s="151" t="s">
        <v>79</v>
      </c>
      <c r="M517" s="151" t="s">
        <v>80</v>
      </c>
      <c r="N517" s="16" t="s">
        <v>81</v>
      </c>
      <c r="O517" s="16" t="s">
        <v>82</v>
      </c>
      <c r="P517" s="16" t="s">
        <v>83</v>
      </c>
      <c r="Q517" s="16" t="s">
        <v>84</v>
      </c>
      <c r="R517" s="151" t="s">
        <v>85</v>
      </c>
      <c r="S517" s="16" t="s">
        <v>86</v>
      </c>
      <c r="T517" s="16" t="s">
        <v>87</v>
      </c>
      <c r="U517" s="16" t="s">
        <v>88</v>
      </c>
      <c r="V517" s="16" t="s">
        <v>89</v>
      </c>
      <c r="W517" s="151" t="s">
        <v>90</v>
      </c>
    </row>
    <row r="518" spans="1:23" ht="12.75">
      <c r="A518" s="178" t="s">
        <v>337</v>
      </c>
      <c r="B518" s="155">
        <f t="array" ref="B518:W518">INT($Z$93:$AU$93*0.8)</f>
        <v>82</v>
      </c>
      <c r="C518" s="155">
        <v>82</v>
      </c>
      <c r="D518" s="155">
        <v>82</v>
      </c>
      <c r="E518" s="155">
        <v>82</v>
      </c>
      <c r="F518" s="155">
        <v>82</v>
      </c>
      <c r="G518" s="155">
        <v>75</v>
      </c>
      <c r="H518" s="155">
        <v>68</v>
      </c>
      <c r="I518" s="155">
        <v>53</v>
      </c>
      <c r="J518" s="155">
        <v>39</v>
      </c>
      <c r="K518" s="155">
        <v>36</v>
      </c>
      <c r="L518" s="155">
        <v>34</v>
      </c>
      <c r="M518" s="155">
        <v>34</v>
      </c>
      <c r="N518" s="155">
        <v>34</v>
      </c>
      <c r="O518" s="155">
        <v>34</v>
      </c>
      <c r="P518" s="155">
        <v>34</v>
      </c>
      <c r="Q518" s="155">
        <v>34</v>
      </c>
      <c r="R518" s="155">
        <v>34</v>
      </c>
      <c r="S518" s="155">
        <v>34</v>
      </c>
      <c r="T518" s="155">
        <v>34</v>
      </c>
      <c r="U518" s="155">
        <v>34</v>
      </c>
      <c r="V518" s="155">
        <v>34</v>
      </c>
      <c r="W518" s="155">
        <v>34</v>
      </c>
    </row>
    <row r="519" spans="1:23" ht="15">
      <c r="A519" s="145" t="s">
        <v>338</v>
      </c>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row>
    <row r="520" spans="1:23" ht="15">
      <c r="A520" s="150" t="s">
        <v>323</v>
      </c>
      <c r="B520" s="151" t="s">
        <v>24</v>
      </c>
      <c r="C520" s="151" t="s">
        <v>25</v>
      </c>
      <c r="D520" s="151" t="s">
        <v>26</v>
      </c>
      <c r="E520" s="151" t="s">
        <v>27</v>
      </c>
      <c r="F520" s="151" t="s">
        <v>28</v>
      </c>
      <c r="G520" s="151" t="s">
        <v>74</v>
      </c>
      <c r="H520" s="151" t="s">
        <v>75</v>
      </c>
      <c r="I520" s="151" t="s">
        <v>76</v>
      </c>
      <c r="J520" s="151" t="s">
        <v>77</v>
      </c>
      <c r="K520" s="151" t="s">
        <v>78</v>
      </c>
      <c r="L520" s="151" t="s">
        <v>79</v>
      </c>
      <c r="M520" s="151" t="s">
        <v>80</v>
      </c>
      <c r="N520" s="16" t="s">
        <v>81</v>
      </c>
      <c r="O520" s="16" t="s">
        <v>82</v>
      </c>
      <c r="P520" s="16" t="s">
        <v>83</v>
      </c>
      <c r="Q520" s="16" t="s">
        <v>84</v>
      </c>
      <c r="R520" s="151" t="s">
        <v>85</v>
      </c>
      <c r="S520" s="16" t="s">
        <v>86</v>
      </c>
      <c r="T520" s="16" t="s">
        <v>87</v>
      </c>
      <c r="U520" s="16" t="s">
        <v>88</v>
      </c>
      <c r="V520" s="16" t="s">
        <v>89</v>
      </c>
      <c r="W520" s="151" t="s">
        <v>90</v>
      </c>
    </row>
    <row r="521" spans="1:23" ht="15">
      <c r="A521" s="8" t="s">
        <v>105</v>
      </c>
      <c r="B521" s="155">
        <f t="array" ref="B521:W536">INT($Z$96:$AU$111*0.8)</f>
        <v>89</v>
      </c>
      <c r="C521" s="155">
        <v>89</v>
      </c>
      <c r="D521" s="155">
        <v>89</v>
      </c>
      <c r="E521" s="155">
        <v>86</v>
      </c>
      <c r="F521" s="155">
        <v>83</v>
      </c>
      <c r="G521" s="155">
        <v>80</v>
      </c>
      <c r="H521" s="155">
        <v>76</v>
      </c>
      <c r="I521" s="155">
        <v>70</v>
      </c>
      <c r="J521" s="155">
        <v>64</v>
      </c>
      <c r="K521" s="155">
        <v>57</v>
      </c>
      <c r="L521" s="155">
        <v>54</v>
      </c>
      <c r="M521" s="155">
        <v>52</v>
      </c>
      <c r="N521" s="155">
        <v>50</v>
      </c>
      <c r="O521" s="155">
        <v>48</v>
      </c>
      <c r="P521" s="155">
        <v>45</v>
      </c>
      <c r="Q521" s="155">
        <v>45</v>
      </c>
      <c r="R521" s="155">
        <v>45</v>
      </c>
      <c r="S521" s="155">
        <v>45</v>
      </c>
      <c r="T521" s="155">
        <v>45</v>
      </c>
      <c r="U521" s="155">
        <v>45</v>
      </c>
      <c r="V521" s="155">
        <v>45</v>
      </c>
      <c r="W521" s="155">
        <v>45</v>
      </c>
    </row>
    <row r="522" spans="1:23" ht="15">
      <c r="A522" s="50" t="s">
        <v>107</v>
      </c>
      <c r="B522" s="164">
        <v>88</v>
      </c>
      <c r="C522" s="155">
        <v>88</v>
      </c>
      <c r="D522" s="155">
        <v>88</v>
      </c>
      <c r="E522" s="155">
        <v>85</v>
      </c>
      <c r="F522" s="155">
        <v>82</v>
      </c>
      <c r="G522" s="155">
        <v>79</v>
      </c>
      <c r="H522" s="155">
        <v>76</v>
      </c>
      <c r="I522" s="155">
        <v>69</v>
      </c>
      <c r="J522" s="155">
        <v>63</v>
      </c>
      <c r="K522" s="155">
        <v>56</v>
      </c>
      <c r="L522" s="155">
        <v>54</v>
      </c>
      <c r="M522" s="155">
        <v>52</v>
      </c>
      <c r="N522" s="155">
        <v>49</v>
      </c>
      <c r="O522" s="155">
        <v>47</v>
      </c>
      <c r="P522" s="155">
        <v>44</v>
      </c>
      <c r="Q522" s="155">
        <v>44</v>
      </c>
      <c r="R522" s="155">
        <v>44</v>
      </c>
      <c r="S522" s="155">
        <v>44</v>
      </c>
      <c r="T522" s="155">
        <v>44</v>
      </c>
      <c r="U522" s="155">
        <v>44</v>
      </c>
      <c r="V522" s="155">
        <v>44</v>
      </c>
      <c r="W522" s="155">
        <v>44</v>
      </c>
    </row>
    <row r="523" spans="1:23" ht="15">
      <c r="A523" s="38" t="s">
        <v>109</v>
      </c>
      <c r="B523" s="155">
        <v>85</v>
      </c>
      <c r="C523" s="155">
        <v>85</v>
      </c>
      <c r="D523" s="155">
        <v>85</v>
      </c>
      <c r="E523" s="155">
        <v>82</v>
      </c>
      <c r="F523" s="155">
        <v>79</v>
      </c>
      <c r="G523" s="155">
        <v>76</v>
      </c>
      <c r="H523" s="155">
        <v>72</v>
      </c>
      <c r="I523" s="155">
        <v>67</v>
      </c>
      <c r="J523" s="155">
        <v>60</v>
      </c>
      <c r="K523" s="155">
        <v>54</v>
      </c>
      <c r="L523" s="155">
        <v>52</v>
      </c>
      <c r="M523" s="155">
        <v>50</v>
      </c>
      <c r="N523" s="155">
        <v>48</v>
      </c>
      <c r="O523" s="155">
        <v>45</v>
      </c>
      <c r="P523" s="155">
        <v>43</v>
      </c>
      <c r="Q523" s="155">
        <v>43</v>
      </c>
      <c r="R523" s="155">
        <v>43</v>
      </c>
      <c r="S523" s="155">
        <v>43</v>
      </c>
      <c r="T523" s="155">
        <v>43</v>
      </c>
      <c r="U523" s="155">
        <v>43</v>
      </c>
      <c r="V523" s="155">
        <v>43</v>
      </c>
      <c r="W523" s="155">
        <v>43</v>
      </c>
    </row>
    <row r="524" spans="1:23" ht="12.75">
      <c r="A524" s="41" t="s">
        <v>111</v>
      </c>
      <c r="B524" s="155">
        <v>84</v>
      </c>
      <c r="C524" s="155">
        <v>84</v>
      </c>
      <c r="D524" s="155">
        <v>84</v>
      </c>
      <c r="E524" s="155">
        <v>81</v>
      </c>
      <c r="F524" s="155">
        <v>78</v>
      </c>
      <c r="G524" s="155">
        <v>75</v>
      </c>
      <c r="H524" s="155">
        <v>72</v>
      </c>
      <c r="I524" s="155">
        <v>66</v>
      </c>
      <c r="J524" s="155">
        <v>60</v>
      </c>
      <c r="K524" s="155">
        <v>54</v>
      </c>
      <c r="L524" s="155">
        <v>52</v>
      </c>
      <c r="M524" s="155">
        <v>49</v>
      </c>
      <c r="N524" s="155">
        <v>47</v>
      </c>
      <c r="O524" s="155">
        <v>44</v>
      </c>
      <c r="P524" s="155">
        <v>43</v>
      </c>
      <c r="Q524" s="155">
        <v>43</v>
      </c>
      <c r="R524" s="156">
        <v>43</v>
      </c>
      <c r="S524" s="156">
        <v>43</v>
      </c>
      <c r="T524" s="156">
        <v>43</v>
      </c>
      <c r="U524" s="156">
        <v>43</v>
      </c>
      <c r="V524" s="156">
        <v>43</v>
      </c>
      <c r="W524" s="156">
        <v>43</v>
      </c>
    </row>
    <row r="525" spans="1:23" ht="12.75">
      <c r="A525" s="184" t="s">
        <v>113</v>
      </c>
      <c r="B525" s="155">
        <v>83</v>
      </c>
      <c r="C525" s="155">
        <v>83</v>
      </c>
      <c r="D525" s="155">
        <v>83</v>
      </c>
      <c r="E525" s="155">
        <v>80</v>
      </c>
      <c r="F525" s="155">
        <v>76</v>
      </c>
      <c r="G525" s="155">
        <v>74</v>
      </c>
      <c r="H525" s="155">
        <v>71</v>
      </c>
      <c r="I525" s="155">
        <v>64</v>
      </c>
      <c r="J525" s="155">
        <v>59</v>
      </c>
      <c r="K525" s="155">
        <v>52</v>
      </c>
      <c r="L525" s="155">
        <v>51</v>
      </c>
      <c r="M525" s="155">
        <v>48</v>
      </c>
      <c r="N525" s="155">
        <v>46</v>
      </c>
      <c r="O525" s="155">
        <v>44</v>
      </c>
      <c r="P525" s="155">
        <v>42</v>
      </c>
      <c r="Q525" s="155">
        <v>42</v>
      </c>
      <c r="R525" s="156">
        <v>42</v>
      </c>
      <c r="S525" s="156">
        <v>42</v>
      </c>
      <c r="T525" s="156">
        <v>42</v>
      </c>
      <c r="U525" s="156">
        <v>42</v>
      </c>
      <c r="V525" s="156">
        <v>42</v>
      </c>
      <c r="W525" s="156">
        <v>42</v>
      </c>
    </row>
    <row r="526" spans="1:23" ht="15">
      <c r="A526" s="8" t="s">
        <v>115</v>
      </c>
      <c r="B526" s="155">
        <v>81</v>
      </c>
      <c r="C526" s="155">
        <v>81</v>
      </c>
      <c r="D526" s="155">
        <v>81</v>
      </c>
      <c r="E526" s="155">
        <v>78</v>
      </c>
      <c r="F526" s="155">
        <v>75</v>
      </c>
      <c r="G526" s="155">
        <v>72</v>
      </c>
      <c r="H526" s="155">
        <v>69</v>
      </c>
      <c r="I526" s="155">
        <v>64</v>
      </c>
      <c r="J526" s="155">
        <v>57</v>
      </c>
      <c r="K526" s="155">
        <v>52</v>
      </c>
      <c r="L526" s="155">
        <v>49</v>
      </c>
      <c r="M526" s="155">
        <v>48</v>
      </c>
      <c r="N526" s="155">
        <v>45</v>
      </c>
      <c r="O526" s="155">
        <v>43</v>
      </c>
      <c r="P526" s="155">
        <v>41</v>
      </c>
      <c r="Q526" s="155">
        <v>41</v>
      </c>
      <c r="R526" s="155">
        <v>41</v>
      </c>
      <c r="S526" s="155">
        <v>41</v>
      </c>
      <c r="T526" s="155">
        <v>41</v>
      </c>
      <c r="U526" s="155">
        <v>41</v>
      </c>
      <c r="V526" s="155">
        <v>41</v>
      </c>
      <c r="W526" s="155">
        <v>41</v>
      </c>
    </row>
    <row r="527" spans="1:23" ht="15">
      <c r="A527" s="8" t="s">
        <v>118</v>
      </c>
      <c r="B527" s="155">
        <v>80</v>
      </c>
      <c r="C527" s="155">
        <v>80</v>
      </c>
      <c r="D527" s="155">
        <v>80</v>
      </c>
      <c r="E527" s="155">
        <v>76</v>
      </c>
      <c r="F527" s="155">
        <v>74</v>
      </c>
      <c r="G527" s="155">
        <v>71</v>
      </c>
      <c r="H527" s="155">
        <v>68</v>
      </c>
      <c r="I527" s="155">
        <v>62</v>
      </c>
      <c r="J527" s="155">
        <v>56</v>
      </c>
      <c r="K527" s="155">
        <v>51</v>
      </c>
      <c r="L527" s="155">
        <v>48</v>
      </c>
      <c r="M527" s="155">
        <v>46</v>
      </c>
      <c r="N527" s="155">
        <v>44</v>
      </c>
      <c r="O527" s="155">
        <v>42</v>
      </c>
      <c r="P527" s="155">
        <v>40</v>
      </c>
      <c r="Q527" s="155">
        <v>40</v>
      </c>
      <c r="R527" s="155">
        <v>40</v>
      </c>
      <c r="S527" s="155">
        <v>40</v>
      </c>
      <c r="T527" s="155">
        <v>40</v>
      </c>
      <c r="U527" s="155">
        <v>40</v>
      </c>
      <c r="V527" s="155">
        <v>40</v>
      </c>
      <c r="W527" s="155">
        <v>40</v>
      </c>
    </row>
    <row r="528" spans="1:23" ht="15">
      <c r="A528" s="8" t="s">
        <v>135</v>
      </c>
      <c r="B528" s="155">
        <v>79</v>
      </c>
      <c r="C528" s="155">
        <v>79</v>
      </c>
      <c r="D528" s="155">
        <v>79</v>
      </c>
      <c r="E528" s="155">
        <v>76</v>
      </c>
      <c r="F528" s="155">
        <v>73</v>
      </c>
      <c r="G528" s="155">
        <v>70</v>
      </c>
      <c r="H528" s="155">
        <v>68</v>
      </c>
      <c r="I528" s="155">
        <v>61</v>
      </c>
      <c r="J528" s="155">
        <v>56</v>
      </c>
      <c r="K528" s="155">
        <v>50</v>
      </c>
      <c r="L528" s="155">
        <v>48</v>
      </c>
      <c r="M528" s="155">
        <v>46</v>
      </c>
      <c r="N528" s="155">
        <v>44</v>
      </c>
      <c r="O528" s="155">
        <v>42</v>
      </c>
      <c r="P528" s="155">
        <v>40</v>
      </c>
      <c r="Q528" s="155">
        <v>40</v>
      </c>
      <c r="R528" s="155">
        <v>40</v>
      </c>
      <c r="S528" s="155">
        <v>40</v>
      </c>
      <c r="T528" s="155">
        <v>40</v>
      </c>
      <c r="U528" s="155">
        <v>40</v>
      </c>
      <c r="V528" s="155">
        <v>40</v>
      </c>
      <c r="W528" s="155">
        <v>40</v>
      </c>
    </row>
    <row r="529" spans="1:23" ht="15">
      <c r="A529" s="8" t="s">
        <v>138</v>
      </c>
      <c r="B529" s="155">
        <v>77</v>
      </c>
      <c r="C529" s="155">
        <v>77</v>
      </c>
      <c r="D529" s="155">
        <v>77</v>
      </c>
      <c r="E529" s="155">
        <v>74</v>
      </c>
      <c r="F529" s="243">
        <v>72</v>
      </c>
      <c r="G529" s="155">
        <v>68</v>
      </c>
      <c r="H529" s="155">
        <v>66</v>
      </c>
      <c r="I529" s="155">
        <v>60</v>
      </c>
      <c r="J529" s="155">
        <v>55</v>
      </c>
      <c r="K529" s="155">
        <v>49</v>
      </c>
      <c r="L529" s="155">
        <v>47</v>
      </c>
      <c r="M529" s="155">
        <v>45</v>
      </c>
      <c r="N529" s="155">
        <v>43</v>
      </c>
      <c r="O529" s="155">
        <v>41</v>
      </c>
      <c r="P529" s="155">
        <v>39</v>
      </c>
      <c r="Q529" s="155">
        <v>39</v>
      </c>
      <c r="R529" s="155">
        <v>39</v>
      </c>
      <c r="S529" s="155">
        <v>39</v>
      </c>
      <c r="T529" s="155">
        <v>39</v>
      </c>
      <c r="U529" s="155">
        <v>39</v>
      </c>
      <c r="V529" s="155">
        <v>39</v>
      </c>
      <c r="W529" s="155">
        <v>39</v>
      </c>
    </row>
    <row r="530" spans="1:23" ht="12.75">
      <c r="A530" s="187" t="s">
        <v>141</v>
      </c>
      <c r="B530" s="155">
        <v>76</v>
      </c>
      <c r="C530" s="155">
        <v>76</v>
      </c>
      <c r="D530" s="155">
        <v>76</v>
      </c>
      <c r="E530" s="155">
        <v>73</v>
      </c>
      <c r="F530" s="155">
        <v>71</v>
      </c>
      <c r="G530" s="155">
        <v>68</v>
      </c>
      <c r="H530" s="155">
        <v>65</v>
      </c>
      <c r="I530" s="155">
        <v>60</v>
      </c>
      <c r="J530" s="155">
        <v>54</v>
      </c>
      <c r="K530" s="155">
        <v>48</v>
      </c>
      <c r="L530" s="155">
        <v>47</v>
      </c>
      <c r="M530" s="155">
        <v>44</v>
      </c>
      <c r="N530" s="155">
        <v>43</v>
      </c>
      <c r="O530" s="155">
        <v>40</v>
      </c>
      <c r="P530" s="155">
        <v>38</v>
      </c>
      <c r="Q530" s="155">
        <v>38</v>
      </c>
      <c r="R530" s="155">
        <v>38</v>
      </c>
      <c r="S530" s="155">
        <v>38</v>
      </c>
      <c r="T530" s="155">
        <v>38</v>
      </c>
      <c r="U530" s="155">
        <v>38</v>
      </c>
      <c r="V530" s="155">
        <v>38</v>
      </c>
      <c r="W530" s="155">
        <v>38</v>
      </c>
    </row>
    <row r="531" spans="1:23" ht="15">
      <c r="A531" s="8" t="s">
        <v>144</v>
      </c>
      <c r="B531" s="155">
        <v>76</v>
      </c>
      <c r="C531" s="155">
        <v>76</v>
      </c>
      <c r="D531" s="155">
        <v>76</v>
      </c>
      <c r="E531" s="155">
        <v>72</v>
      </c>
      <c r="F531" s="155">
        <v>70</v>
      </c>
      <c r="G531" s="155">
        <v>68</v>
      </c>
      <c r="H531" s="155">
        <v>64</v>
      </c>
      <c r="I531" s="155">
        <v>59</v>
      </c>
      <c r="J531" s="155">
        <v>53</v>
      </c>
      <c r="K531" s="155">
        <v>48</v>
      </c>
      <c r="L531" s="155">
        <v>46</v>
      </c>
      <c r="M531" s="155">
        <v>44</v>
      </c>
      <c r="N531" s="155">
        <v>42</v>
      </c>
      <c r="O531" s="155">
        <v>40</v>
      </c>
      <c r="P531" s="155">
        <v>38</v>
      </c>
      <c r="Q531" s="155">
        <v>38</v>
      </c>
      <c r="R531" s="155">
        <v>38</v>
      </c>
      <c r="S531" s="155">
        <v>38</v>
      </c>
      <c r="T531" s="155">
        <v>38</v>
      </c>
      <c r="U531" s="155">
        <v>38</v>
      </c>
      <c r="V531" s="155">
        <v>38</v>
      </c>
      <c r="W531" s="155">
        <v>38</v>
      </c>
    </row>
    <row r="532" spans="1:23" ht="12.75">
      <c r="A532" s="189" t="s">
        <v>146</v>
      </c>
      <c r="B532" s="155">
        <v>74</v>
      </c>
      <c r="C532" s="155">
        <v>74</v>
      </c>
      <c r="D532" s="155">
        <v>74</v>
      </c>
      <c r="E532" s="155">
        <v>71</v>
      </c>
      <c r="F532" s="155">
        <v>68</v>
      </c>
      <c r="G532" s="155">
        <v>66</v>
      </c>
      <c r="H532" s="155">
        <v>63</v>
      </c>
      <c r="I532" s="155">
        <v>58</v>
      </c>
      <c r="J532" s="155">
        <v>52</v>
      </c>
      <c r="K532" s="155">
        <v>47</v>
      </c>
      <c r="L532" s="155">
        <v>45</v>
      </c>
      <c r="M532" s="155">
        <v>43</v>
      </c>
      <c r="N532" s="155">
        <v>41</v>
      </c>
      <c r="O532" s="155">
        <v>39</v>
      </c>
      <c r="P532" s="155">
        <v>37</v>
      </c>
      <c r="Q532" s="155">
        <v>37</v>
      </c>
      <c r="R532" s="155">
        <v>37</v>
      </c>
      <c r="S532" s="155">
        <v>37</v>
      </c>
      <c r="T532" s="155">
        <v>37</v>
      </c>
      <c r="U532" s="155">
        <v>37</v>
      </c>
      <c r="V532" s="155">
        <v>37</v>
      </c>
      <c r="W532" s="155">
        <v>37</v>
      </c>
    </row>
    <row r="533" spans="1:23" ht="15">
      <c r="A533" s="8" t="s">
        <v>339</v>
      </c>
      <c r="B533" s="155">
        <v>72</v>
      </c>
      <c r="C533" s="155">
        <v>72</v>
      </c>
      <c r="D533" s="155">
        <v>72</v>
      </c>
      <c r="E533" s="155">
        <v>70</v>
      </c>
      <c r="F533" s="155">
        <v>67</v>
      </c>
      <c r="G533" s="155">
        <v>64</v>
      </c>
      <c r="H533" s="155">
        <v>62</v>
      </c>
      <c r="I533" s="155">
        <v>56</v>
      </c>
      <c r="J533" s="155">
        <v>51</v>
      </c>
      <c r="K533" s="155">
        <v>46</v>
      </c>
      <c r="L533" s="155">
        <v>44</v>
      </c>
      <c r="M533" s="155">
        <v>42</v>
      </c>
      <c r="N533" s="155">
        <v>40</v>
      </c>
      <c r="O533" s="155">
        <v>38</v>
      </c>
      <c r="P533" s="155">
        <v>36</v>
      </c>
      <c r="Q533" s="155">
        <v>36</v>
      </c>
      <c r="R533" s="155">
        <v>36</v>
      </c>
      <c r="S533" s="155">
        <v>36</v>
      </c>
      <c r="T533" s="155">
        <v>36</v>
      </c>
      <c r="U533" s="155">
        <v>36</v>
      </c>
      <c r="V533" s="155">
        <v>36</v>
      </c>
      <c r="W533" s="155">
        <v>36</v>
      </c>
    </row>
    <row r="534" spans="1:23" ht="15">
      <c r="A534" s="8" t="s">
        <v>150</v>
      </c>
      <c r="B534" s="243">
        <v>72</v>
      </c>
      <c r="C534" s="243">
        <v>72</v>
      </c>
      <c r="D534" s="243">
        <v>72</v>
      </c>
      <c r="E534" s="155">
        <v>69</v>
      </c>
      <c r="F534" s="155">
        <v>66</v>
      </c>
      <c r="G534" s="155">
        <v>64</v>
      </c>
      <c r="H534" s="155">
        <v>61</v>
      </c>
      <c r="I534" s="155">
        <v>56</v>
      </c>
      <c r="J534" s="155">
        <v>51</v>
      </c>
      <c r="K534" s="155">
        <v>45</v>
      </c>
      <c r="L534" s="155">
        <v>44</v>
      </c>
      <c r="M534" s="155">
        <v>42</v>
      </c>
      <c r="N534" s="155">
        <v>40</v>
      </c>
      <c r="O534" s="155">
        <v>38</v>
      </c>
      <c r="P534" s="155">
        <v>36</v>
      </c>
      <c r="Q534" s="155">
        <v>36</v>
      </c>
      <c r="R534" s="155">
        <v>36</v>
      </c>
      <c r="S534" s="155">
        <v>36</v>
      </c>
      <c r="T534" s="155">
        <v>36</v>
      </c>
      <c r="U534" s="155">
        <v>36</v>
      </c>
      <c r="V534" s="155">
        <v>36</v>
      </c>
      <c r="W534" s="155">
        <v>36</v>
      </c>
    </row>
    <row r="535" spans="1:23" ht="12.75">
      <c r="A535" s="189" t="s">
        <v>151</v>
      </c>
      <c r="B535" s="155">
        <v>70</v>
      </c>
      <c r="C535" s="155">
        <v>70</v>
      </c>
      <c r="D535" s="155">
        <v>70</v>
      </c>
      <c r="E535" s="155">
        <v>68</v>
      </c>
      <c r="F535" s="155">
        <v>65</v>
      </c>
      <c r="G535" s="155">
        <v>62</v>
      </c>
      <c r="H535" s="155">
        <v>60</v>
      </c>
      <c r="I535" s="155">
        <v>55</v>
      </c>
      <c r="J535" s="155">
        <v>49</v>
      </c>
      <c r="K535" s="155">
        <v>44</v>
      </c>
      <c r="L535" s="155">
        <v>43</v>
      </c>
      <c r="M535" s="155">
        <v>40</v>
      </c>
      <c r="N535" s="155">
        <v>39</v>
      </c>
      <c r="O535" s="155">
        <v>37</v>
      </c>
      <c r="P535" s="155">
        <v>35</v>
      </c>
      <c r="Q535" s="155">
        <v>35</v>
      </c>
      <c r="R535" s="155">
        <v>35</v>
      </c>
      <c r="S535" s="155">
        <v>35</v>
      </c>
      <c r="T535" s="155">
        <v>35</v>
      </c>
      <c r="U535" s="155">
        <v>35</v>
      </c>
      <c r="V535" s="155">
        <v>35</v>
      </c>
      <c r="W535" s="155">
        <v>35</v>
      </c>
    </row>
    <row r="536" spans="1:23" ht="15">
      <c r="A536" s="8" t="s">
        <v>152</v>
      </c>
      <c r="B536" s="155">
        <v>69</v>
      </c>
      <c r="C536" s="155">
        <v>69</v>
      </c>
      <c r="D536" s="155">
        <v>69</v>
      </c>
      <c r="E536" s="155">
        <v>67</v>
      </c>
      <c r="F536" s="155">
        <v>64</v>
      </c>
      <c r="G536" s="155">
        <v>61</v>
      </c>
      <c r="H536" s="155">
        <v>59</v>
      </c>
      <c r="I536" s="155">
        <v>54</v>
      </c>
      <c r="J536" s="155">
        <v>49</v>
      </c>
      <c r="K536" s="155">
        <v>44</v>
      </c>
      <c r="L536" s="155">
        <v>42</v>
      </c>
      <c r="M536" s="155">
        <v>40</v>
      </c>
      <c r="N536" s="155">
        <v>39</v>
      </c>
      <c r="O536" s="155">
        <v>36</v>
      </c>
      <c r="P536" s="155">
        <v>35</v>
      </c>
      <c r="Q536" s="155">
        <v>35</v>
      </c>
      <c r="R536" s="155">
        <v>35</v>
      </c>
      <c r="S536" s="155">
        <v>35</v>
      </c>
      <c r="T536" s="155">
        <v>35</v>
      </c>
      <c r="U536" s="155">
        <v>35</v>
      </c>
      <c r="V536" s="155">
        <v>35</v>
      </c>
      <c r="W536" s="155">
        <v>35</v>
      </c>
    </row>
    <row r="537" spans="1:23" ht="15">
      <c r="A537" s="150" t="s">
        <v>328</v>
      </c>
      <c r="B537" s="151" t="s">
        <v>24</v>
      </c>
      <c r="C537" s="151" t="s">
        <v>25</v>
      </c>
      <c r="D537" s="151" t="s">
        <v>26</v>
      </c>
      <c r="E537" s="151" t="s">
        <v>27</v>
      </c>
      <c r="F537" s="151" t="s">
        <v>28</v>
      </c>
      <c r="G537" s="151" t="s">
        <v>74</v>
      </c>
      <c r="H537" s="151" t="s">
        <v>75</v>
      </c>
      <c r="I537" s="151" t="s">
        <v>76</v>
      </c>
      <c r="J537" s="151" t="s">
        <v>77</v>
      </c>
      <c r="K537" s="151" t="s">
        <v>78</v>
      </c>
      <c r="L537" s="151" t="s">
        <v>79</v>
      </c>
      <c r="M537" s="151" t="s">
        <v>80</v>
      </c>
      <c r="N537" s="16" t="s">
        <v>81</v>
      </c>
      <c r="O537" s="16" t="s">
        <v>82</v>
      </c>
      <c r="P537" s="16" t="s">
        <v>83</v>
      </c>
      <c r="Q537" s="16" t="s">
        <v>84</v>
      </c>
      <c r="R537" s="151" t="s">
        <v>85</v>
      </c>
      <c r="S537" s="16" t="s">
        <v>86</v>
      </c>
      <c r="T537" s="16" t="s">
        <v>87</v>
      </c>
      <c r="U537" s="16" t="s">
        <v>88</v>
      </c>
      <c r="V537" s="16" t="s">
        <v>89</v>
      </c>
      <c r="W537" s="151" t="s">
        <v>90</v>
      </c>
    </row>
    <row r="538" spans="1:23" ht="15">
      <c r="A538" s="8" t="s">
        <v>106</v>
      </c>
      <c r="B538" s="155">
        <f t="array" ref="B538:W542">INT($Z$113:$AU$117*0.8)</f>
        <v>70</v>
      </c>
      <c r="C538" s="155">
        <v>70</v>
      </c>
      <c r="D538" s="155">
        <v>70</v>
      </c>
      <c r="E538" s="155">
        <v>65</v>
      </c>
      <c r="F538" s="155">
        <v>60</v>
      </c>
      <c r="G538" s="155">
        <v>54</v>
      </c>
      <c r="H538" s="155">
        <v>49</v>
      </c>
      <c r="I538" s="155">
        <v>39</v>
      </c>
      <c r="J538" s="155">
        <v>36</v>
      </c>
      <c r="K538" s="155">
        <v>33</v>
      </c>
      <c r="L538" s="155">
        <v>33</v>
      </c>
      <c r="M538" s="155">
        <v>33</v>
      </c>
      <c r="N538" s="155">
        <v>33</v>
      </c>
      <c r="O538" s="155">
        <v>33</v>
      </c>
      <c r="P538" s="155">
        <v>33</v>
      </c>
      <c r="Q538" s="155">
        <v>33</v>
      </c>
      <c r="R538" s="155">
        <v>33</v>
      </c>
      <c r="S538" s="155">
        <v>33</v>
      </c>
      <c r="T538" s="155">
        <v>33</v>
      </c>
      <c r="U538" s="155">
        <v>33</v>
      </c>
      <c r="V538" s="155">
        <v>33</v>
      </c>
      <c r="W538" s="155">
        <v>33</v>
      </c>
    </row>
    <row r="539" spans="1:23" ht="15">
      <c r="A539" s="52" t="s">
        <v>108</v>
      </c>
      <c r="B539" s="155">
        <v>68</v>
      </c>
      <c r="C539" s="155">
        <v>68</v>
      </c>
      <c r="D539" s="155">
        <v>68</v>
      </c>
      <c r="E539" s="155">
        <v>62</v>
      </c>
      <c r="F539" s="155">
        <v>57</v>
      </c>
      <c r="G539" s="155">
        <v>52</v>
      </c>
      <c r="H539" s="155">
        <v>47</v>
      </c>
      <c r="I539" s="155">
        <v>37</v>
      </c>
      <c r="J539" s="155">
        <v>34</v>
      </c>
      <c r="K539" s="155">
        <v>32</v>
      </c>
      <c r="L539" s="155">
        <v>32</v>
      </c>
      <c r="M539" s="155">
        <v>32</v>
      </c>
      <c r="N539" s="155">
        <v>32</v>
      </c>
      <c r="O539" s="155">
        <v>32</v>
      </c>
      <c r="P539" s="155">
        <v>32</v>
      </c>
      <c r="Q539" s="155">
        <v>32</v>
      </c>
      <c r="R539" s="155">
        <v>32</v>
      </c>
      <c r="S539" s="155">
        <v>32</v>
      </c>
      <c r="T539" s="155">
        <v>32</v>
      </c>
      <c r="U539" s="155">
        <v>32</v>
      </c>
      <c r="V539" s="155">
        <v>32</v>
      </c>
      <c r="W539" s="155">
        <v>32</v>
      </c>
    </row>
    <row r="540" spans="1:23" ht="15">
      <c r="A540" s="50" t="s">
        <v>110</v>
      </c>
      <c r="B540" s="155">
        <v>66</v>
      </c>
      <c r="C540" s="155">
        <v>66</v>
      </c>
      <c r="D540" s="155">
        <v>66</v>
      </c>
      <c r="E540" s="155">
        <v>61</v>
      </c>
      <c r="F540" s="155">
        <v>56</v>
      </c>
      <c r="G540" s="155">
        <v>51</v>
      </c>
      <c r="H540" s="155">
        <v>46</v>
      </c>
      <c r="I540" s="155">
        <v>36</v>
      </c>
      <c r="J540" s="155">
        <v>33</v>
      </c>
      <c r="K540" s="155">
        <v>31</v>
      </c>
      <c r="L540" s="155">
        <v>31</v>
      </c>
      <c r="M540" s="155">
        <v>31</v>
      </c>
      <c r="N540" s="155">
        <v>31</v>
      </c>
      <c r="O540" s="155">
        <v>31</v>
      </c>
      <c r="P540" s="155">
        <v>31</v>
      </c>
      <c r="Q540" s="155">
        <v>31</v>
      </c>
      <c r="R540" s="155">
        <v>31</v>
      </c>
      <c r="S540" s="155">
        <v>31</v>
      </c>
      <c r="T540" s="155">
        <v>31</v>
      </c>
      <c r="U540" s="155">
        <v>31</v>
      </c>
      <c r="V540" s="155">
        <v>31</v>
      </c>
      <c r="W540" s="155">
        <v>31</v>
      </c>
    </row>
    <row r="541" spans="1:23" ht="15">
      <c r="A541" s="50" t="s">
        <v>112</v>
      </c>
      <c r="B541" s="164">
        <v>64</v>
      </c>
      <c r="C541" s="155">
        <v>64</v>
      </c>
      <c r="D541" s="155">
        <v>64</v>
      </c>
      <c r="E541" s="155">
        <v>59</v>
      </c>
      <c r="F541" s="155">
        <v>54</v>
      </c>
      <c r="G541" s="155">
        <v>49</v>
      </c>
      <c r="H541" s="155">
        <v>44</v>
      </c>
      <c r="I541" s="155">
        <v>35</v>
      </c>
      <c r="J541" s="155">
        <v>32</v>
      </c>
      <c r="K541" s="155">
        <v>30</v>
      </c>
      <c r="L541" s="155">
        <v>30</v>
      </c>
      <c r="M541" s="155">
        <v>30</v>
      </c>
      <c r="N541" s="155">
        <v>30</v>
      </c>
      <c r="O541" s="155">
        <v>30</v>
      </c>
      <c r="P541" s="155">
        <v>30</v>
      </c>
      <c r="Q541" s="155">
        <v>30</v>
      </c>
      <c r="R541" s="155">
        <v>30</v>
      </c>
      <c r="S541" s="155">
        <v>30</v>
      </c>
      <c r="T541" s="155">
        <v>30</v>
      </c>
      <c r="U541" s="155">
        <v>30</v>
      </c>
      <c r="V541" s="155">
        <v>30</v>
      </c>
      <c r="W541" s="155">
        <v>30</v>
      </c>
    </row>
    <row r="542" spans="1:23" ht="15">
      <c r="A542" s="50" t="s">
        <v>114</v>
      </c>
      <c r="B542" s="164">
        <v>62</v>
      </c>
      <c r="C542" s="155">
        <v>62</v>
      </c>
      <c r="D542" s="155">
        <v>62</v>
      </c>
      <c r="E542" s="155">
        <v>57</v>
      </c>
      <c r="F542" s="155">
        <v>52</v>
      </c>
      <c r="G542" s="155">
        <v>48</v>
      </c>
      <c r="H542" s="155">
        <v>44</v>
      </c>
      <c r="I542" s="155">
        <v>34</v>
      </c>
      <c r="J542" s="155">
        <v>32</v>
      </c>
      <c r="K542" s="155">
        <v>29</v>
      </c>
      <c r="L542" s="155">
        <v>29</v>
      </c>
      <c r="M542" s="155">
        <v>29</v>
      </c>
      <c r="N542" s="155">
        <v>29</v>
      </c>
      <c r="O542" s="155">
        <v>29</v>
      </c>
      <c r="P542" s="155">
        <v>29</v>
      </c>
      <c r="Q542" s="155">
        <v>29</v>
      </c>
      <c r="R542" s="155">
        <v>29</v>
      </c>
      <c r="S542" s="155">
        <v>29</v>
      </c>
      <c r="T542" s="155">
        <v>29</v>
      </c>
      <c r="U542" s="155">
        <v>29</v>
      </c>
      <c r="V542" s="155">
        <v>29</v>
      </c>
      <c r="W542" s="155">
        <v>29</v>
      </c>
    </row>
    <row r="543" spans="1:23" ht="15">
      <c r="A543" s="150" t="s">
        <v>333</v>
      </c>
      <c r="B543" s="151" t="s">
        <v>24</v>
      </c>
      <c r="C543" s="151" t="s">
        <v>25</v>
      </c>
      <c r="D543" s="151" t="s">
        <v>26</v>
      </c>
      <c r="E543" s="151" t="s">
        <v>27</v>
      </c>
      <c r="F543" s="151" t="s">
        <v>28</v>
      </c>
      <c r="G543" s="151" t="s">
        <v>74</v>
      </c>
      <c r="H543" s="151" t="s">
        <v>75</v>
      </c>
      <c r="I543" s="151" t="s">
        <v>76</v>
      </c>
      <c r="J543" s="151" t="s">
        <v>77</v>
      </c>
      <c r="K543" s="151" t="s">
        <v>78</v>
      </c>
      <c r="L543" s="151" t="s">
        <v>79</v>
      </c>
      <c r="M543" s="151" t="s">
        <v>80</v>
      </c>
      <c r="N543" s="16" t="s">
        <v>81</v>
      </c>
      <c r="O543" s="16" t="s">
        <v>82</v>
      </c>
      <c r="P543" s="16" t="s">
        <v>83</v>
      </c>
      <c r="Q543" s="16" t="s">
        <v>84</v>
      </c>
      <c r="R543" s="151" t="s">
        <v>85</v>
      </c>
      <c r="S543" s="16" t="s">
        <v>86</v>
      </c>
      <c r="T543" s="16" t="s">
        <v>87</v>
      </c>
      <c r="U543" s="16" t="s">
        <v>88</v>
      </c>
      <c r="V543" s="16" t="s">
        <v>89</v>
      </c>
      <c r="W543" s="151" t="s">
        <v>90</v>
      </c>
    </row>
    <row r="544" spans="1:23" ht="12.75">
      <c r="A544" s="192" t="s">
        <v>119</v>
      </c>
      <c r="B544" s="155">
        <f t="array" ref="B544:W550">INT($Z$119:$AU$125*0.8)</f>
        <v>84</v>
      </c>
      <c r="C544" s="155">
        <v>84</v>
      </c>
      <c r="D544" s="155">
        <v>84</v>
      </c>
      <c r="E544" s="155">
        <v>77</v>
      </c>
      <c r="F544" s="155">
        <v>70</v>
      </c>
      <c r="G544" s="155">
        <v>63</v>
      </c>
      <c r="H544" s="155">
        <v>56</v>
      </c>
      <c r="I544" s="155">
        <v>41</v>
      </c>
      <c r="J544" s="155">
        <v>39</v>
      </c>
      <c r="K544" s="155">
        <v>36</v>
      </c>
      <c r="L544" s="155">
        <v>36</v>
      </c>
      <c r="M544" s="155">
        <v>36</v>
      </c>
      <c r="N544" s="155">
        <v>36</v>
      </c>
      <c r="O544" s="155">
        <v>36</v>
      </c>
      <c r="P544" s="155">
        <v>36</v>
      </c>
      <c r="Q544" s="155">
        <v>36</v>
      </c>
      <c r="R544" s="155">
        <v>36</v>
      </c>
      <c r="S544" s="155">
        <v>36</v>
      </c>
      <c r="T544" s="155">
        <v>36</v>
      </c>
      <c r="U544" s="155">
        <v>36</v>
      </c>
      <c r="V544" s="155">
        <v>36</v>
      </c>
      <c r="W544" s="155">
        <v>36</v>
      </c>
    </row>
    <row r="545" spans="1:23" ht="12.75">
      <c r="A545" s="194" t="s">
        <v>136</v>
      </c>
      <c r="B545" s="155">
        <v>84</v>
      </c>
      <c r="C545" s="155">
        <v>84</v>
      </c>
      <c r="D545" s="155">
        <v>84</v>
      </c>
      <c r="E545" s="155">
        <v>76</v>
      </c>
      <c r="F545" s="155">
        <v>70</v>
      </c>
      <c r="G545" s="155">
        <v>63</v>
      </c>
      <c r="H545" s="155">
        <v>56</v>
      </c>
      <c r="I545" s="155">
        <v>41</v>
      </c>
      <c r="J545" s="155">
        <v>38</v>
      </c>
      <c r="K545" s="155">
        <v>36</v>
      </c>
      <c r="L545" s="155">
        <v>36</v>
      </c>
      <c r="M545" s="155">
        <v>36</v>
      </c>
      <c r="N545" s="155">
        <v>36</v>
      </c>
      <c r="O545" s="155">
        <v>36</v>
      </c>
      <c r="P545" s="155">
        <v>36</v>
      </c>
      <c r="Q545" s="155">
        <v>36</v>
      </c>
      <c r="R545" s="155">
        <v>36</v>
      </c>
      <c r="S545" s="155">
        <v>36</v>
      </c>
      <c r="T545" s="155">
        <v>36</v>
      </c>
      <c r="U545" s="155">
        <v>36</v>
      </c>
      <c r="V545" s="155">
        <v>36</v>
      </c>
      <c r="W545" s="155">
        <v>36</v>
      </c>
    </row>
    <row r="546" spans="1:23" ht="12.75">
      <c r="A546" s="196" t="s">
        <v>139</v>
      </c>
      <c r="B546" s="155">
        <v>79</v>
      </c>
      <c r="C546" s="155">
        <v>79</v>
      </c>
      <c r="D546" s="155">
        <v>79</v>
      </c>
      <c r="E546" s="155">
        <v>72</v>
      </c>
      <c r="F546" s="155">
        <v>66</v>
      </c>
      <c r="G546" s="155">
        <v>59</v>
      </c>
      <c r="H546" s="155">
        <v>52</v>
      </c>
      <c r="I546" s="155">
        <v>39</v>
      </c>
      <c r="J546" s="155">
        <v>36</v>
      </c>
      <c r="K546" s="155">
        <v>34</v>
      </c>
      <c r="L546" s="155">
        <v>34</v>
      </c>
      <c r="M546" s="155">
        <v>34</v>
      </c>
      <c r="N546" s="155">
        <v>34</v>
      </c>
      <c r="O546" s="155">
        <v>34</v>
      </c>
      <c r="P546" s="155">
        <v>34</v>
      </c>
      <c r="Q546" s="155">
        <v>34</v>
      </c>
      <c r="R546" s="155">
        <v>34</v>
      </c>
      <c r="S546" s="155">
        <v>34</v>
      </c>
      <c r="T546" s="155">
        <v>34</v>
      </c>
      <c r="U546" s="155">
        <v>34</v>
      </c>
      <c r="V546" s="155">
        <v>34</v>
      </c>
      <c r="W546" s="155">
        <v>34</v>
      </c>
    </row>
    <row r="547" spans="1:23" ht="12.75">
      <c r="A547" s="197" t="s">
        <v>142</v>
      </c>
      <c r="B547" s="155">
        <v>76</v>
      </c>
      <c r="C547" s="155">
        <v>76</v>
      </c>
      <c r="D547" s="155">
        <v>76</v>
      </c>
      <c r="E547" s="155">
        <v>69</v>
      </c>
      <c r="F547" s="155">
        <v>63</v>
      </c>
      <c r="G547" s="155">
        <v>56</v>
      </c>
      <c r="H547" s="155">
        <v>50</v>
      </c>
      <c r="I547" s="155">
        <v>37</v>
      </c>
      <c r="J547" s="155">
        <v>35</v>
      </c>
      <c r="K547" s="155">
        <v>32</v>
      </c>
      <c r="L547" s="155">
        <v>32</v>
      </c>
      <c r="M547" s="155">
        <v>32</v>
      </c>
      <c r="N547" s="155">
        <v>32</v>
      </c>
      <c r="O547" s="155">
        <v>32</v>
      </c>
      <c r="P547" s="155">
        <v>32</v>
      </c>
      <c r="Q547" s="155">
        <v>32</v>
      </c>
      <c r="R547" s="155">
        <v>32</v>
      </c>
      <c r="S547" s="155">
        <v>32</v>
      </c>
      <c r="T547" s="155">
        <v>32</v>
      </c>
      <c r="U547" s="155">
        <v>32</v>
      </c>
      <c r="V547" s="155">
        <v>32</v>
      </c>
      <c r="W547" s="155">
        <v>32</v>
      </c>
    </row>
    <row r="548" spans="1:23" ht="15">
      <c r="A548" s="199" t="s">
        <v>145</v>
      </c>
      <c r="B548" s="243">
        <v>72</v>
      </c>
      <c r="C548" s="243">
        <v>72</v>
      </c>
      <c r="D548" s="243">
        <v>72</v>
      </c>
      <c r="E548" s="155">
        <v>66</v>
      </c>
      <c r="F548" s="155">
        <v>60</v>
      </c>
      <c r="G548" s="155">
        <v>53</v>
      </c>
      <c r="H548" s="155">
        <v>48</v>
      </c>
      <c r="I548" s="155">
        <v>35</v>
      </c>
      <c r="J548" s="155">
        <v>32</v>
      </c>
      <c r="K548" s="155">
        <v>31</v>
      </c>
      <c r="L548" s="155">
        <v>31</v>
      </c>
      <c r="M548" s="155">
        <v>31</v>
      </c>
      <c r="N548" s="155">
        <v>31</v>
      </c>
      <c r="O548" s="155">
        <v>31</v>
      </c>
      <c r="P548" s="155">
        <v>31</v>
      </c>
      <c r="Q548" s="155">
        <v>31</v>
      </c>
      <c r="R548" s="155">
        <v>31</v>
      </c>
      <c r="S548" s="155">
        <v>31</v>
      </c>
      <c r="T548" s="155">
        <v>31</v>
      </c>
      <c r="U548" s="155">
        <v>31</v>
      </c>
      <c r="V548" s="155">
        <v>31</v>
      </c>
      <c r="W548" s="155">
        <v>31</v>
      </c>
    </row>
    <row r="549" spans="1:23" ht="12.75">
      <c r="A549" s="200" t="s">
        <v>147</v>
      </c>
      <c r="B549" s="164">
        <v>70</v>
      </c>
      <c r="C549" s="164">
        <v>70</v>
      </c>
      <c r="D549" s="155">
        <v>70</v>
      </c>
      <c r="E549" s="155">
        <v>64</v>
      </c>
      <c r="F549" s="155">
        <v>58</v>
      </c>
      <c r="G549" s="155">
        <v>52</v>
      </c>
      <c r="H549" s="155">
        <v>46</v>
      </c>
      <c r="I549" s="155">
        <v>34</v>
      </c>
      <c r="J549" s="155">
        <v>32</v>
      </c>
      <c r="K549" s="155">
        <v>30</v>
      </c>
      <c r="L549" s="155">
        <v>30</v>
      </c>
      <c r="M549" s="155">
        <v>30</v>
      </c>
      <c r="N549" s="155">
        <v>30</v>
      </c>
      <c r="O549" s="155">
        <v>30</v>
      </c>
      <c r="P549" s="155">
        <v>30</v>
      </c>
      <c r="Q549" s="155">
        <v>30</v>
      </c>
      <c r="R549" s="155">
        <v>30</v>
      </c>
      <c r="S549" s="155">
        <v>30</v>
      </c>
      <c r="T549" s="155">
        <v>30</v>
      </c>
      <c r="U549" s="155">
        <v>30</v>
      </c>
      <c r="V549" s="155">
        <v>30</v>
      </c>
      <c r="W549" s="155">
        <v>30</v>
      </c>
    </row>
    <row r="550" spans="1:23" ht="12.75">
      <c r="A550" s="202" t="s">
        <v>149</v>
      </c>
      <c r="B550" s="164">
        <v>66</v>
      </c>
      <c r="C550" s="164">
        <v>66</v>
      </c>
      <c r="D550" s="155">
        <v>66</v>
      </c>
      <c r="E550" s="155">
        <v>60</v>
      </c>
      <c r="F550" s="155">
        <v>55</v>
      </c>
      <c r="G550" s="155">
        <v>49</v>
      </c>
      <c r="H550" s="155">
        <v>44</v>
      </c>
      <c r="I550" s="155">
        <v>32</v>
      </c>
      <c r="J550" s="155">
        <v>30</v>
      </c>
      <c r="K550" s="155">
        <v>28</v>
      </c>
      <c r="L550" s="155">
        <v>28</v>
      </c>
      <c r="M550" s="155">
        <v>28</v>
      </c>
      <c r="N550" s="155">
        <v>28</v>
      </c>
      <c r="O550" s="155">
        <v>28</v>
      </c>
      <c r="P550" s="155">
        <v>28</v>
      </c>
      <c r="Q550" s="155">
        <v>28</v>
      </c>
      <c r="R550" s="155">
        <v>28</v>
      </c>
      <c r="S550" s="155">
        <v>28</v>
      </c>
      <c r="T550" s="155">
        <v>28</v>
      </c>
      <c r="U550" s="155">
        <v>28</v>
      </c>
      <c r="V550" s="155">
        <v>28</v>
      </c>
      <c r="W550" s="155">
        <v>28</v>
      </c>
    </row>
    <row r="551" spans="1:23" ht="15">
      <c r="A551" s="145" t="s">
        <v>340</v>
      </c>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row>
    <row r="552" spans="1:23" ht="15">
      <c r="A552" s="150" t="s">
        <v>323</v>
      </c>
      <c r="B552" s="151" t="s">
        <v>24</v>
      </c>
      <c r="C552" s="151" t="s">
        <v>25</v>
      </c>
      <c r="D552" s="151" t="s">
        <v>26</v>
      </c>
      <c r="E552" s="151" t="s">
        <v>27</v>
      </c>
      <c r="F552" s="151" t="s">
        <v>28</v>
      </c>
      <c r="G552" s="151" t="s">
        <v>74</v>
      </c>
      <c r="H552" s="151" t="s">
        <v>75</v>
      </c>
      <c r="I552" s="151" t="s">
        <v>76</v>
      </c>
      <c r="J552" s="151" t="s">
        <v>77</v>
      </c>
      <c r="K552" s="151" t="s">
        <v>78</v>
      </c>
      <c r="L552" s="151" t="s">
        <v>79</v>
      </c>
      <c r="M552" s="151" t="s">
        <v>80</v>
      </c>
      <c r="N552" s="16" t="s">
        <v>81</v>
      </c>
      <c r="O552" s="16" t="s">
        <v>82</v>
      </c>
      <c r="P552" s="16" t="s">
        <v>83</v>
      </c>
      <c r="Q552" s="16" t="s">
        <v>84</v>
      </c>
      <c r="R552" s="151" t="s">
        <v>85</v>
      </c>
      <c r="S552" s="16" t="s">
        <v>86</v>
      </c>
      <c r="T552" s="16" t="s">
        <v>87</v>
      </c>
      <c r="U552" s="16" t="s">
        <v>88</v>
      </c>
      <c r="V552" s="16" t="s">
        <v>89</v>
      </c>
      <c r="W552" s="151" t="s">
        <v>90</v>
      </c>
    </row>
    <row r="553" spans="1:23" ht="15">
      <c r="A553" s="50" t="s">
        <v>341</v>
      </c>
      <c r="B553" s="155">
        <f t="array" ref="B553:W559">INT($Z$128:$AU$134*0.8)</f>
        <v>69</v>
      </c>
      <c r="C553" s="155">
        <v>64</v>
      </c>
      <c r="D553" s="155">
        <v>60</v>
      </c>
      <c r="E553" s="155">
        <v>56</v>
      </c>
      <c r="F553" s="155">
        <v>52</v>
      </c>
      <c r="G553" s="155">
        <v>47</v>
      </c>
      <c r="H553" s="155">
        <v>43</v>
      </c>
      <c r="I553" s="155">
        <v>41</v>
      </c>
      <c r="J553" s="155">
        <v>40</v>
      </c>
      <c r="K553" s="155">
        <v>38</v>
      </c>
      <c r="L553" s="155">
        <v>36</v>
      </c>
      <c r="M553" s="155">
        <v>35</v>
      </c>
      <c r="N553" s="155">
        <v>35</v>
      </c>
      <c r="O553" s="155">
        <v>35</v>
      </c>
      <c r="P553" s="155">
        <v>35</v>
      </c>
      <c r="Q553" s="155">
        <v>35</v>
      </c>
      <c r="R553" s="155">
        <v>35</v>
      </c>
      <c r="S553" s="155">
        <v>35</v>
      </c>
      <c r="T553" s="155">
        <v>35</v>
      </c>
      <c r="U553" s="155">
        <v>35</v>
      </c>
      <c r="V553" s="155">
        <v>35</v>
      </c>
      <c r="W553" s="155">
        <v>35</v>
      </c>
    </row>
    <row r="554" spans="1:23" ht="12.75">
      <c r="A554" s="42" t="s">
        <v>342</v>
      </c>
      <c r="B554" s="155">
        <v>68</v>
      </c>
      <c r="C554" s="155">
        <v>63</v>
      </c>
      <c r="D554" s="155">
        <v>59</v>
      </c>
      <c r="E554" s="155">
        <v>54</v>
      </c>
      <c r="F554" s="155">
        <v>50</v>
      </c>
      <c r="G554" s="155">
        <v>46</v>
      </c>
      <c r="H554" s="155">
        <v>42</v>
      </c>
      <c r="I554" s="155">
        <v>40</v>
      </c>
      <c r="J554" s="155">
        <v>39</v>
      </c>
      <c r="K554" s="155">
        <v>37</v>
      </c>
      <c r="L554" s="155">
        <v>36</v>
      </c>
      <c r="M554" s="155">
        <v>34</v>
      </c>
      <c r="N554" s="155">
        <v>34</v>
      </c>
      <c r="O554" s="155">
        <v>34</v>
      </c>
      <c r="P554" s="155">
        <v>34</v>
      </c>
      <c r="Q554" s="155">
        <v>34</v>
      </c>
      <c r="R554" s="155">
        <v>34</v>
      </c>
      <c r="S554" s="155">
        <v>34</v>
      </c>
      <c r="T554" s="155">
        <v>34</v>
      </c>
      <c r="U554" s="155">
        <v>34</v>
      </c>
      <c r="V554" s="155">
        <v>34</v>
      </c>
      <c r="W554" s="155">
        <v>34</v>
      </c>
    </row>
    <row r="555" spans="1:23" ht="12.75">
      <c r="A555" s="184" t="s">
        <v>343</v>
      </c>
      <c r="B555" s="155">
        <v>66</v>
      </c>
      <c r="C555" s="155">
        <v>62</v>
      </c>
      <c r="D555" s="155">
        <v>57</v>
      </c>
      <c r="E555" s="155">
        <v>53</v>
      </c>
      <c r="F555" s="155">
        <v>49</v>
      </c>
      <c r="G555" s="155">
        <v>45</v>
      </c>
      <c r="H555" s="155">
        <v>40</v>
      </c>
      <c r="I555" s="155">
        <v>39</v>
      </c>
      <c r="J555" s="155">
        <v>37</v>
      </c>
      <c r="K555" s="155">
        <v>36</v>
      </c>
      <c r="L555" s="155">
        <v>35</v>
      </c>
      <c r="M555" s="155">
        <v>33</v>
      </c>
      <c r="N555" s="155">
        <v>33</v>
      </c>
      <c r="O555" s="155">
        <v>33</v>
      </c>
      <c r="P555" s="155">
        <v>33</v>
      </c>
      <c r="Q555" s="155">
        <v>33</v>
      </c>
      <c r="R555" s="155">
        <v>33</v>
      </c>
      <c r="S555" s="155">
        <v>33</v>
      </c>
      <c r="T555" s="155">
        <v>33</v>
      </c>
      <c r="U555" s="155">
        <v>33</v>
      </c>
      <c r="V555" s="155">
        <v>33</v>
      </c>
      <c r="W555" s="155">
        <v>33</v>
      </c>
    </row>
    <row r="556" spans="1:23" ht="12.75">
      <c r="A556" s="42" t="s">
        <v>344</v>
      </c>
      <c r="B556" s="155">
        <v>64</v>
      </c>
      <c r="C556" s="155">
        <v>60</v>
      </c>
      <c r="D556" s="155">
        <v>56</v>
      </c>
      <c r="E556" s="155">
        <v>52</v>
      </c>
      <c r="F556" s="155">
        <v>48</v>
      </c>
      <c r="G556" s="155">
        <v>44</v>
      </c>
      <c r="H556" s="155">
        <v>40</v>
      </c>
      <c r="I556" s="155">
        <v>37</v>
      </c>
      <c r="J556" s="155">
        <v>36</v>
      </c>
      <c r="K556" s="155">
        <v>35</v>
      </c>
      <c r="L556" s="155">
        <v>33</v>
      </c>
      <c r="M556" s="155">
        <v>32</v>
      </c>
      <c r="N556" s="155">
        <v>32</v>
      </c>
      <c r="O556" s="155">
        <v>32</v>
      </c>
      <c r="P556" s="155">
        <v>32</v>
      </c>
      <c r="Q556" s="155">
        <v>32</v>
      </c>
      <c r="R556" s="155">
        <v>32</v>
      </c>
      <c r="S556" s="155">
        <v>32</v>
      </c>
      <c r="T556" s="155">
        <v>32</v>
      </c>
      <c r="U556" s="155">
        <v>32</v>
      </c>
      <c r="V556" s="155">
        <v>32</v>
      </c>
      <c r="W556" s="155">
        <v>32</v>
      </c>
    </row>
    <row r="557" spans="1:23" ht="12.75">
      <c r="A557" s="165" t="s">
        <v>345</v>
      </c>
      <c r="B557" s="155">
        <v>62</v>
      </c>
      <c r="C557" s="155">
        <v>58</v>
      </c>
      <c r="D557" s="155">
        <v>54</v>
      </c>
      <c r="E557" s="155">
        <v>50</v>
      </c>
      <c r="F557" s="155">
        <v>46</v>
      </c>
      <c r="G557" s="155">
        <v>42</v>
      </c>
      <c r="H557" s="155">
        <v>38</v>
      </c>
      <c r="I557" s="155">
        <v>36</v>
      </c>
      <c r="J557" s="155">
        <v>36</v>
      </c>
      <c r="K557" s="155">
        <v>34</v>
      </c>
      <c r="L557" s="155">
        <v>32</v>
      </c>
      <c r="M557" s="155">
        <v>31</v>
      </c>
      <c r="N557" s="155">
        <v>31</v>
      </c>
      <c r="O557" s="155">
        <v>31</v>
      </c>
      <c r="P557" s="155">
        <v>31</v>
      </c>
      <c r="Q557" s="155">
        <v>31</v>
      </c>
      <c r="R557" s="155">
        <v>31</v>
      </c>
      <c r="S557" s="155">
        <v>31</v>
      </c>
      <c r="T557" s="155">
        <v>31</v>
      </c>
      <c r="U557" s="155">
        <v>31</v>
      </c>
      <c r="V557" s="155">
        <v>31</v>
      </c>
      <c r="W557" s="155">
        <v>31</v>
      </c>
    </row>
    <row r="558" spans="1:23" ht="15">
      <c r="A558" s="50" t="s">
        <v>346</v>
      </c>
      <c r="B558" s="155">
        <v>61</v>
      </c>
      <c r="C558" s="155">
        <v>57</v>
      </c>
      <c r="D558" s="155">
        <v>53</v>
      </c>
      <c r="E558" s="155">
        <v>49</v>
      </c>
      <c r="F558" s="155">
        <v>45</v>
      </c>
      <c r="G558" s="155">
        <v>42</v>
      </c>
      <c r="H558" s="155">
        <v>38</v>
      </c>
      <c r="I558" s="155">
        <v>36</v>
      </c>
      <c r="J558" s="155">
        <v>35</v>
      </c>
      <c r="K558" s="155">
        <v>33</v>
      </c>
      <c r="L558" s="155">
        <v>32</v>
      </c>
      <c r="M558" s="155">
        <v>31</v>
      </c>
      <c r="N558" s="155">
        <v>31</v>
      </c>
      <c r="O558" s="155">
        <v>31</v>
      </c>
      <c r="P558" s="155">
        <v>31</v>
      </c>
      <c r="Q558" s="155">
        <v>31</v>
      </c>
      <c r="R558" s="155">
        <v>31</v>
      </c>
      <c r="S558" s="155">
        <v>31</v>
      </c>
      <c r="T558" s="155">
        <v>31</v>
      </c>
      <c r="U558" s="155">
        <v>31</v>
      </c>
      <c r="V558" s="155">
        <v>31</v>
      </c>
      <c r="W558" s="155">
        <v>31</v>
      </c>
    </row>
    <row r="559" spans="1:23" ht="15">
      <c r="A559" s="38" t="s">
        <v>347</v>
      </c>
      <c r="B559" s="155">
        <v>60</v>
      </c>
      <c r="C559" s="155">
        <v>56</v>
      </c>
      <c r="D559" s="155">
        <v>52</v>
      </c>
      <c r="E559" s="155">
        <v>48</v>
      </c>
      <c r="F559" s="155">
        <v>45</v>
      </c>
      <c r="G559" s="155">
        <v>41</v>
      </c>
      <c r="H559" s="155">
        <v>37</v>
      </c>
      <c r="I559" s="155">
        <v>36</v>
      </c>
      <c r="J559" s="155">
        <v>34</v>
      </c>
      <c r="K559" s="155">
        <v>33</v>
      </c>
      <c r="L559" s="155">
        <v>32</v>
      </c>
      <c r="M559" s="155">
        <v>30</v>
      </c>
      <c r="N559" s="155">
        <v>30</v>
      </c>
      <c r="O559" s="155">
        <v>30</v>
      </c>
      <c r="P559" s="155">
        <v>30</v>
      </c>
      <c r="Q559" s="155">
        <v>30</v>
      </c>
      <c r="R559" s="155">
        <v>30</v>
      </c>
      <c r="S559" s="155">
        <v>30</v>
      </c>
      <c r="T559" s="155">
        <v>30</v>
      </c>
      <c r="U559" s="155">
        <v>30</v>
      </c>
      <c r="V559" s="155">
        <v>30</v>
      </c>
      <c r="W559" s="155">
        <v>30</v>
      </c>
    </row>
    <row r="560" spans="1:23" ht="15">
      <c r="A560" s="150" t="s">
        <v>328</v>
      </c>
      <c r="B560" s="151" t="s">
        <v>24</v>
      </c>
      <c r="C560" s="151" t="s">
        <v>25</v>
      </c>
      <c r="D560" s="151" t="s">
        <v>26</v>
      </c>
      <c r="E560" s="151" t="s">
        <v>27</v>
      </c>
      <c r="F560" s="151" t="s">
        <v>28</v>
      </c>
      <c r="G560" s="151" t="s">
        <v>74</v>
      </c>
      <c r="H560" s="151" t="s">
        <v>75</v>
      </c>
      <c r="I560" s="151" t="s">
        <v>76</v>
      </c>
      <c r="J560" s="151" t="s">
        <v>77</v>
      </c>
      <c r="K560" s="151" t="s">
        <v>78</v>
      </c>
      <c r="L560" s="151" t="s">
        <v>79</v>
      </c>
      <c r="M560" s="151" t="s">
        <v>80</v>
      </c>
      <c r="N560" s="16" t="s">
        <v>81</v>
      </c>
      <c r="O560" s="16" t="s">
        <v>82</v>
      </c>
      <c r="P560" s="16" t="s">
        <v>83</v>
      </c>
      <c r="Q560" s="16" t="s">
        <v>84</v>
      </c>
      <c r="R560" s="151" t="s">
        <v>85</v>
      </c>
      <c r="S560" s="16" t="s">
        <v>86</v>
      </c>
      <c r="T560" s="16" t="s">
        <v>87</v>
      </c>
      <c r="U560" s="16" t="s">
        <v>88</v>
      </c>
      <c r="V560" s="16" t="s">
        <v>89</v>
      </c>
      <c r="W560" s="151" t="s">
        <v>90</v>
      </c>
    </row>
    <row r="561" spans="1:23" ht="12.75">
      <c r="A561" s="35" t="s">
        <v>348</v>
      </c>
      <c r="B561" s="155">
        <f t="array" ref="B561:W569">INT($Z$136:$AU$144*0.8)</f>
        <v>64</v>
      </c>
      <c r="C561" s="155">
        <v>59</v>
      </c>
      <c r="D561" s="155">
        <v>54</v>
      </c>
      <c r="E561" s="155">
        <v>49</v>
      </c>
      <c r="F561" s="155">
        <v>44</v>
      </c>
      <c r="G561" s="155">
        <v>40</v>
      </c>
      <c r="H561" s="155">
        <v>35</v>
      </c>
      <c r="I561" s="155">
        <v>30</v>
      </c>
      <c r="J561" s="155">
        <v>30</v>
      </c>
      <c r="K561" s="155">
        <v>30</v>
      </c>
      <c r="L561" s="155">
        <v>30</v>
      </c>
      <c r="M561" s="155">
        <v>30</v>
      </c>
      <c r="N561" s="155">
        <v>30</v>
      </c>
      <c r="O561" s="155">
        <v>30</v>
      </c>
      <c r="P561" s="155">
        <v>30</v>
      </c>
      <c r="Q561" s="155">
        <v>30</v>
      </c>
      <c r="R561" s="155">
        <v>30</v>
      </c>
      <c r="S561" s="155">
        <v>30</v>
      </c>
      <c r="T561" s="155">
        <v>30</v>
      </c>
      <c r="U561" s="155">
        <v>30</v>
      </c>
      <c r="V561" s="155">
        <v>30</v>
      </c>
      <c r="W561" s="155">
        <v>30</v>
      </c>
    </row>
    <row r="562" spans="1:23" ht="12.75">
      <c r="A562" s="165" t="s">
        <v>350</v>
      </c>
      <c r="B562" s="155">
        <v>60</v>
      </c>
      <c r="C562" s="155">
        <v>55</v>
      </c>
      <c r="D562" s="155">
        <v>51</v>
      </c>
      <c r="E562" s="155">
        <v>46</v>
      </c>
      <c r="F562" s="155">
        <v>41</v>
      </c>
      <c r="G562" s="155">
        <v>37</v>
      </c>
      <c r="H562" s="155">
        <v>32</v>
      </c>
      <c r="I562" s="155">
        <v>28</v>
      </c>
      <c r="J562" s="155">
        <v>28</v>
      </c>
      <c r="K562" s="155">
        <v>28</v>
      </c>
      <c r="L562" s="155">
        <v>28</v>
      </c>
      <c r="M562" s="155">
        <v>28</v>
      </c>
      <c r="N562" s="155">
        <v>28</v>
      </c>
      <c r="O562" s="155">
        <v>28</v>
      </c>
      <c r="P562" s="155">
        <v>28</v>
      </c>
      <c r="Q562" s="155">
        <v>28</v>
      </c>
      <c r="R562" s="155">
        <v>28</v>
      </c>
      <c r="S562" s="155">
        <v>28</v>
      </c>
      <c r="T562" s="155">
        <v>28</v>
      </c>
      <c r="U562" s="155">
        <v>28</v>
      </c>
      <c r="V562" s="155">
        <v>28</v>
      </c>
      <c r="W562" s="155">
        <v>28</v>
      </c>
    </row>
    <row r="563" spans="1:23" ht="15">
      <c r="A563" s="50" t="s">
        <v>351</v>
      </c>
      <c r="B563" s="155">
        <v>56</v>
      </c>
      <c r="C563" s="155">
        <v>52</v>
      </c>
      <c r="D563" s="155">
        <v>48</v>
      </c>
      <c r="E563" s="155">
        <v>44</v>
      </c>
      <c r="F563" s="155">
        <v>40</v>
      </c>
      <c r="G563" s="155">
        <v>35</v>
      </c>
      <c r="H563" s="155">
        <v>31</v>
      </c>
      <c r="I563" s="155">
        <v>27</v>
      </c>
      <c r="J563" s="155">
        <v>27</v>
      </c>
      <c r="K563" s="155">
        <v>27</v>
      </c>
      <c r="L563" s="155">
        <v>27</v>
      </c>
      <c r="M563" s="155">
        <v>27</v>
      </c>
      <c r="N563" s="155">
        <v>27</v>
      </c>
      <c r="O563" s="155">
        <v>27</v>
      </c>
      <c r="P563" s="155">
        <v>27</v>
      </c>
      <c r="Q563" s="155">
        <v>27</v>
      </c>
      <c r="R563" s="155">
        <v>27</v>
      </c>
      <c r="S563" s="155">
        <v>27</v>
      </c>
      <c r="T563" s="155">
        <v>27</v>
      </c>
      <c r="U563" s="155">
        <v>27</v>
      </c>
      <c r="V563" s="155">
        <v>27</v>
      </c>
      <c r="W563" s="155">
        <v>27</v>
      </c>
    </row>
    <row r="564" spans="1:23" ht="15">
      <c r="A564" s="8" t="s">
        <v>352</v>
      </c>
      <c r="B564" s="155">
        <v>56</v>
      </c>
      <c r="C564" s="155">
        <v>52</v>
      </c>
      <c r="D564" s="155">
        <v>47</v>
      </c>
      <c r="E564" s="155">
        <v>43</v>
      </c>
      <c r="F564" s="155">
        <v>39</v>
      </c>
      <c r="G564" s="155">
        <v>35</v>
      </c>
      <c r="H564" s="155">
        <v>30</v>
      </c>
      <c r="I564" s="155">
        <v>26</v>
      </c>
      <c r="J564" s="155">
        <v>26</v>
      </c>
      <c r="K564" s="155">
        <v>26</v>
      </c>
      <c r="L564" s="155">
        <v>26</v>
      </c>
      <c r="M564" s="155">
        <v>26</v>
      </c>
      <c r="N564" s="155">
        <v>26</v>
      </c>
      <c r="O564" s="155">
        <v>26</v>
      </c>
      <c r="P564" s="155">
        <v>26</v>
      </c>
      <c r="Q564" s="155">
        <v>26</v>
      </c>
      <c r="R564" s="155">
        <v>26</v>
      </c>
      <c r="S564" s="155">
        <v>26</v>
      </c>
      <c r="T564" s="155">
        <v>26</v>
      </c>
      <c r="U564" s="155">
        <v>26</v>
      </c>
      <c r="V564" s="155">
        <v>26</v>
      </c>
      <c r="W564" s="155">
        <v>26</v>
      </c>
    </row>
    <row r="565" spans="1:23" ht="12.75">
      <c r="A565" s="35" t="s">
        <v>354</v>
      </c>
      <c r="B565" s="155">
        <v>53</v>
      </c>
      <c r="C565" s="155">
        <v>49</v>
      </c>
      <c r="D565" s="155">
        <v>45</v>
      </c>
      <c r="E565" s="155">
        <v>41</v>
      </c>
      <c r="F565" s="155">
        <v>37</v>
      </c>
      <c r="G565" s="155">
        <v>33</v>
      </c>
      <c r="H565" s="155">
        <v>29</v>
      </c>
      <c r="I565" s="155">
        <v>25</v>
      </c>
      <c r="J565" s="155">
        <v>25</v>
      </c>
      <c r="K565" s="155">
        <v>25</v>
      </c>
      <c r="L565" s="155">
        <v>25</v>
      </c>
      <c r="M565" s="155">
        <v>25</v>
      </c>
      <c r="N565" s="155">
        <v>25</v>
      </c>
      <c r="O565" s="155">
        <v>25</v>
      </c>
      <c r="P565" s="155">
        <v>25</v>
      </c>
      <c r="Q565" s="155">
        <v>25</v>
      </c>
      <c r="R565" s="155">
        <v>25</v>
      </c>
      <c r="S565" s="155">
        <v>25</v>
      </c>
      <c r="T565" s="155">
        <v>25</v>
      </c>
      <c r="U565" s="155">
        <v>25</v>
      </c>
      <c r="V565" s="155">
        <v>25</v>
      </c>
      <c r="W565" s="155">
        <v>25</v>
      </c>
    </row>
    <row r="566" spans="1:23" ht="12.75">
      <c r="A566" s="35" t="s">
        <v>356</v>
      </c>
      <c r="B566" s="156">
        <v>49</v>
      </c>
      <c r="C566" s="155">
        <v>45</v>
      </c>
      <c r="D566" s="155">
        <v>42</v>
      </c>
      <c r="E566" s="155">
        <v>38</v>
      </c>
      <c r="F566" s="155">
        <v>34</v>
      </c>
      <c r="G566" s="155">
        <v>31</v>
      </c>
      <c r="H566" s="155">
        <v>27</v>
      </c>
      <c r="I566" s="155">
        <v>23</v>
      </c>
      <c r="J566" s="155">
        <v>23</v>
      </c>
      <c r="K566" s="155">
        <v>23</v>
      </c>
      <c r="L566" s="155">
        <v>23</v>
      </c>
      <c r="M566" s="155">
        <v>23</v>
      </c>
      <c r="N566" s="155">
        <v>23</v>
      </c>
      <c r="O566" s="155">
        <v>23</v>
      </c>
      <c r="P566" s="155">
        <v>23</v>
      </c>
      <c r="Q566" s="155">
        <v>23</v>
      </c>
      <c r="R566" s="155">
        <v>23</v>
      </c>
      <c r="S566" s="155">
        <v>23</v>
      </c>
      <c r="T566" s="155">
        <v>23</v>
      </c>
      <c r="U566" s="155">
        <v>23</v>
      </c>
      <c r="V566" s="155">
        <v>23</v>
      </c>
      <c r="W566" s="155">
        <v>23</v>
      </c>
    </row>
    <row r="567" spans="1:23" ht="12.75">
      <c r="A567" s="209" t="s">
        <v>357</v>
      </c>
      <c r="B567" s="156">
        <v>47</v>
      </c>
      <c r="C567" s="155">
        <v>44</v>
      </c>
      <c r="D567" s="155">
        <v>40</v>
      </c>
      <c r="E567" s="155">
        <v>36</v>
      </c>
      <c r="F567" s="155">
        <v>32</v>
      </c>
      <c r="G567" s="155">
        <v>29</v>
      </c>
      <c r="H567" s="155">
        <v>25</v>
      </c>
      <c r="I567" s="155">
        <v>22</v>
      </c>
      <c r="J567" s="155">
        <v>22</v>
      </c>
      <c r="K567" s="155">
        <v>22</v>
      </c>
      <c r="L567" s="155">
        <v>22</v>
      </c>
      <c r="M567" s="155">
        <v>22</v>
      </c>
      <c r="N567" s="155">
        <v>22</v>
      </c>
      <c r="O567" s="155">
        <v>22</v>
      </c>
      <c r="P567" s="155">
        <v>22</v>
      </c>
      <c r="Q567" s="155">
        <v>22</v>
      </c>
      <c r="R567" s="155">
        <v>22</v>
      </c>
      <c r="S567" s="155">
        <v>22</v>
      </c>
      <c r="T567" s="155">
        <v>22</v>
      </c>
      <c r="U567" s="155">
        <v>22</v>
      </c>
      <c r="V567" s="155">
        <v>22</v>
      </c>
      <c r="W567" s="155">
        <v>22</v>
      </c>
    </row>
    <row r="568" spans="1:23" ht="15">
      <c r="A568" s="8" t="s">
        <v>358</v>
      </c>
      <c r="B568" s="156">
        <v>45</v>
      </c>
      <c r="C568" s="155">
        <v>42</v>
      </c>
      <c r="D568" s="155">
        <v>38</v>
      </c>
      <c r="E568" s="155">
        <v>35</v>
      </c>
      <c r="F568" s="155">
        <v>32</v>
      </c>
      <c r="G568" s="155">
        <v>28</v>
      </c>
      <c r="H568" s="155">
        <v>24</v>
      </c>
      <c r="I568" s="155">
        <v>21</v>
      </c>
      <c r="J568" s="155">
        <v>21</v>
      </c>
      <c r="K568" s="155">
        <v>21</v>
      </c>
      <c r="L568" s="155">
        <v>21</v>
      </c>
      <c r="M568" s="155">
        <v>21</v>
      </c>
      <c r="N568" s="155">
        <v>21</v>
      </c>
      <c r="O568" s="155">
        <v>21</v>
      </c>
      <c r="P568" s="155">
        <v>21</v>
      </c>
      <c r="Q568" s="155">
        <v>21</v>
      </c>
      <c r="R568" s="155">
        <v>21</v>
      </c>
      <c r="S568" s="155">
        <v>21</v>
      </c>
      <c r="T568" s="155">
        <v>21</v>
      </c>
      <c r="U568" s="155">
        <v>21</v>
      </c>
      <c r="V568" s="155">
        <v>21</v>
      </c>
      <c r="W568" s="155">
        <v>21</v>
      </c>
    </row>
    <row r="569" spans="1:23" ht="15">
      <c r="A569" s="38" t="s">
        <v>359</v>
      </c>
      <c r="B569" s="156">
        <v>43</v>
      </c>
      <c r="C569" s="155">
        <v>40</v>
      </c>
      <c r="D569" s="155">
        <v>36</v>
      </c>
      <c r="E569" s="155">
        <v>33</v>
      </c>
      <c r="F569" s="155">
        <v>30</v>
      </c>
      <c r="G569" s="155">
        <v>27</v>
      </c>
      <c r="H569" s="155">
        <v>24</v>
      </c>
      <c r="I569" s="155">
        <v>20</v>
      </c>
      <c r="J569" s="155">
        <v>20</v>
      </c>
      <c r="K569" s="155">
        <v>20</v>
      </c>
      <c r="L569" s="155">
        <v>20</v>
      </c>
      <c r="M569" s="155">
        <v>20</v>
      </c>
      <c r="N569" s="155">
        <v>20</v>
      </c>
      <c r="O569" s="155">
        <v>20</v>
      </c>
      <c r="P569" s="155">
        <v>20</v>
      </c>
      <c r="Q569" s="155">
        <v>20</v>
      </c>
      <c r="R569" s="155">
        <v>20</v>
      </c>
      <c r="S569" s="155">
        <v>20</v>
      </c>
      <c r="T569" s="155">
        <v>20</v>
      </c>
      <c r="U569" s="155">
        <v>20</v>
      </c>
      <c r="V569" s="155">
        <v>20</v>
      </c>
      <c r="W569" s="155">
        <v>20</v>
      </c>
    </row>
    <row r="570" spans="1:23" ht="15">
      <c r="A570" s="150" t="s">
        <v>333</v>
      </c>
      <c r="B570" s="151" t="s">
        <v>24</v>
      </c>
      <c r="C570" s="151" t="s">
        <v>25</v>
      </c>
      <c r="D570" s="151" t="s">
        <v>26</v>
      </c>
      <c r="E570" s="151" t="s">
        <v>27</v>
      </c>
      <c r="F570" s="151" t="s">
        <v>28</v>
      </c>
      <c r="G570" s="151" t="s">
        <v>74</v>
      </c>
      <c r="H570" s="151" t="s">
        <v>75</v>
      </c>
      <c r="I570" s="151" t="s">
        <v>76</v>
      </c>
      <c r="J570" s="151" t="s">
        <v>77</v>
      </c>
      <c r="K570" s="151" t="s">
        <v>78</v>
      </c>
      <c r="L570" s="151" t="s">
        <v>79</v>
      </c>
      <c r="M570" s="151" t="s">
        <v>80</v>
      </c>
      <c r="N570" s="16" t="s">
        <v>81</v>
      </c>
      <c r="O570" s="16" t="s">
        <v>82</v>
      </c>
      <c r="P570" s="16" t="s">
        <v>83</v>
      </c>
      <c r="Q570" s="16" t="s">
        <v>84</v>
      </c>
      <c r="R570" s="151" t="s">
        <v>85</v>
      </c>
      <c r="S570" s="16" t="s">
        <v>86</v>
      </c>
      <c r="T570" s="16" t="s">
        <v>87</v>
      </c>
      <c r="U570" s="16" t="s">
        <v>88</v>
      </c>
      <c r="V570" s="16" t="s">
        <v>89</v>
      </c>
      <c r="W570" s="151" t="s">
        <v>90</v>
      </c>
    </row>
    <row r="571" spans="1:23" ht="15">
      <c r="A571" s="210" t="s">
        <v>364</v>
      </c>
      <c r="B571" s="155">
        <f t="array" ref="B571:W572">INT($Z$146:$AU$147*0.8)</f>
        <v>64</v>
      </c>
      <c r="C571" s="155">
        <v>58</v>
      </c>
      <c r="D571" s="155">
        <v>52</v>
      </c>
      <c r="E571" s="155">
        <v>47</v>
      </c>
      <c r="F571" s="155">
        <v>42</v>
      </c>
      <c r="G571" s="155">
        <v>36</v>
      </c>
      <c r="H571" s="155">
        <v>31</v>
      </c>
      <c r="I571" s="155">
        <v>28</v>
      </c>
      <c r="J571" s="155">
        <v>28</v>
      </c>
      <c r="K571" s="155">
        <v>28</v>
      </c>
      <c r="L571" s="155">
        <v>28</v>
      </c>
      <c r="M571" s="155">
        <v>28</v>
      </c>
      <c r="N571" s="155">
        <v>28</v>
      </c>
      <c r="O571" s="155">
        <v>28</v>
      </c>
      <c r="P571" s="155">
        <v>28</v>
      </c>
      <c r="Q571" s="155">
        <v>28</v>
      </c>
      <c r="R571" s="155">
        <v>28</v>
      </c>
      <c r="S571" s="155">
        <v>28</v>
      </c>
      <c r="T571" s="155">
        <v>28</v>
      </c>
      <c r="U571" s="155">
        <v>28</v>
      </c>
      <c r="V571" s="155">
        <v>28</v>
      </c>
      <c r="W571" s="155">
        <v>28</v>
      </c>
    </row>
    <row r="572" spans="1:23" ht="15">
      <c r="A572" s="210" t="s">
        <v>365</v>
      </c>
      <c r="B572" s="155">
        <v>60</v>
      </c>
      <c r="C572" s="155">
        <v>56</v>
      </c>
      <c r="D572" s="155">
        <v>50</v>
      </c>
      <c r="E572" s="155">
        <v>45</v>
      </c>
      <c r="F572" s="155">
        <v>40</v>
      </c>
      <c r="G572" s="155">
        <v>35</v>
      </c>
      <c r="H572" s="155">
        <v>29</v>
      </c>
      <c r="I572" s="155">
        <v>26</v>
      </c>
      <c r="J572" s="155">
        <v>26</v>
      </c>
      <c r="K572" s="155">
        <v>26</v>
      </c>
      <c r="L572" s="155">
        <v>26</v>
      </c>
      <c r="M572" s="155">
        <v>26</v>
      </c>
      <c r="N572" s="155">
        <v>26</v>
      </c>
      <c r="O572" s="155">
        <v>26</v>
      </c>
      <c r="P572" s="155">
        <v>26</v>
      </c>
      <c r="Q572" s="155">
        <v>26</v>
      </c>
      <c r="R572" s="155">
        <v>26</v>
      </c>
      <c r="S572" s="155">
        <v>26</v>
      </c>
      <c r="T572" s="155">
        <v>26</v>
      </c>
      <c r="U572" s="155">
        <v>26</v>
      </c>
      <c r="V572" s="155">
        <v>26</v>
      </c>
      <c r="W572" s="155">
        <v>26</v>
      </c>
    </row>
    <row r="573" spans="1:23" ht="15">
      <c r="A573" s="150" t="s">
        <v>336</v>
      </c>
      <c r="B573" s="151" t="s">
        <v>24</v>
      </c>
      <c r="C573" s="151" t="s">
        <v>25</v>
      </c>
      <c r="D573" s="151" t="s">
        <v>26</v>
      </c>
      <c r="E573" s="151" t="s">
        <v>27</v>
      </c>
      <c r="F573" s="151" t="s">
        <v>28</v>
      </c>
      <c r="G573" s="151" t="s">
        <v>74</v>
      </c>
      <c r="H573" s="151" t="s">
        <v>75</v>
      </c>
      <c r="I573" s="151" t="s">
        <v>76</v>
      </c>
      <c r="J573" s="151" t="s">
        <v>77</v>
      </c>
      <c r="K573" s="151" t="s">
        <v>78</v>
      </c>
      <c r="L573" s="151" t="s">
        <v>79</v>
      </c>
      <c r="M573" s="151" t="s">
        <v>80</v>
      </c>
      <c r="N573" s="16" t="s">
        <v>81</v>
      </c>
      <c r="O573" s="16" t="s">
        <v>82</v>
      </c>
      <c r="P573" s="16" t="s">
        <v>83</v>
      </c>
      <c r="Q573" s="16" t="s">
        <v>84</v>
      </c>
      <c r="R573" s="151" t="s">
        <v>85</v>
      </c>
      <c r="S573" s="16" t="s">
        <v>86</v>
      </c>
      <c r="T573" s="16" t="s">
        <v>87</v>
      </c>
      <c r="U573" s="16" t="s">
        <v>88</v>
      </c>
      <c r="V573" s="16" t="s">
        <v>89</v>
      </c>
      <c r="W573" s="151" t="s">
        <v>90</v>
      </c>
    </row>
    <row r="574" spans="1:23" ht="15">
      <c r="A574" s="210" t="s">
        <v>368</v>
      </c>
      <c r="B574" s="155">
        <f t="array" ref="B574:W577">INT($Z$149:$AU$152*0.8)</f>
        <v>52</v>
      </c>
      <c r="C574" s="155">
        <v>48</v>
      </c>
      <c r="D574" s="155">
        <v>43</v>
      </c>
      <c r="E574" s="155">
        <v>38</v>
      </c>
      <c r="F574" s="155">
        <v>33</v>
      </c>
      <c r="G574" s="155">
        <v>28</v>
      </c>
      <c r="H574" s="155">
        <v>24</v>
      </c>
      <c r="I574" s="155">
        <v>21</v>
      </c>
      <c r="J574" s="155">
        <v>21</v>
      </c>
      <c r="K574" s="155">
        <v>21</v>
      </c>
      <c r="L574" s="155">
        <v>21</v>
      </c>
      <c r="M574" s="155">
        <v>21</v>
      </c>
      <c r="N574" s="155">
        <v>21</v>
      </c>
      <c r="O574" s="155">
        <v>21</v>
      </c>
      <c r="P574" s="155">
        <v>21</v>
      </c>
      <c r="Q574" s="155">
        <v>21</v>
      </c>
      <c r="R574" s="155">
        <v>21</v>
      </c>
      <c r="S574" s="155">
        <v>21</v>
      </c>
      <c r="T574" s="155">
        <v>21</v>
      </c>
      <c r="U574" s="155">
        <v>21</v>
      </c>
      <c r="V574" s="155">
        <v>21</v>
      </c>
      <c r="W574" s="155">
        <v>21</v>
      </c>
    </row>
    <row r="575" spans="1:23" ht="15">
      <c r="A575" s="199" t="s">
        <v>369</v>
      </c>
      <c r="B575" s="155">
        <v>50</v>
      </c>
      <c r="C575" s="155">
        <v>45</v>
      </c>
      <c r="D575" s="155">
        <v>41</v>
      </c>
      <c r="E575" s="155">
        <v>36</v>
      </c>
      <c r="F575" s="155">
        <v>31</v>
      </c>
      <c r="G575" s="155">
        <v>28</v>
      </c>
      <c r="H575" s="155">
        <v>24</v>
      </c>
      <c r="I575" s="155">
        <v>20</v>
      </c>
      <c r="J575" s="155">
        <v>20</v>
      </c>
      <c r="K575" s="155">
        <v>20</v>
      </c>
      <c r="L575" s="155">
        <v>20</v>
      </c>
      <c r="M575" s="155">
        <v>20</v>
      </c>
      <c r="N575" s="155">
        <v>20</v>
      </c>
      <c r="O575" s="155">
        <v>20</v>
      </c>
      <c r="P575" s="155">
        <v>20</v>
      </c>
      <c r="Q575" s="155">
        <v>20</v>
      </c>
      <c r="R575" s="155">
        <v>20</v>
      </c>
      <c r="S575" s="155">
        <v>20</v>
      </c>
      <c r="T575" s="155">
        <v>20</v>
      </c>
      <c r="U575" s="155">
        <v>20</v>
      </c>
      <c r="V575" s="155">
        <v>20</v>
      </c>
      <c r="W575" s="155">
        <v>20</v>
      </c>
    </row>
    <row r="576" spans="1:23" ht="12.75">
      <c r="A576" s="194" t="s">
        <v>370</v>
      </c>
      <c r="B576" s="155">
        <v>43</v>
      </c>
      <c r="C576" s="155">
        <v>39</v>
      </c>
      <c r="D576" s="155">
        <v>35</v>
      </c>
      <c r="E576" s="155">
        <v>31</v>
      </c>
      <c r="F576" s="155">
        <v>28</v>
      </c>
      <c r="G576" s="155">
        <v>24</v>
      </c>
      <c r="H576" s="155">
        <v>20</v>
      </c>
      <c r="I576" s="155">
        <v>17</v>
      </c>
      <c r="J576" s="155">
        <v>17</v>
      </c>
      <c r="K576" s="155">
        <v>17</v>
      </c>
      <c r="L576" s="155">
        <v>17</v>
      </c>
      <c r="M576" s="155">
        <v>17</v>
      </c>
      <c r="N576" s="155">
        <v>17</v>
      </c>
      <c r="O576" s="155">
        <v>17</v>
      </c>
      <c r="P576" s="155">
        <v>17</v>
      </c>
      <c r="Q576" s="155">
        <v>17</v>
      </c>
      <c r="R576" s="155">
        <v>17</v>
      </c>
      <c r="S576" s="155">
        <v>17</v>
      </c>
      <c r="T576" s="155">
        <v>17</v>
      </c>
      <c r="U576" s="155">
        <v>17</v>
      </c>
      <c r="V576" s="155">
        <v>17</v>
      </c>
      <c r="W576" s="155">
        <v>17</v>
      </c>
    </row>
    <row r="577" spans="1:23" ht="12.75">
      <c r="A577" s="212" t="s">
        <v>371</v>
      </c>
      <c r="B577" s="155">
        <v>40</v>
      </c>
      <c r="C577" s="155">
        <v>36</v>
      </c>
      <c r="D577" s="155">
        <v>33</v>
      </c>
      <c r="E577" s="155">
        <v>29</v>
      </c>
      <c r="F577" s="155">
        <v>26</v>
      </c>
      <c r="G577" s="155">
        <v>22</v>
      </c>
      <c r="H577" s="155">
        <v>19</v>
      </c>
      <c r="I577" s="155">
        <v>16</v>
      </c>
      <c r="J577" s="155">
        <v>16</v>
      </c>
      <c r="K577" s="155">
        <v>16</v>
      </c>
      <c r="L577" s="155">
        <v>16</v>
      </c>
      <c r="M577" s="155">
        <v>16</v>
      </c>
      <c r="N577" s="155">
        <v>16</v>
      </c>
      <c r="O577" s="155">
        <v>16</v>
      </c>
      <c r="P577" s="155">
        <v>16</v>
      </c>
      <c r="Q577" s="155">
        <v>16</v>
      </c>
      <c r="R577" s="155">
        <v>16</v>
      </c>
      <c r="S577" s="155">
        <v>16</v>
      </c>
      <c r="T577" s="155">
        <v>16</v>
      </c>
      <c r="U577" s="155">
        <v>16</v>
      </c>
      <c r="V577" s="155">
        <v>16</v>
      </c>
      <c r="W577" s="155">
        <v>16</v>
      </c>
    </row>
    <row r="578" spans="1:23" ht="22.5">
      <c r="A578" s="213" t="s">
        <v>374</v>
      </c>
      <c r="B578" s="214"/>
      <c r="O578" s="154"/>
      <c r="P578" s="154"/>
      <c r="Q578" s="154"/>
      <c r="R578" s="154"/>
      <c r="S578" s="154"/>
      <c r="T578" s="154"/>
      <c r="U578" s="154"/>
      <c r="V578" s="154"/>
      <c r="W578" s="154"/>
    </row>
    <row r="579" spans="1:23" ht="15">
      <c r="A579" s="150" t="s">
        <v>375</v>
      </c>
      <c r="B579" s="215" t="s">
        <v>121</v>
      </c>
      <c r="C579" s="215" t="s">
        <v>126</v>
      </c>
      <c r="D579" s="215" t="s">
        <v>132</v>
      </c>
      <c r="E579" s="216" t="s">
        <v>24</v>
      </c>
      <c r="F579" s="151" t="s">
        <v>25</v>
      </c>
      <c r="G579" s="151" t="s">
        <v>26</v>
      </c>
      <c r="H579" s="151" t="s">
        <v>27</v>
      </c>
      <c r="I579" s="151" t="s">
        <v>28</v>
      </c>
      <c r="J579" s="151" t="s">
        <v>74</v>
      </c>
      <c r="K579" s="151" t="s">
        <v>75</v>
      </c>
      <c r="L579" s="151" t="s">
        <v>76</v>
      </c>
      <c r="M579" s="151" t="s">
        <v>77</v>
      </c>
      <c r="N579" s="151" t="s">
        <v>78</v>
      </c>
      <c r="O579" s="151" t="s">
        <v>79</v>
      </c>
      <c r="P579" s="151" t="s">
        <v>80</v>
      </c>
      <c r="Q579" s="151" t="s">
        <v>81</v>
      </c>
      <c r="R579" s="151" t="s">
        <v>82</v>
      </c>
      <c r="S579" s="151" t="s">
        <v>83</v>
      </c>
      <c r="T579" s="151" t="s">
        <v>84</v>
      </c>
      <c r="U579" s="151" t="s">
        <v>85</v>
      </c>
      <c r="V579" s="151" t="s">
        <v>86</v>
      </c>
      <c r="W579" s="151" t="s">
        <v>87</v>
      </c>
    </row>
    <row r="580" spans="1:23" ht="15">
      <c r="A580" s="38" t="s">
        <v>153</v>
      </c>
      <c r="B580" s="155">
        <f t="array" ref="B580:W580">INT($Z$155:$AU$155*0.385)</f>
        <v>140</v>
      </c>
      <c r="C580" s="155">
        <v>140</v>
      </c>
      <c r="D580" s="155">
        <v>125</v>
      </c>
      <c r="E580" s="155">
        <v>107</v>
      </c>
      <c r="F580" s="155">
        <v>92</v>
      </c>
      <c r="G580" s="155">
        <v>81</v>
      </c>
      <c r="H580" s="155">
        <v>71</v>
      </c>
      <c r="I580" s="155">
        <v>60</v>
      </c>
      <c r="J580" s="155">
        <v>56</v>
      </c>
      <c r="K580" s="155">
        <v>51</v>
      </c>
      <c r="L580" s="155">
        <v>43</v>
      </c>
      <c r="M580" s="155">
        <v>35</v>
      </c>
      <c r="N580" s="155">
        <v>32</v>
      </c>
      <c r="O580" s="155">
        <v>30</v>
      </c>
      <c r="P580" s="155">
        <v>27</v>
      </c>
      <c r="Q580" s="155">
        <v>27</v>
      </c>
      <c r="R580" s="155">
        <v>27</v>
      </c>
      <c r="S580" s="155">
        <v>27</v>
      </c>
      <c r="T580" s="155">
        <v>27</v>
      </c>
      <c r="U580" s="155">
        <v>27</v>
      </c>
      <c r="V580" s="155">
        <v>27</v>
      </c>
      <c r="W580" s="155">
        <v>27</v>
      </c>
    </row>
    <row r="581" spans="1:23" ht="15">
      <c r="A581" s="50" t="s">
        <v>376</v>
      </c>
      <c r="B581" s="164">
        <f t="array" ref="B581:W583">INT($Z$156:$AU$158*0.65)</f>
        <v>157</v>
      </c>
      <c r="C581" s="164">
        <v>139</v>
      </c>
      <c r="D581" s="155">
        <v>119</v>
      </c>
      <c r="E581" s="155">
        <v>104</v>
      </c>
      <c r="F581" s="155">
        <v>90</v>
      </c>
      <c r="G581" s="155">
        <v>76</v>
      </c>
      <c r="H581" s="155">
        <v>72</v>
      </c>
      <c r="I581" s="155">
        <v>68</v>
      </c>
      <c r="J581" s="155">
        <v>66</v>
      </c>
      <c r="K581" s="155">
        <v>63</v>
      </c>
      <c r="L581" s="155">
        <v>56</v>
      </c>
      <c r="M581" s="155">
        <v>50</v>
      </c>
      <c r="N581" s="155">
        <v>44</v>
      </c>
      <c r="O581" s="155">
        <v>37</v>
      </c>
      <c r="P581" s="155">
        <v>31</v>
      </c>
      <c r="Q581" s="155">
        <v>31</v>
      </c>
      <c r="R581" s="155">
        <v>31</v>
      </c>
      <c r="S581" s="155">
        <v>31</v>
      </c>
      <c r="T581" s="155">
        <v>31</v>
      </c>
      <c r="U581" s="155">
        <v>31</v>
      </c>
      <c r="V581" s="155">
        <v>31</v>
      </c>
      <c r="W581" s="155">
        <v>31</v>
      </c>
    </row>
    <row r="582" spans="1:23" ht="15">
      <c r="A582" s="50" t="s">
        <v>155</v>
      </c>
      <c r="B582" s="164">
        <v>143</v>
      </c>
      <c r="C582" s="164">
        <v>126</v>
      </c>
      <c r="D582" s="155">
        <v>108</v>
      </c>
      <c r="E582" s="155">
        <v>95</v>
      </c>
      <c r="F582" s="155">
        <v>82</v>
      </c>
      <c r="G582" s="155">
        <v>69</v>
      </c>
      <c r="H582" s="155">
        <v>65</v>
      </c>
      <c r="I582" s="155">
        <v>63</v>
      </c>
      <c r="J582" s="155">
        <v>59</v>
      </c>
      <c r="K582" s="155">
        <v>57</v>
      </c>
      <c r="L582" s="155">
        <v>51</v>
      </c>
      <c r="M582" s="155">
        <v>45</v>
      </c>
      <c r="N582" s="155">
        <v>40</v>
      </c>
      <c r="O582" s="155">
        <v>34</v>
      </c>
      <c r="P582" s="155">
        <v>28</v>
      </c>
      <c r="Q582" s="155">
        <v>28</v>
      </c>
      <c r="R582" s="155">
        <v>28</v>
      </c>
      <c r="S582" s="155">
        <v>28</v>
      </c>
      <c r="T582" s="155">
        <v>28</v>
      </c>
      <c r="U582" s="155">
        <v>28</v>
      </c>
      <c r="V582" s="155">
        <v>28</v>
      </c>
      <c r="W582" s="155">
        <v>28</v>
      </c>
    </row>
    <row r="583" spans="1:23" ht="15">
      <c r="A583" s="50" t="s">
        <v>156</v>
      </c>
      <c r="B583" s="164">
        <v>64</v>
      </c>
      <c r="C583" s="155">
        <v>56</v>
      </c>
      <c r="D583" s="155">
        <v>48</v>
      </c>
      <c r="E583" s="155">
        <v>42</v>
      </c>
      <c r="F583" s="155">
        <v>37</v>
      </c>
      <c r="G583" s="155">
        <v>31</v>
      </c>
      <c r="H583" s="155">
        <v>29</v>
      </c>
      <c r="I583" s="155">
        <v>27</v>
      </c>
      <c r="J583" s="155">
        <v>26</v>
      </c>
      <c r="K583" s="155">
        <v>25</v>
      </c>
      <c r="L583" s="155">
        <v>22</v>
      </c>
      <c r="M583" s="155">
        <v>20</v>
      </c>
      <c r="N583" s="155">
        <v>17</v>
      </c>
      <c r="O583" s="155">
        <v>14</v>
      </c>
      <c r="P583" s="155">
        <v>12</v>
      </c>
      <c r="Q583" s="155">
        <v>12</v>
      </c>
      <c r="R583" s="155">
        <v>12</v>
      </c>
      <c r="S583" s="155">
        <v>12</v>
      </c>
      <c r="T583" s="155">
        <v>12</v>
      </c>
      <c r="U583" s="155">
        <v>12</v>
      </c>
      <c r="V583" s="155">
        <v>12</v>
      </c>
      <c r="W583" s="155">
        <v>12</v>
      </c>
    </row>
    <row r="584" spans="1:23" ht="15">
      <c r="A584" s="8" t="s">
        <v>157</v>
      </c>
      <c r="B584" s="164">
        <f t="array" ref="B584:W587">INT($Z$159:$AU$162*0.7)</f>
        <v>182</v>
      </c>
      <c r="C584" s="164">
        <v>172</v>
      </c>
      <c r="D584" s="155">
        <v>160</v>
      </c>
      <c r="E584" s="155">
        <v>149</v>
      </c>
      <c r="F584" s="155">
        <v>136</v>
      </c>
      <c r="G584" s="155">
        <v>121</v>
      </c>
      <c r="H584" s="155">
        <v>105</v>
      </c>
      <c r="I584" s="155">
        <v>91</v>
      </c>
      <c r="J584" s="155">
        <v>86</v>
      </c>
      <c r="K584" s="155">
        <v>83</v>
      </c>
      <c r="L584" s="155">
        <v>76</v>
      </c>
      <c r="M584" s="155">
        <v>67</v>
      </c>
      <c r="N584" s="155">
        <v>56</v>
      </c>
      <c r="O584" s="155">
        <v>46</v>
      </c>
      <c r="P584" s="155">
        <v>36</v>
      </c>
      <c r="Q584" s="155">
        <v>36</v>
      </c>
      <c r="R584" s="155">
        <v>36</v>
      </c>
      <c r="S584" s="155">
        <v>36</v>
      </c>
      <c r="T584" s="155">
        <v>36</v>
      </c>
      <c r="U584" s="155">
        <v>36</v>
      </c>
      <c r="V584" s="155">
        <v>36</v>
      </c>
      <c r="W584" s="155">
        <v>36</v>
      </c>
    </row>
    <row r="585" spans="1:23" ht="15">
      <c r="A585" s="8" t="s">
        <v>158</v>
      </c>
      <c r="B585" s="164">
        <v>112</v>
      </c>
      <c r="C585" s="164">
        <v>112</v>
      </c>
      <c r="D585" s="155">
        <v>99</v>
      </c>
      <c r="E585" s="155">
        <v>84</v>
      </c>
      <c r="F585" s="155">
        <v>75</v>
      </c>
      <c r="G585" s="155">
        <v>65</v>
      </c>
      <c r="H585" s="155">
        <v>56</v>
      </c>
      <c r="I585" s="155">
        <v>53</v>
      </c>
      <c r="J585" s="155">
        <v>50</v>
      </c>
      <c r="K585" s="155">
        <v>47</v>
      </c>
      <c r="L585" s="155">
        <v>42</v>
      </c>
      <c r="M585" s="155">
        <v>37</v>
      </c>
      <c r="N585" s="155">
        <v>32</v>
      </c>
      <c r="O585" s="155">
        <v>0</v>
      </c>
      <c r="P585" s="155">
        <v>0</v>
      </c>
      <c r="Q585" s="155">
        <v>0</v>
      </c>
      <c r="R585" s="155">
        <v>0</v>
      </c>
      <c r="S585" s="155">
        <v>0</v>
      </c>
      <c r="T585" s="155">
        <v>0</v>
      </c>
      <c r="U585" s="155">
        <v>0</v>
      </c>
      <c r="V585" s="155">
        <v>0</v>
      </c>
      <c r="W585" s="155">
        <v>0</v>
      </c>
    </row>
    <row r="586" spans="1:23" ht="15">
      <c r="A586" s="50" t="s">
        <v>379</v>
      </c>
      <c r="B586" s="156">
        <v>85</v>
      </c>
      <c r="C586" s="155">
        <v>81</v>
      </c>
      <c r="D586" s="155">
        <v>75</v>
      </c>
      <c r="E586" s="155">
        <v>70</v>
      </c>
      <c r="F586" s="155">
        <v>64</v>
      </c>
      <c r="G586" s="155">
        <v>57</v>
      </c>
      <c r="H586" s="155">
        <v>50</v>
      </c>
      <c r="I586" s="155">
        <v>42</v>
      </c>
      <c r="J586" s="155">
        <v>40</v>
      </c>
      <c r="K586" s="155">
        <v>39</v>
      </c>
      <c r="L586" s="218">
        <v>35</v>
      </c>
      <c r="M586" s="155">
        <v>31</v>
      </c>
      <c r="N586" s="155">
        <v>26</v>
      </c>
      <c r="O586" s="155">
        <v>21</v>
      </c>
      <c r="P586" s="155">
        <v>16</v>
      </c>
      <c r="Q586" s="155">
        <v>16</v>
      </c>
      <c r="R586" s="155">
        <v>16</v>
      </c>
      <c r="S586" s="155">
        <v>16</v>
      </c>
      <c r="T586" s="155">
        <v>16</v>
      </c>
      <c r="U586" s="155">
        <v>16</v>
      </c>
      <c r="V586" s="155">
        <v>16</v>
      </c>
      <c r="W586" s="155">
        <v>16</v>
      </c>
    </row>
    <row r="587" spans="1:23" ht="15">
      <c r="A587" s="50" t="s">
        <v>380</v>
      </c>
      <c r="B587" s="156">
        <v>140</v>
      </c>
      <c r="C587" s="155">
        <v>140</v>
      </c>
      <c r="D587" s="155">
        <v>140</v>
      </c>
      <c r="E587" s="155">
        <v>140</v>
      </c>
      <c r="F587" s="155">
        <v>140</v>
      </c>
      <c r="G587" s="155">
        <v>140</v>
      </c>
      <c r="H587" s="155">
        <v>123</v>
      </c>
      <c r="I587" s="155">
        <v>105</v>
      </c>
      <c r="J587" s="155">
        <v>88</v>
      </c>
      <c r="K587" s="155">
        <v>71</v>
      </c>
      <c r="L587" s="218">
        <v>61</v>
      </c>
      <c r="M587" s="155">
        <v>53</v>
      </c>
      <c r="N587" s="155">
        <v>44</v>
      </c>
      <c r="O587" s="155">
        <v>36</v>
      </c>
      <c r="P587" s="155">
        <v>28</v>
      </c>
      <c r="Q587" s="155">
        <v>28</v>
      </c>
      <c r="R587" s="155">
        <v>28</v>
      </c>
      <c r="S587" s="155">
        <v>28</v>
      </c>
      <c r="T587" s="155">
        <v>28</v>
      </c>
      <c r="U587" s="155">
        <v>28</v>
      </c>
      <c r="V587" s="155">
        <v>28</v>
      </c>
      <c r="W587" s="155">
        <v>28</v>
      </c>
    </row>
    <row r="588" spans="1:23" ht="15">
      <c r="A588" s="8" t="s">
        <v>161</v>
      </c>
      <c r="B588" s="156">
        <f t="array" ref="B588:W588">INT($Z$163:$AU$163*0.8)</f>
        <v>45</v>
      </c>
      <c r="C588" s="155">
        <v>45</v>
      </c>
      <c r="D588" s="155">
        <v>45</v>
      </c>
      <c r="E588" s="155">
        <v>45</v>
      </c>
      <c r="F588" s="155">
        <v>40</v>
      </c>
      <c r="G588" s="155">
        <v>34</v>
      </c>
      <c r="H588" s="155">
        <v>32</v>
      </c>
      <c r="I588" s="155">
        <v>29</v>
      </c>
      <c r="J588" s="155">
        <v>27</v>
      </c>
      <c r="K588" s="155">
        <v>24</v>
      </c>
      <c r="L588" s="218">
        <v>19</v>
      </c>
      <c r="M588" s="155">
        <v>14</v>
      </c>
      <c r="N588" s="155">
        <v>8</v>
      </c>
      <c r="O588" s="155">
        <v>8</v>
      </c>
      <c r="P588" s="155">
        <v>8</v>
      </c>
      <c r="Q588" s="155">
        <v>8</v>
      </c>
      <c r="R588" s="155">
        <v>8</v>
      </c>
      <c r="S588" s="155">
        <v>8</v>
      </c>
      <c r="T588" s="155">
        <v>8</v>
      </c>
      <c r="U588" s="155">
        <v>8</v>
      </c>
      <c r="V588" s="155">
        <v>8</v>
      </c>
      <c r="W588" s="155">
        <v>8</v>
      </c>
    </row>
    <row r="589" spans="1:23" ht="22.5">
      <c r="A589" s="219" t="s">
        <v>73</v>
      </c>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row>
    <row r="590" spans="1:23" ht="15">
      <c r="A590" s="145" t="s">
        <v>322</v>
      </c>
      <c r="B590" s="220"/>
      <c r="C590" s="220"/>
      <c r="D590" s="220"/>
      <c r="E590" s="220"/>
      <c r="F590" s="220"/>
      <c r="G590" s="220"/>
      <c r="H590" s="220"/>
      <c r="I590" s="220"/>
      <c r="J590" s="220"/>
      <c r="K590" s="220"/>
      <c r="L590" s="220"/>
      <c r="M590" s="220"/>
      <c r="N590" s="220"/>
      <c r="O590" s="220"/>
      <c r="P590" s="220"/>
      <c r="Q590" s="220"/>
      <c r="R590" s="220"/>
      <c r="S590" s="220"/>
      <c r="T590" s="220"/>
      <c r="U590" s="220"/>
      <c r="V590" s="220"/>
      <c r="W590" s="220"/>
    </row>
    <row r="591" spans="1:23" ht="15">
      <c r="A591" s="222" t="s">
        <v>323</v>
      </c>
      <c r="B591" s="151" t="s">
        <v>24</v>
      </c>
      <c r="C591" s="151" t="s">
        <v>25</v>
      </c>
      <c r="D591" s="151" t="s">
        <v>26</v>
      </c>
      <c r="E591" s="151" t="s">
        <v>27</v>
      </c>
      <c r="F591" s="151" t="s">
        <v>28</v>
      </c>
      <c r="G591" s="151" t="s">
        <v>74</v>
      </c>
      <c r="H591" s="151" t="s">
        <v>75</v>
      </c>
      <c r="I591" s="151" t="s">
        <v>76</v>
      </c>
      <c r="J591" s="151" t="s">
        <v>77</v>
      </c>
      <c r="K591" s="151" t="s">
        <v>78</v>
      </c>
      <c r="L591" s="151" t="s">
        <v>79</v>
      </c>
      <c r="M591" s="151" t="s">
        <v>80</v>
      </c>
      <c r="N591" s="16" t="s">
        <v>81</v>
      </c>
      <c r="O591" s="16" t="s">
        <v>82</v>
      </c>
      <c r="P591" s="16" t="s">
        <v>83</v>
      </c>
      <c r="Q591" s="16" t="s">
        <v>84</v>
      </c>
      <c r="R591" s="151" t="s">
        <v>85</v>
      </c>
      <c r="S591" s="16" t="s">
        <v>86</v>
      </c>
      <c r="T591" s="16" t="s">
        <v>87</v>
      </c>
      <c r="U591" s="16" t="s">
        <v>88</v>
      </c>
      <c r="V591" s="16" t="s">
        <v>89</v>
      </c>
      <c r="W591" s="151" t="s">
        <v>90</v>
      </c>
    </row>
    <row r="592" spans="1:23" ht="15">
      <c r="A592" s="50" t="s">
        <v>46</v>
      </c>
      <c r="B592" s="155">
        <f t="array" ref="B592:W596">INT($Z$167:$AU$171*0.8)</f>
        <v>92</v>
      </c>
      <c r="C592" s="155">
        <v>92</v>
      </c>
      <c r="D592" s="155">
        <v>92</v>
      </c>
      <c r="E592" s="155">
        <v>92</v>
      </c>
      <c r="F592" s="155">
        <v>92</v>
      </c>
      <c r="G592" s="155">
        <v>92</v>
      </c>
      <c r="H592" s="155">
        <v>92</v>
      </c>
      <c r="I592" s="155">
        <v>84</v>
      </c>
      <c r="J592" s="155">
        <v>77</v>
      </c>
      <c r="K592" s="155">
        <v>71</v>
      </c>
      <c r="L592" s="155">
        <v>64</v>
      </c>
      <c r="M592" s="155">
        <v>56</v>
      </c>
      <c r="N592" s="155">
        <v>56</v>
      </c>
      <c r="O592" s="155">
        <v>55</v>
      </c>
      <c r="P592" s="155">
        <v>54</v>
      </c>
      <c r="Q592" s="156">
        <v>54</v>
      </c>
      <c r="R592" s="156">
        <v>53</v>
      </c>
      <c r="S592" s="156">
        <v>52</v>
      </c>
      <c r="T592" s="156">
        <v>52</v>
      </c>
      <c r="U592" s="156">
        <v>51</v>
      </c>
      <c r="V592" s="156">
        <v>51</v>
      </c>
      <c r="W592" s="156">
        <v>50</v>
      </c>
    </row>
    <row r="593" spans="1:23" ht="15">
      <c r="A593" s="50" t="s">
        <v>49</v>
      </c>
      <c r="B593" s="164">
        <v>88</v>
      </c>
      <c r="C593" s="155">
        <v>88</v>
      </c>
      <c r="D593" s="155">
        <v>88</v>
      </c>
      <c r="E593" s="155">
        <v>88</v>
      </c>
      <c r="F593" s="155">
        <v>88</v>
      </c>
      <c r="G593" s="155">
        <v>88</v>
      </c>
      <c r="H593" s="155">
        <v>88</v>
      </c>
      <c r="I593" s="155">
        <v>81</v>
      </c>
      <c r="J593" s="155">
        <v>74</v>
      </c>
      <c r="K593" s="155">
        <v>68</v>
      </c>
      <c r="L593" s="155">
        <v>60</v>
      </c>
      <c r="M593" s="155">
        <v>54</v>
      </c>
      <c r="N593" s="155">
        <v>53</v>
      </c>
      <c r="O593" s="155">
        <v>52</v>
      </c>
      <c r="P593" s="155">
        <v>52</v>
      </c>
      <c r="Q593" s="156">
        <v>52</v>
      </c>
      <c r="R593" s="156">
        <v>51</v>
      </c>
      <c r="S593" s="156">
        <v>50</v>
      </c>
      <c r="T593" s="156">
        <v>49</v>
      </c>
      <c r="U593" s="156">
        <v>49</v>
      </c>
      <c r="V593" s="156">
        <v>48</v>
      </c>
      <c r="W593" s="156">
        <v>48</v>
      </c>
    </row>
    <row r="594" spans="1:23" ht="15">
      <c r="A594" s="50" t="s">
        <v>52</v>
      </c>
      <c r="B594" s="164">
        <v>85</v>
      </c>
      <c r="C594" s="155">
        <v>85</v>
      </c>
      <c r="D594" s="155">
        <v>85</v>
      </c>
      <c r="E594" s="155">
        <v>85</v>
      </c>
      <c r="F594" s="155">
        <v>85</v>
      </c>
      <c r="G594" s="155">
        <v>85</v>
      </c>
      <c r="H594" s="155">
        <v>85</v>
      </c>
      <c r="I594" s="155">
        <v>79</v>
      </c>
      <c r="J594" s="155">
        <v>72</v>
      </c>
      <c r="K594" s="155">
        <v>65</v>
      </c>
      <c r="L594" s="155">
        <v>60</v>
      </c>
      <c r="M594" s="155">
        <v>52</v>
      </c>
      <c r="N594" s="155">
        <v>52</v>
      </c>
      <c r="O594" s="155">
        <v>51</v>
      </c>
      <c r="P594" s="155">
        <v>51</v>
      </c>
      <c r="Q594" s="156">
        <v>50</v>
      </c>
      <c r="R594" s="156">
        <v>49</v>
      </c>
      <c r="S594" s="156">
        <v>48</v>
      </c>
      <c r="T594" s="156">
        <v>48</v>
      </c>
      <c r="U594" s="156">
        <v>48</v>
      </c>
      <c r="V594" s="156">
        <v>47</v>
      </c>
      <c r="W594" s="156">
        <v>46</v>
      </c>
    </row>
    <row r="595" spans="1:23" ht="15">
      <c r="A595" s="50" t="s">
        <v>383</v>
      </c>
      <c r="B595" s="155">
        <v>79</v>
      </c>
      <c r="C595" s="155">
        <v>79</v>
      </c>
      <c r="D595" s="155">
        <v>79</v>
      </c>
      <c r="E595" s="155">
        <v>79</v>
      </c>
      <c r="F595" s="155">
        <v>79</v>
      </c>
      <c r="G595" s="155">
        <v>79</v>
      </c>
      <c r="H595" s="155">
        <v>79</v>
      </c>
      <c r="I595" s="155">
        <v>72</v>
      </c>
      <c r="J595" s="155">
        <v>67</v>
      </c>
      <c r="K595" s="155">
        <v>60</v>
      </c>
      <c r="L595" s="155">
        <v>55</v>
      </c>
      <c r="M595" s="155">
        <v>48</v>
      </c>
      <c r="N595" s="155">
        <v>48</v>
      </c>
      <c r="O595" s="155">
        <v>48</v>
      </c>
      <c r="P595" s="155">
        <v>47</v>
      </c>
      <c r="Q595" s="155">
        <v>46</v>
      </c>
      <c r="R595" s="155">
        <v>45</v>
      </c>
      <c r="S595" s="155">
        <v>45</v>
      </c>
      <c r="T595" s="155">
        <v>44</v>
      </c>
      <c r="U595" s="155">
        <v>44</v>
      </c>
      <c r="V595" s="155">
        <v>44</v>
      </c>
      <c r="W595" s="155">
        <v>43</v>
      </c>
    </row>
    <row r="596" spans="1:23" ht="15">
      <c r="A596" s="8" t="s">
        <v>64</v>
      </c>
      <c r="B596" s="155">
        <v>77</v>
      </c>
      <c r="C596" s="155">
        <v>77</v>
      </c>
      <c r="D596" s="155">
        <v>77</v>
      </c>
      <c r="E596" s="155">
        <v>77</v>
      </c>
      <c r="F596" s="155">
        <v>77</v>
      </c>
      <c r="G596" s="155">
        <v>77</v>
      </c>
      <c r="H596" s="155">
        <v>77</v>
      </c>
      <c r="I596" s="155">
        <v>71</v>
      </c>
      <c r="J596" s="155">
        <v>65</v>
      </c>
      <c r="K596" s="155">
        <v>60</v>
      </c>
      <c r="L596" s="155">
        <v>53</v>
      </c>
      <c r="M596" s="155">
        <v>48</v>
      </c>
      <c r="N596" s="155">
        <v>47</v>
      </c>
      <c r="O596" s="155">
        <v>46</v>
      </c>
      <c r="P596" s="155">
        <v>46</v>
      </c>
      <c r="Q596" s="155">
        <v>45</v>
      </c>
      <c r="R596" s="155">
        <v>44</v>
      </c>
      <c r="S596" s="155">
        <v>44</v>
      </c>
      <c r="T596" s="155">
        <v>44</v>
      </c>
      <c r="U596" s="155">
        <v>43</v>
      </c>
      <c r="V596" s="155">
        <v>43</v>
      </c>
      <c r="W596" s="155">
        <v>42</v>
      </c>
    </row>
    <row r="597" spans="1:23" ht="15">
      <c r="A597" s="150" t="s">
        <v>328</v>
      </c>
      <c r="B597" s="151" t="s">
        <v>24</v>
      </c>
      <c r="C597" s="151" t="s">
        <v>25</v>
      </c>
      <c r="D597" s="151" t="s">
        <v>26</v>
      </c>
      <c r="E597" s="151" t="s">
        <v>27</v>
      </c>
      <c r="F597" s="151" t="s">
        <v>28</v>
      </c>
      <c r="G597" s="151" t="s">
        <v>74</v>
      </c>
      <c r="H597" s="151" t="s">
        <v>75</v>
      </c>
      <c r="I597" s="151" t="s">
        <v>76</v>
      </c>
      <c r="J597" s="151" t="s">
        <v>77</v>
      </c>
      <c r="K597" s="151" t="s">
        <v>78</v>
      </c>
      <c r="L597" s="151" t="s">
        <v>79</v>
      </c>
      <c r="M597" s="151" t="s">
        <v>80</v>
      </c>
      <c r="N597" s="16" t="s">
        <v>81</v>
      </c>
      <c r="O597" s="16" t="s">
        <v>82</v>
      </c>
      <c r="P597" s="16" t="s">
        <v>83</v>
      </c>
      <c r="Q597" s="16" t="s">
        <v>84</v>
      </c>
      <c r="R597" s="151" t="s">
        <v>85</v>
      </c>
      <c r="S597" s="16" t="s">
        <v>86</v>
      </c>
      <c r="T597" s="16" t="s">
        <v>87</v>
      </c>
      <c r="U597" s="16" t="s">
        <v>88</v>
      </c>
      <c r="V597" s="16" t="s">
        <v>89</v>
      </c>
      <c r="W597" s="151" t="s">
        <v>90</v>
      </c>
    </row>
    <row r="598" spans="1:23" ht="15">
      <c r="A598" s="50" t="s">
        <v>47</v>
      </c>
      <c r="B598" s="155">
        <f t="array" ref="B598:W601">INT($Z$173:$AU$176*0.8)</f>
        <v>92</v>
      </c>
      <c r="C598" s="155">
        <v>92</v>
      </c>
      <c r="D598" s="155">
        <v>92</v>
      </c>
      <c r="E598" s="155">
        <v>92</v>
      </c>
      <c r="F598" s="155">
        <v>92</v>
      </c>
      <c r="G598" s="155">
        <v>92</v>
      </c>
      <c r="H598" s="155">
        <v>92</v>
      </c>
      <c r="I598" s="155">
        <v>80</v>
      </c>
      <c r="J598" s="155">
        <v>67</v>
      </c>
      <c r="K598" s="155">
        <v>54</v>
      </c>
      <c r="L598" s="155">
        <v>45</v>
      </c>
      <c r="M598" s="155">
        <v>45</v>
      </c>
      <c r="N598" s="155">
        <v>45</v>
      </c>
      <c r="O598" s="155">
        <v>45</v>
      </c>
      <c r="P598" s="155">
        <v>45</v>
      </c>
      <c r="Q598" s="155">
        <v>45</v>
      </c>
      <c r="R598" s="155">
        <v>45</v>
      </c>
      <c r="S598" s="155">
        <v>45</v>
      </c>
      <c r="T598" s="155">
        <v>45</v>
      </c>
      <c r="U598" s="155">
        <v>45</v>
      </c>
      <c r="V598" s="155">
        <v>45</v>
      </c>
      <c r="W598" s="155">
        <v>45</v>
      </c>
    </row>
    <row r="599" spans="1:23" ht="15">
      <c r="A599" s="8" t="s">
        <v>50</v>
      </c>
      <c r="B599" s="164">
        <v>77</v>
      </c>
      <c r="C599" s="155">
        <v>77</v>
      </c>
      <c r="D599" s="155">
        <v>77</v>
      </c>
      <c r="E599" s="155">
        <v>77</v>
      </c>
      <c r="F599" s="155">
        <v>77</v>
      </c>
      <c r="G599" s="155">
        <v>77</v>
      </c>
      <c r="H599" s="155">
        <v>77</v>
      </c>
      <c r="I599" s="155">
        <v>67</v>
      </c>
      <c r="J599" s="155">
        <v>56</v>
      </c>
      <c r="K599" s="155">
        <v>45</v>
      </c>
      <c r="L599" s="155">
        <v>39</v>
      </c>
      <c r="M599" s="155">
        <v>39</v>
      </c>
      <c r="N599" s="155">
        <v>39</v>
      </c>
      <c r="O599" s="155">
        <v>39</v>
      </c>
      <c r="P599" s="155">
        <v>39</v>
      </c>
      <c r="Q599" s="155">
        <v>39</v>
      </c>
      <c r="R599" s="155">
        <v>39</v>
      </c>
      <c r="S599" s="155">
        <v>39</v>
      </c>
      <c r="T599" s="155">
        <v>39</v>
      </c>
      <c r="U599" s="155">
        <v>39</v>
      </c>
      <c r="V599" s="155">
        <v>39</v>
      </c>
      <c r="W599" s="155">
        <v>39</v>
      </c>
    </row>
    <row r="600" spans="1:23" ht="15">
      <c r="A600" s="224" t="s">
        <v>384</v>
      </c>
      <c r="B600" s="155">
        <v>76</v>
      </c>
      <c r="C600" s="155">
        <v>76</v>
      </c>
      <c r="D600" s="155">
        <v>76</v>
      </c>
      <c r="E600" s="155">
        <v>76</v>
      </c>
      <c r="F600" s="155">
        <v>76</v>
      </c>
      <c r="G600" s="155">
        <v>76</v>
      </c>
      <c r="H600" s="155">
        <v>76</v>
      </c>
      <c r="I600" s="155">
        <v>65</v>
      </c>
      <c r="J600" s="155">
        <v>55</v>
      </c>
      <c r="K600" s="155">
        <v>44</v>
      </c>
      <c r="L600" s="155">
        <v>38</v>
      </c>
      <c r="M600" s="155">
        <v>37</v>
      </c>
      <c r="N600" s="155">
        <v>37</v>
      </c>
      <c r="O600" s="155">
        <v>37</v>
      </c>
      <c r="P600" s="155">
        <v>37</v>
      </c>
      <c r="Q600" s="155">
        <v>37</v>
      </c>
      <c r="R600" s="155">
        <v>37</v>
      </c>
      <c r="S600" s="155">
        <v>37</v>
      </c>
      <c r="T600" s="155">
        <v>37</v>
      </c>
      <c r="U600" s="155">
        <v>37</v>
      </c>
      <c r="V600" s="155">
        <v>37</v>
      </c>
      <c r="W600" s="155">
        <v>37</v>
      </c>
    </row>
    <row r="601" spans="1:23" ht="15">
      <c r="A601" s="50" t="s">
        <v>332</v>
      </c>
      <c r="B601" s="155">
        <v>75</v>
      </c>
      <c r="C601" s="155">
        <v>75</v>
      </c>
      <c r="D601" s="155">
        <v>75</v>
      </c>
      <c r="E601" s="155">
        <v>75</v>
      </c>
      <c r="F601" s="155">
        <v>75</v>
      </c>
      <c r="G601" s="155">
        <v>75</v>
      </c>
      <c r="H601" s="155">
        <v>75</v>
      </c>
      <c r="I601" s="155">
        <v>64</v>
      </c>
      <c r="J601" s="155">
        <v>54</v>
      </c>
      <c r="K601" s="155">
        <v>44</v>
      </c>
      <c r="L601" s="155">
        <v>37</v>
      </c>
      <c r="M601" s="155">
        <v>37</v>
      </c>
      <c r="N601" s="155">
        <v>37</v>
      </c>
      <c r="O601" s="155">
        <v>37</v>
      </c>
      <c r="P601" s="155">
        <v>37</v>
      </c>
      <c r="Q601" s="155">
        <v>37</v>
      </c>
      <c r="R601" s="155">
        <v>37</v>
      </c>
      <c r="S601" s="155">
        <v>37</v>
      </c>
      <c r="T601" s="155">
        <v>37</v>
      </c>
      <c r="U601" s="155">
        <v>37</v>
      </c>
      <c r="V601" s="155">
        <v>37</v>
      </c>
      <c r="W601" s="155">
        <v>37</v>
      </c>
    </row>
    <row r="602" spans="1:23" ht="15">
      <c r="A602" s="145" t="s">
        <v>338</v>
      </c>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row>
    <row r="603" spans="1:23" ht="15">
      <c r="A603" s="150" t="s">
        <v>323</v>
      </c>
      <c r="B603" s="151" t="s">
        <v>24</v>
      </c>
      <c r="C603" s="151" t="s">
        <v>25</v>
      </c>
      <c r="D603" s="151" t="s">
        <v>26</v>
      </c>
      <c r="E603" s="151" t="s">
        <v>27</v>
      </c>
      <c r="F603" s="151" t="s">
        <v>28</v>
      </c>
      <c r="G603" s="151" t="s">
        <v>74</v>
      </c>
      <c r="H603" s="151" t="s">
        <v>75</v>
      </c>
      <c r="I603" s="151" t="s">
        <v>76</v>
      </c>
      <c r="J603" s="151" t="s">
        <v>77</v>
      </c>
      <c r="K603" s="151" t="s">
        <v>78</v>
      </c>
      <c r="L603" s="151" t="s">
        <v>79</v>
      </c>
      <c r="M603" s="151" t="s">
        <v>80</v>
      </c>
      <c r="N603" s="16" t="s">
        <v>81</v>
      </c>
      <c r="O603" s="16" t="s">
        <v>82</v>
      </c>
      <c r="P603" s="16" t="s">
        <v>83</v>
      </c>
      <c r="Q603" s="16" t="s">
        <v>84</v>
      </c>
      <c r="R603" s="151" t="s">
        <v>85</v>
      </c>
      <c r="S603" s="16" t="s">
        <v>86</v>
      </c>
      <c r="T603" s="16" t="s">
        <v>87</v>
      </c>
      <c r="U603" s="16" t="s">
        <v>88</v>
      </c>
      <c r="V603" s="16" t="s">
        <v>89</v>
      </c>
      <c r="W603" s="151" t="s">
        <v>90</v>
      </c>
    </row>
    <row r="604" spans="1:23" ht="15">
      <c r="A604" s="50" t="s">
        <v>387</v>
      </c>
      <c r="B604" s="155">
        <f t="array" ref="B604:W609">INT($Z$179:$AU$184*0.8)</f>
        <v>89</v>
      </c>
      <c r="C604" s="155">
        <v>89</v>
      </c>
      <c r="D604" s="155">
        <v>89</v>
      </c>
      <c r="E604" s="155">
        <v>89</v>
      </c>
      <c r="F604" s="155">
        <v>89</v>
      </c>
      <c r="G604" s="155">
        <v>86</v>
      </c>
      <c r="H604" s="155">
        <v>83</v>
      </c>
      <c r="I604" s="155">
        <v>76</v>
      </c>
      <c r="J604" s="155">
        <v>70</v>
      </c>
      <c r="K604" s="155">
        <v>64</v>
      </c>
      <c r="L604" s="155">
        <v>57</v>
      </c>
      <c r="M604" s="155">
        <v>54</v>
      </c>
      <c r="N604" s="155">
        <v>52</v>
      </c>
      <c r="O604" s="155">
        <v>49</v>
      </c>
      <c r="P604" s="155">
        <v>47</v>
      </c>
      <c r="Q604" s="155">
        <v>47</v>
      </c>
      <c r="R604" s="155">
        <v>47</v>
      </c>
      <c r="S604" s="155">
        <v>47</v>
      </c>
      <c r="T604" s="155">
        <v>47</v>
      </c>
      <c r="U604" s="155">
        <v>47</v>
      </c>
      <c r="V604" s="155">
        <v>47</v>
      </c>
      <c r="W604" s="155">
        <v>47</v>
      </c>
    </row>
    <row r="605" spans="1:23" ht="15">
      <c r="A605" s="50" t="s">
        <v>118</v>
      </c>
      <c r="B605" s="155">
        <v>80</v>
      </c>
      <c r="C605" s="155">
        <v>80</v>
      </c>
      <c r="D605" s="155">
        <v>80</v>
      </c>
      <c r="E605" s="155">
        <v>80</v>
      </c>
      <c r="F605" s="155">
        <v>80</v>
      </c>
      <c r="G605" s="155">
        <v>76</v>
      </c>
      <c r="H605" s="155">
        <v>74</v>
      </c>
      <c r="I605" s="155">
        <v>68</v>
      </c>
      <c r="J605" s="155">
        <v>62</v>
      </c>
      <c r="K605" s="155">
        <v>56</v>
      </c>
      <c r="L605" s="155">
        <v>51</v>
      </c>
      <c r="M605" s="155">
        <v>48</v>
      </c>
      <c r="N605" s="155">
        <v>46</v>
      </c>
      <c r="O605" s="155">
        <v>44</v>
      </c>
      <c r="P605" s="155">
        <v>42</v>
      </c>
      <c r="Q605" s="155">
        <v>41</v>
      </c>
      <c r="R605" s="156">
        <v>41</v>
      </c>
      <c r="S605" s="156">
        <v>41</v>
      </c>
      <c r="T605" s="156">
        <v>41</v>
      </c>
      <c r="U605" s="156">
        <v>41</v>
      </c>
      <c r="V605" s="156">
        <v>41</v>
      </c>
      <c r="W605" s="156">
        <v>41</v>
      </c>
    </row>
    <row r="606" spans="1:23" ht="12.75">
      <c r="A606" s="209" t="s">
        <v>138</v>
      </c>
      <c r="B606" s="164">
        <v>77</v>
      </c>
      <c r="C606" s="155">
        <v>77</v>
      </c>
      <c r="D606" s="155">
        <v>77</v>
      </c>
      <c r="E606" s="155">
        <v>77</v>
      </c>
      <c r="F606" s="155">
        <v>77</v>
      </c>
      <c r="G606" s="155">
        <v>74</v>
      </c>
      <c r="H606" s="186">
        <v>72</v>
      </c>
      <c r="I606" s="155">
        <v>66</v>
      </c>
      <c r="J606" s="155">
        <v>60</v>
      </c>
      <c r="K606" s="155">
        <v>55</v>
      </c>
      <c r="L606" s="155">
        <v>49</v>
      </c>
      <c r="M606" s="155">
        <v>47</v>
      </c>
      <c r="N606" s="155">
        <v>44</v>
      </c>
      <c r="O606" s="155">
        <v>43</v>
      </c>
      <c r="P606" s="155">
        <v>40</v>
      </c>
      <c r="Q606" s="155">
        <v>40</v>
      </c>
      <c r="R606" s="155">
        <v>40</v>
      </c>
      <c r="S606" s="155">
        <v>40</v>
      </c>
      <c r="T606" s="155">
        <v>40</v>
      </c>
      <c r="U606" s="155">
        <v>40</v>
      </c>
      <c r="V606" s="155">
        <v>40</v>
      </c>
      <c r="W606" s="155">
        <v>40</v>
      </c>
    </row>
    <row r="607" spans="1:23" ht="15">
      <c r="A607" s="8" t="s">
        <v>388</v>
      </c>
      <c r="B607" s="218">
        <v>76</v>
      </c>
      <c r="C607" s="155">
        <v>76</v>
      </c>
      <c r="D607" s="155">
        <v>76</v>
      </c>
      <c r="E607" s="155">
        <v>76</v>
      </c>
      <c r="F607" s="155">
        <v>76</v>
      </c>
      <c r="G607" s="155">
        <v>72</v>
      </c>
      <c r="H607" s="155">
        <v>70</v>
      </c>
      <c r="I607" s="155">
        <v>64</v>
      </c>
      <c r="J607" s="155">
        <v>59</v>
      </c>
      <c r="K607" s="155">
        <v>54</v>
      </c>
      <c r="L607" s="155">
        <v>48</v>
      </c>
      <c r="M607" s="155">
        <v>46</v>
      </c>
      <c r="N607" s="155">
        <v>44</v>
      </c>
      <c r="O607" s="155">
        <v>42</v>
      </c>
      <c r="P607" s="155">
        <v>40</v>
      </c>
      <c r="Q607" s="155">
        <v>40</v>
      </c>
      <c r="R607" s="155">
        <v>40</v>
      </c>
      <c r="S607" s="155">
        <v>40</v>
      </c>
      <c r="T607" s="155">
        <v>40</v>
      </c>
      <c r="U607" s="155">
        <v>40</v>
      </c>
      <c r="V607" s="155">
        <v>40</v>
      </c>
      <c r="W607" s="155">
        <v>40</v>
      </c>
    </row>
    <row r="608" spans="1:23" ht="12.75">
      <c r="A608" s="227" t="s">
        <v>389</v>
      </c>
      <c r="B608" s="155">
        <v>74</v>
      </c>
      <c r="C608" s="155">
        <v>74</v>
      </c>
      <c r="D608" s="155">
        <v>74</v>
      </c>
      <c r="E608" s="155">
        <v>74</v>
      </c>
      <c r="F608" s="155">
        <v>74</v>
      </c>
      <c r="G608" s="155">
        <v>71</v>
      </c>
      <c r="H608" s="155">
        <v>68</v>
      </c>
      <c r="I608" s="155">
        <v>63</v>
      </c>
      <c r="J608" s="155">
        <v>58</v>
      </c>
      <c r="K608" s="155">
        <v>52</v>
      </c>
      <c r="L608" s="155">
        <v>47</v>
      </c>
      <c r="M608" s="155">
        <v>45</v>
      </c>
      <c r="N608" s="155">
        <v>43</v>
      </c>
      <c r="O608" s="155">
        <v>41</v>
      </c>
      <c r="P608" s="155">
        <v>39</v>
      </c>
      <c r="Q608" s="155">
        <v>39</v>
      </c>
      <c r="R608" s="155">
        <v>39</v>
      </c>
      <c r="S608" s="155">
        <v>39</v>
      </c>
      <c r="T608" s="155">
        <v>39</v>
      </c>
      <c r="U608" s="155">
        <v>39</v>
      </c>
      <c r="V608" s="155">
        <v>39</v>
      </c>
      <c r="W608" s="155">
        <v>39</v>
      </c>
    </row>
    <row r="609" spans="1:23" ht="15">
      <c r="A609" s="50" t="s">
        <v>148</v>
      </c>
      <c r="B609" s="155">
        <v>72</v>
      </c>
      <c r="C609" s="155">
        <v>72</v>
      </c>
      <c r="D609" s="155">
        <v>72</v>
      </c>
      <c r="E609" s="155">
        <v>72</v>
      </c>
      <c r="F609" s="155">
        <v>72</v>
      </c>
      <c r="G609" s="155">
        <v>70</v>
      </c>
      <c r="H609" s="155">
        <v>67</v>
      </c>
      <c r="I609" s="155">
        <v>62</v>
      </c>
      <c r="J609" s="155">
        <v>56</v>
      </c>
      <c r="K609" s="155">
        <v>52</v>
      </c>
      <c r="L609" s="155">
        <v>46</v>
      </c>
      <c r="M609" s="155">
        <v>44</v>
      </c>
      <c r="N609" s="155">
        <v>42</v>
      </c>
      <c r="O609" s="155">
        <v>40</v>
      </c>
      <c r="P609" s="155">
        <v>38</v>
      </c>
      <c r="Q609" s="155">
        <v>38</v>
      </c>
      <c r="R609" s="155">
        <v>38</v>
      </c>
      <c r="S609" s="155">
        <v>38</v>
      </c>
      <c r="T609" s="155">
        <v>38</v>
      </c>
      <c r="U609" s="155">
        <v>38</v>
      </c>
      <c r="V609" s="155">
        <v>38</v>
      </c>
      <c r="W609" s="155">
        <v>38</v>
      </c>
    </row>
    <row r="610" spans="1:23" ht="15">
      <c r="A610" s="150" t="s">
        <v>328</v>
      </c>
      <c r="B610" s="151" t="s">
        <v>24</v>
      </c>
      <c r="C610" s="151" t="s">
        <v>25</v>
      </c>
      <c r="D610" s="151" t="s">
        <v>26</v>
      </c>
      <c r="E610" s="151" t="s">
        <v>27</v>
      </c>
      <c r="F610" s="151" t="s">
        <v>28</v>
      </c>
      <c r="G610" s="151" t="s">
        <v>74</v>
      </c>
      <c r="H610" s="151" t="s">
        <v>75</v>
      </c>
      <c r="I610" s="151" t="s">
        <v>76</v>
      </c>
      <c r="J610" s="151" t="s">
        <v>77</v>
      </c>
      <c r="K610" s="151" t="s">
        <v>78</v>
      </c>
      <c r="L610" s="151" t="s">
        <v>79</v>
      </c>
      <c r="M610" s="151" t="s">
        <v>80</v>
      </c>
      <c r="N610" s="16" t="s">
        <v>81</v>
      </c>
      <c r="O610" s="16" t="s">
        <v>82</v>
      </c>
      <c r="P610" s="16" t="s">
        <v>83</v>
      </c>
      <c r="Q610" s="16" t="s">
        <v>84</v>
      </c>
      <c r="R610" s="151" t="s">
        <v>85</v>
      </c>
      <c r="S610" s="16" t="s">
        <v>86</v>
      </c>
      <c r="T610" s="16" t="s">
        <v>87</v>
      </c>
      <c r="U610" s="16" t="s">
        <v>88</v>
      </c>
      <c r="V610" s="16" t="s">
        <v>89</v>
      </c>
      <c r="W610" s="151" t="s">
        <v>90</v>
      </c>
    </row>
    <row r="611" spans="1:23" ht="15">
      <c r="A611" s="8" t="s">
        <v>106</v>
      </c>
      <c r="B611" s="155">
        <f t="array" ref="B611:W613">INT($Z$186:$AU$188*0.8)</f>
        <v>70</v>
      </c>
      <c r="C611" s="155">
        <v>70</v>
      </c>
      <c r="D611" s="155">
        <v>70</v>
      </c>
      <c r="E611" s="155">
        <v>70</v>
      </c>
      <c r="F611" s="155">
        <v>70</v>
      </c>
      <c r="G611" s="155">
        <v>65</v>
      </c>
      <c r="H611" s="155">
        <v>60</v>
      </c>
      <c r="I611" s="155">
        <v>49</v>
      </c>
      <c r="J611" s="155">
        <v>38</v>
      </c>
      <c r="K611" s="155">
        <v>35</v>
      </c>
      <c r="L611" s="155">
        <v>35</v>
      </c>
      <c r="M611" s="155">
        <v>35</v>
      </c>
      <c r="N611" s="155">
        <v>35</v>
      </c>
      <c r="O611" s="155">
        <v>35</v>
      </c>
      <c r="P611" s="155">
        <v>35</v>
      </c>
      <c r="Q611" s="155">
        <v>35</v>
      </c>
      <c r="R611" s="155">
        <v>35</v>
      </c>
      <c r="S611" s="155">
        <v>35</v>
      </c>
      <c r="T611" s="155">
        <v>35</v>
      </c>
      <c r="U611" s="155">
        <v>35</v>
      </c>
      <c r="V611" s="155">
        <v>35</v>
      </c>
      <c r="W611" s="155">
        <v>35</v>
      </c>
    </row>
    <row r="612" spans="1:23" ht="15">
      <c r="A612" s="38" t="s">
        <v>108</v>
      </c>
      <c r="B612" s="155">
        <v>68</v>
      </c>
      <c r="C612" s="155">
        <v>68</v>
      </c>
      <c r="D612" s="155">
        <v>68</v>
      </c>
      <c r="E612" s="155">
        <v>68</v>
      </c>
      <c r="F612" s="155">
        <v>68</v>
      </c>
      <c r="G612" s="155">
        <v>63</v>
      </c>
      <c r="H612" s="155">
        <v>57</v>
      </c>
      <c r="I612" s="155">
        <v>48</v>
      </c>
      <c r="J612" s="155">
        <v>37</v>
      </c>
      <c r="K612" s="155">
        <v>33</v>
      </c>
      <c r="L612" s="155">
        <v>33</v>
      </c>
      <c r="M612" s="155">
        <v>33</v>
      </c>
      <c r="N612" s="155">
        <v>33</v>
      </c>
      <c r="O612" s="155">
        <v>33</v>
      </c>
      <c r="P612" s="155">
        <v>33</v>
      </c>
      <c r="Q612" s="155">
        <v>33</v>
      </c>
      <c r="R612" s="155">
        <v>33</v>
      </c>
      <c r="S612" s="155">
        <v>33</v>
      </c>
      <c r="T612" s="155">
        <v>33</v>
      </c>
      <c r="U612" s="155">
        <v>33</v>
      </c>
      <c r="V612" s="155">
        <v>33</v>
      </c>
      <c r="W612" s="155">
        <v>33</v>
      </c>
    </row>
    <row r="613" spans="1:23" ht="15">
      <c r="A613" s="8" t="s">
        <v>391</v>
      </c>
      <c r="B613" s="155">
        <v>66</v>
      </c>
      <c r="C613" s="155">
        <v>66</v>
      </c>
      <c r="D613" s="155">
        <v>66</v>
      </c>
      <c r="E613" s="155">
        <v>66</v>
      </c>
      <c r="F613" s="155">
        <v>66</v>
      </c>
      <c r="G613" s="155">
        <v>61</v>
      </c>
      <c r="H613" s="155">
        <v>56</v>
      </c>
      <c r="I613" s="155">
        <v>46</v>
      </c>
      <c r="J613" s="155">
        <v>36</v>
      </c>
      <c r="K613" s="155">
        <v>32</v>
      </c>
      <c r="L613" s="155">
        <v>32</v>
      </c>
      <c r="M613" s="155">
        <v>32</v>
      </c>
      <c r="N613" s="155">
        <v>32</v>
      </c>
      <c r="O613" s="155">
        <v>32</v>
      </c>
      <c r="P613" s="155">
        <v>32</v>
      </c>
      <c r="Q613" s="155">
        <v>32</v>
      </c>
      <c r="R613" s="155">
        <v>32</v>
      </c>
      <c r="S613" s="155">
        <v>32</v>
      </c>
      <c r="T613" s="155">
        <v>32</v>
      </c>
      <c r="U613" s="155">
        <v>32</v>
      </c>
      <c r="V613" s="155">
        <v>32</v>
      </c>
      <c r="W613" s="155">
        <v>32</v>
      </c>
    </row>
    <row r="614" spans="1:23" ht="15">
      <c r="A614" s="145" t="s">
        <v>340</v>
      </c>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row>
    <row r="615" spans="1:23" ht="15">
      <c r="A615" s="150" t="s">
        <v>323</v>
      </c>
      <c r="B615" s="151" t="s">
        <v>24</v>
      </c>
      <c r="C615" s="151" t="s">
        <v>25</v>
      </c>
      <c r="D615" s="151" t="s">
        <v>26</v>
      </c>
      <c r="E615" s="151" t="s">
        <v>27</v>
      </c>
      <c r="F615" s="151" t="s">
        <v>28</v>
      </c>
      <c r="G615" s="151" t="s">
        <v>74</v>
      </c>
      <c r="H615" s="151" t="s">
        <v>75</v>
      </c>
      <c r="I615" s="151" t="s">
        <v>76</v>
      </c>
      <c r="J615" s="151" t="s">
        <v>77</v>
      </c>
      <c r="K615" s="151" t="s">
        <v>78</v>
      </c>
      <c r="L615" s="151" t="s">
        <v>79</v>
      </c>
      <c r="M615" s="151" t="s">
        <v>80</v>
      </c>
      <c r="N615" s="16" t="s">
        <v>81</v>
      </c>
      <c r="O615" s="16" t="s">
        <v>82</v>
      </c>
      <c r="P615" s="16" t="s">
        <v>83</v>
      </c>
      <c r="Q615" s="16" t="s">
        <v>84</v>
      </c>
      <c r="R615" s="151" t="s">
        <v>85</v>
      </c>
      <c r="S615" s="16" t="s">
        <v>86</v>
      </c>
      <c r="T615" s="16" t="s">
        <v>87</v>
      </c>
      <c r="U615" s="16" t="s">
        <v>88</v>
      </c>
      <c r="V615" s="16" t="s">
        <v>89</v>
      </c>
      <c r="W615" s="151" t="s">
        <v>90</v>
      </c>
    </row>
    <row r="616" spans="1:23" ht="15">
      <c r="A616" s="8" t="s">
        <v>392</v>
      </c>
      <c r="B616" s="155">
        <f t="array" ref="B616:W618">INT($Z$191:$AU$193*0.8)</f>
        <v>69</v>
      </c>
      <c r="C616" s="155">
        <v>69</v>
      </c>
      <c r="D616" s="155">
        <v>69</v>
      </c>
      <c r="E616" s="155">
        <v>64</v>
      </c>
      <c r="F616" s="155">
        <v>60</v>
      </c>
      <c r="G616" s="155">
        <v>56</v>
      </c>
      <c r="H616" s="155">
        <v>52</v>
      </c>
      <c r="I616" s="155">
        <v>43</v>
      </c>
      <c r="J616" s="155">
        <v>41</v>
      </c>
      <c r="K616" s="155">
        <v>40</v>
      </c>
      <c r="L616" s="155">
        <v>38</v>
      </c>
      <c r="M616" s="155">
        <v>36</v>
      </c>
      <c r="N616" s="155">
        <v>36</v>
      </c>
      <c r="O616" s="155">
        <v>36</v>
      </c>
      <c r="P616" s="155">
        <v>36</v>
      </c>
      <c r="Q616" s="155">
        <v>36</v>
      </c>
      <c r="R616" s="155">
        <v>36</v>
      </c>
      <c r="S616" s="155">
        <v>36</v>
      </c>
      <c r="T616" s="155">
        <v>36</v>
      </c>
      <c r="U616" s="155">
        <v>36</v>
      </c>
      <c r="V616" s="155">
        <v>36</v>
      </c>
      <c r="W616" s="155">
        <v>36</v>
      </c>
    </row>
    <row r="617" spans="1:23" ht="12.75">
      <c r="A617" s="229" t="s">
        <v>393</v>
      </c>
      <c r="B617" s="155">
        <v>68</v>
      </c>
      <c r="C617" s="155">
        <v>68</v>
      </c>
      <c r="D617" s="155">
        <v>68</v>
      </c>
      <c r="E617" s="155">
        <v>64</v>
      </c>
      <c r="F617" s="155">
        <v>59</v>
      </c>
      <c r="G617" s="155">
        <v>55</v>
      </c>
      <c r="H617" s="155">
        <v>50</v>
      </c>
      <c r="I617" s="155">
        <v>42</v>
      </c>
      <c r="J617" s="155">
        <v>40</v>
      </c>
      <c r="K617" s="155">
        <v>39</v>
      </c>
      <c r="L617" s="155">
        <v>37</v>
      </c>
      <c r="M617" s="155">
        <v>36</v>
      </c>
      <c r="N617" s="155">
        <v>36</v>
      </c>
      <c r="O617" s="155">
        <v>36</v>
      </c>
      <c r="P617" s="155">
        <v>36</v>
      </c>
      <c r="Q617" s="155">
        <v>36</v>
      </c>
      <c r="R617" s="155">
        <v>36</v>
      </c>
      <c r="S617" s="155">
        <v>36</v>
      </c>
      <c r="T617" s="155">
        <v>36</v>
      </c>
      <c r="U617" s="155">
        <v>36</v>
      </c>
      <c r="V617" s="155">
        <v>36</v>
      </c>
      <c r="W617" s="155">
        <v>36</v>
      </c>
    </row>
    <row r="618" spans="1:23" ht="12.75">
      <c r="A618" s="189" t="s">
        <v>394</v>
      </c>
      <c r="B618" s="155">
        <v>66</v>
      </c>
      <c r="C618" s="155">
        <v>66</v>
      </c>
      <c r="D618" s="155">
        <v>66</v>
      </c>
      <c r="E618" s="155">
        <v>62</v>
      </c>
      <c r="F618" s="155">
        <v>57</v>
      </c>
      <c r="G618" s="155">
        <v>53</v>
      </c>
      <c r="H618" s="155">
        <v>49</v>
      </c>
      <c r="I618" s="155">
        <v>40</v>
      </c>
      <c r="J618" s="155">
        <v>39</v>
      </c>
      <c r="K618" s="155">
        <v>37</v>
      </c>
      <c r="L618" s="155">
        <v>36</v>
      </c>
      <c r="M618" s="155">
        <v>35</v>
      </c>
      <c r="N618" s="155">
        <v>34</v>
      </c>
      <c r="O618" s="155">
        <v>34</v>
      </c>
      <c r="P618" s="155">
        <v>34</v>
      </c>
      <c r="Q618" s="155">
        <v>34</v>
      </c>
      <c r="R618" s="155">
        <v>34</v>
      </c>
      <c r="S618" s="155">
        <v>34</v>
      </c>
      <c r="T618" s="155">
        <v>34</v>
      </c>
      <c r="U618" s="155">
        <v>34</v>
      </c>
      <c r="V618" s="155">
        <v>34</v>
      </c>
      <c r="W618" s="155">
        <v>34</v>
      </c>
    </row>
    <row r="619" spans="1:23" ht="15">
      <c r="A619" s="150" t="s">
        <v>328</v>
      </c>
      <c r="B619" s="151" t="s">
        <v>24</v>
      </c>
      <c r="C619" s="151" t="s">
        <v>25</v>
      </c>
      <c r="D619" s="151" t="s">
        <v>26</v>
      </c>
      <c r="E619" s="151" t="s">
        <v>27</v>
      </c>
      <c r="F619" s="151" t="s">
        <v>28</v>
      </c>
      <c r="G619" s="151" t="s">
        <v>74</v>
      </c>
      <c r="H619" s="151" t="s">
        <v>75</v>
      </c>
      <c r="I619" s="151" t="s">
        <v>76</v>
      </c>
      <c r="J619" s="151" t="s">
        <v>77</v>
      </c>
      <c r="K619" s="151" t="s">
        <v>78</v>
      </c>
      <c r="L619" s="151" t="s">
        <v>79</v>
      </c>
      <c r="M619" s="151" t="s">
        <v>80</v>
      </c>
      <c r="N619" s="16" t="s">
        <v>81</v>
      </c>
      <c r="O619" s="16" t="s">
        <v>82</v>
      </c>
      <c r="P619" s="16" t="s">
        <v>83</v>
      </c>
      <c r="Q619" s="16" t="s">
        <v>84</v>
      </c>
      <c r="R619" s="151" t="s">
        <v>85</v>
      </c>
      <c r="S619" s="16" t="s">
        <v>86</v>
      </c>
      <c r="T619" s="16" t="s">
        <v>87</v>
      </c>
      <c r="U619" s="16" t="s">
        <v>88</v>
      </c>
      <c r="V619" s="16" t="s">
        <v>89</v>
      </c>
      <c r="W619" s="151" t="s">
        <v>90</v>
      </c>
    </row>
    <row r="620" spans="1:23" ht="12.75">
      <c r="A620" s="41" t="s">
        <v>396</v>
      </c>
      <c r="B620" s="155">
        <f t="array" ref="B620:W621">INT($Z$195:$AU$196*0.8)</f>
        <v>64</v>
      </c>
      <c r="C620" s="155">
        <v>64</v>
      </c>
      <c r="D620" s="155">
        <v>64</v>
      </c>
      <c r="E620" s="155">
        <v>59</v>
      </c>
      <c r="F620" s="155">
        <v>54</v>
      </c>
      <c r="G620" s="155">
        <v>49</v>
      </c>
      <c r="H620" s="155">
        <v>44</v>
      </c>
      <c r="I620" s="155">
        <v>35</v>
      </c>
      <c r="J620" s="155">
        <v>32</v>
      </c>
      <c r="K620" s="155">
        <v>32</v>
      </c>
      <c r="L620" s="155">
        <v>32</v>
      </c>
      <c r="M620" s="155">
        <v>32</v>
      </c>
      <c r="N620" s="155">
        <v>32</v>
      </c>
      <c r="O620" s="155">
        <v>32</v>
      </c>
      <c r="P620" s="155">
        <v>32</v>
      </c>
      <c r="Q620" s="155">
        <v>32</v>
      </c>
      <c r="R620" s="155">
        <v>32</v>
      </c>
      <c r="S620" s="155">
        <v>32</v>
      </c>
      <c r="T620" s="155">
        <v>32</v>
      </c>
      <c r="U620" s="155">
        <v>32</v>
      </c>
      <c r="V620" s="155">
        <v>32</v>
      </c>
      <c r="W620" s="155">
        <v>32</v>
      </c>
    </row>
    <row r="621" spans="1:23" ht="12.75">
      <c r="A621" s="41" t="s">
        <v>398</v>
      </c>
      <c r="B621" s="155">
        <v>60</v>
      </c>
      <c r="C621" s="155">
        <v>60</v>
      </c>
      <c r="D621" s="155">
        <v>60</v>
      </c>
      <c r="E621" s="155">
        <v>55</v>
      </c>
      <c r="F621" s="155">
        <v>51</v>
      </c>
      <c r="G621" s="155">
        <v>46</v>
      </c>
      <c r="H621" s="155">
        <v>42</v>
      </c>
      <c r="I621" s="155">
        <v>32</v>
      </c>
      <c r="J621" s="155">
        <v>29</v>
      </c>
      <c r="K621" s="155">
        <v>29</v>
      </c>
      <c r="L621" s="155">
        <v>29</v>
      </c>
      <c r="M621" s="155">
        <v>29</v>
      </c>
      <c r="N621" s="155">
        <v>29</v>
      </c>
      <c r="O621" s="155">
        <v>29</v>
      </c>
      <c r="P621" s="155">
        <v>29</v>
      </c>
      <c r="Q621" s="155">
        <v>29</v>
      </c>
      <c r="R621" s="155">
        <v>29</v>
      </c>
      <c r="S621" s="155">
        <v>29</v>
      </c>
      <c r="T621" s="155">
        <v>29</v>
      </c>
      <c r="U621" s="155">
        <v>29</v>
      </c>
      <c r="V621" s="155">
        <v>29</v>
      </c>
      <c r="W621" s="155">
        <v>29</v>
      </c>
    </row>
    <row r="622" spans="1:23" ht="23.25">
      <c r="A622" s="230" t="s">
        <v>400</v>
      </c>
      <c r="B622" s="220"/>
      <c r="C622" s="220"/>
      <c r="D622" s="220"/>
      <c r="E622" s="220"/>
      <c r="F622" s="220"/>
      <c r="G622" s="220"/>
      <c r="H622" s="220"/>
      <c r="I622" s="220"/>
      <c r="J622" s="220"/>
      <c r="K622" s="220"/>
      <c r="L622" s="220"/>
      <c r="M622" s="220"/>
      <c r="N622" s="220"/>
      <c r="O622" s="220"/>
      <c r="P622" s="220"/>
      <c r="Q622" s="220"/>
      <c r="R622" s="220"/>
      <c r="S622" s="220"/>
      <c r="T622" s="220"/>
      <c r="U622" s="220"/>
      <c r="V622" s="220"/>
      <c r="W622" s="220"/>
    </row>
    <row r="623" spans="1:23" ht="15">
      <c r="A623" s="150" t="s">
        <v>323</v>
      </c>
      <c r="B623" s="151" t="s">
        <v>24</v>
      </c>
      <c r="C623" s="151" t="s">
        <v>25</v>
      </c>
      <c r="D623" s="151" t="s">
        <v>26</v>
      </c>
      <c r="E623" s="151" t="s">
        <v>27</v>
      </c>
      <c r="F623" s="151" t="s">
        <v>28</v>
      </c>
      <c r="G623" s="151" t="s">
        <v>74</v>
      </c>
      <c r="H623" s="151" t="s">
        <v>75</v>
      </c>
      <c r="I623" s="151" t="s">
        <v>76</v>
      </c>
      <c r="J623" s="151" t="s">
        <v>77</v>
      </c>
      <c r="K623" s="151" t="s">
        <v>78</v>
      </c>
      <c r="L623" s="151" t="s">
        <v>79</v>
      </c>
      <c r="M623" s="151" t="s">
        <v>80</v>
      </c>
      <c r="N623" s="16" t="s">
        <v>81</v>
      </c>
      <c r="O623" s="16" t="s">
        <v>82</v>
      </c>
      <c r="P623" s="16" t="s">
        <v>83</v>
      </c>
      <c r="Q623" s="16" t="s">
        <v>84</v>
      </c>
      <c r="R623" s="151" t="s">
        <v>85</v>
      </c>
      <c r="S623" s="16" t="s">
        <v>86</v>
      </c>
      <c r="T623" s="16" t="s">
        <v>87</v>
      </c>
      <c r="U623" s="16" t="s">
        <v>88</v>
      </c>
      <c r="V623" s="16" t="s">
        <v>89</v>
      </c>
      <c r="W623" s="151" t="s">
        <v>90</v>
      </c>
    </row>
    <row r="624" spans="1:23" ht="15">
      <c r="A624" s="8" t="s">
        <v>55</v>
      </c>
      <c r="B624" s="164">
        <f t="array" ref="B624:W628">INT($Z$199:$AU$203*0.8)</f>
        <v>72</v>
      </c>
      <c r="C624" s="155">
        <v>72</v>
      </c>
      <c r="D624" s="155">
        <v>72</v>
      </c>
      <c r="E624" s="155">
        <v>72</v>
      </c>
      <c r="F624" s="155">
        <v>72</v>
      </c>
      <c r="G624" s="155">
        <v>68</v>
      </c>
      <c r="H624" s="155">
        <v>66</v>
      </c>
      <c r="I624" s="155">
        <v>60</v>
      </c>
      <c r="J624" s="155">
        <v>55</v>
      </c>
      <c r="K624" s="155">
        <v>50</v>
      </c>
      <c r="L624" s="155">
        <v>44</v>
      </c>
      <c r="M624" s="155">
        <v>44</v>
      </c>
      <c r="N624" s="155">
        <v>44</v>
      </c>
      <c r="O624" s="155">
        <v>43</v>
      </c>
      <c r="P624" s="155">
        <v>43</v>
      </c>
      <c r="Q624" s="155">
        <v>43</v>
      </c>
      <c r="R624" s="155">
        <v>42</v>
      </c>
      <c r="S624" s="155">
        <v>42</v>
      </c>
      <c r="T624" s="155">
        <v>42</v>
      </c>
      <c r="U624" s="155">
        <v>41</v>
      </c>
      <c r="V624" s="155">
        <v>41</v>
      </c>
      <c r="W624" s="155">
        <v>41</v>
      </c>
    </row>
    <row r="625" spans="1:23" ht="15">
      <c r="A625" s="50" t="s">
        <v>61</v>
      </c>
      <c r="B625" s="231">
        <v>69</v>
      </c>
      <c r="C625" s="155">
        <v>69</v>
      </c>
      <c r="D625" s="155">
        <v>69</v>
      </c>
      <c r="E625" s="155">
        <v>69</v>
      </c>
      <c r="F625" s="155">
        <v>69</v>
      </c>
      <c r="G625" s="155">
        <v>67</v>
      </c>
      <c r="H625" s="155">
        <v>64</v>
      </c>
      <c r="I625" s="155">
        <v>59</v>
      </c>
      <c r="J625" s="155">
        <v>53</v>
      </c>
      <c r="K625" s="155">
        <v>48</v>
      </c>
      <c r="L625" s="155">
        <v>43</v>
      </c>
      <c r="M625" s="155">
        <v>42</v>
      </c>
      <c r="N625" s="155">
        <v>42</v>
      </c>
      <c r="O625" s="155">
        <v>42</v>
      </c>
      <c r="P625" s="155">
        <v>41</v>
      </c>
      <c r="Q625" s="155">
        <v>41</v>
      </c>
      <c r="R625" s="155">
        <v>41</v>
      </c>
      <c r="S625" s="156">
        <v>40</v>
      </c>
      <c r="T625" s="156">
        <v>40</v>
      </c>
      <c r="U625" s="156">
        <v>40</v>
      </c>
      <c r="V625" s="156">
        <v>40</v>
      </c>
      <c r="W625" s="156">
        <v>40</v>
      </c>
    </row>
    <row r="626" spans="1:23" ht="15">
      <c r="A626" s="50" t="s">
        <v>326</v>
      </c>
      <c r="B626" s="231">
        <v>68</v>
      </c>
      <c r="C626" s="155">
        <v>68</v>
      </c>
      <c r="D626" s="155">
        <v>68</v>
      </c>
      <c r="E626" s="155">
        <v>68</v>
      </c>
      <c r="F626" s="155">
        <v>68</v>
      </c>
      <c r="G626" s="155">
        <v>65</v>
      </c>
      <c r="H626" s="155">
        <v>62</v>
      </c>
      <c r="I626" s="155">
        <v>57</v>
      </c>
      <c r="J626" s="155">
        <v>52</v>
      </c>
      <c r="K626" s="155">
        <v>47</v>
      </c>
      <c r="L626" s="155">
        <v>42</v>
      </c>
      <c r="M626" s="155">
        <v>41</v>
      </c>
      <c r="N626" s="155">
        <v>41</v>
      </c>
      <c r="O626" s="155">
        <v>40</v>
      </c>
      <c r="P626" s="155">
        <v>40</v>
      </c>
      <c r="Q626" s="156">
        <v>40</v>
      </c>
      <c r="R626" s="156">
        <v>40</v>
      </c>
      <c r="S626" s="156">
        <v>40</v>
      </c>
      <c r="T626" s="156">
        <v>40</v>
      </c>
      <c r="U626" s="156">
        <v>39</v>
      </c>
      <c r="V626" s="156">
        <v>39</v>
      </c>
      <c r="W626" s="156">
        <v>39</v>
      </c>
    </row>
    <row r="627" spans="1:23" ht="15">
      <c r="A627" s="50" t="s">
        <v>401</v>
      </c>
      <c r="B627" s="231">
        <v>67</v>
      </c>
      <c r="C627" s="155">
        <v>67</v>
      </c>
      <c r="D627" s="155">
        <v>67</v>
      </c>
      <c r="E627" s="155">
        <v>67</v>
      </c>
      <c r="F627" s="155">
        <v>67</v>
      </c>
      <c r="G627" s="155">
        <v>64</v>
      </c>
      <c r="H627" s="155">
        <v>61</v>
      </c>
      <c r="I627" s="155">
        <v>56</v>
      </c>
      <c r="J627" s="155">
        <v>52</v>
      </c>
      <c r="K627" s="155">
        <v>46</v>
      </c>
      <c r="L627" s="155">
        <v>41</v>
      </c>
      <c r="M627" s="155">
        <v>40</v>
      </c>
      <c r="N627" s="155">
        <v>40</v>
      </c>
      <c r="O627" s="155">
        <v>40</v>
      </c>
      <c r="P627" s="155">
        <v>40</v>
      </c>
      <c r="Q627" s="155">
        <v>40</v>
      </c>
      <c r="R627" s="155">
        <v>40</v>
      </c>
      <c r="S627" s="155">
        <v>39</v>
      </c>
      <c r="T627" s="155">
        <v>39</v>
      </c>
      <c r="U627" s="155">
        <v>39</v>
      </c>
      <c r="V627" s="155">
        <v>39</v>
      </c>
      <c r="W627" s="155">
        <v>38</v>
      </c>
    </row>
    <row r="628" spans="1:23" ht="15">
      <c r="A628" s="8" t="s">
        <v>402</v>
      </c>
      <c r="B628" s="231">
        <v>65</v>
      </c>
      <c r="C628" s="155">
        <v>65</v>
      </c>
      <c r="D628" s="155">
        <v>65</v>
      </c>
      <c r="E628" s="155">
        <v>65</v>
      </c>
      <c r="F628" s="155">
        <v>65</v>
      </c>
      <c r="G628" s="155">
        <v>63</v>
      </c>
      <c r="H628" s="155">
        <v>60</v>
      </c>
      <c r="I628" s="155">
        <v>55</v>
      </c>
      <c r="J628" s="155">
        <v>50</v>
      </c>
      <c r="K628" s="155">
        <v>45</v>
      </c>
      <c r="L628" s="155">
        <v>40</v>
      </c>
      <c r="M628" s="155">
        <v>40</v>
      </c>
      <c r="N628" s="155">
        <v>40</v>
      </c>
      <c r="O628" s="155">
        <v>39</v>
      </c>
      <c r="P628" s="155">
        <v>39</v>
      </c>
      <c r="Q628" s="155">
        <v>39</v>
      </c>
      <c r="R628" s="155">
        <v>39</v>
      </c>
      <c r="S628" s="155">
        <v>38</v>
      </c>
      <c r="T628" s="155">
        <v>38</v>
      </c>
      <c r="U628" s="155">
        <v>38</v>
      </c>
      <c r="V628" s="155">
        <v>37</v>
      </c>
      <c r="W628" s="155">
        <v>37</v>
      </c>
    </row>
    <row r="629" spans="1:23" ht="22.5">
      <c r="A629" s="219" t="s">
        <v>403</v>
      </c>
    </row>
    <row r="630" spans="1:23" ht="15">
      <c r="A630" s="52" t="s">
        <v>404</v>
      </c>
      <c r="B630" s="15" t="s">
        <v>121</v>
      </c>
      <c r="C630" s="15" t="s">
        <v>122</v>
      </c>
      <c r="D630" s="15" t="s">
        <v>123</v>
      </c>
      <c r="E630" s="15" t="s">
        <v>124</v>
      </c>
      <c r="F630" s="15" t="s">
        <v>125</v>
      </c>
      <c r="G630" s="15" t="s">
        <v>126</v>
      </c>
      <c r="H630" s="15" t="s">
        <v>127</v>
      </c>
      <c r="I630" s="15" t="s">
        <v>128</v>
      </c>
      <c r="J630" s="15" t="s">
        <v>129</v>
      </c>
      <c r="K630" s="15" t="s">
        <v>130</v>
      </c>
      <c r="L630" s="15" t="s">
        <v>131</v>
      </c>
      <c r="M630" s="15" t="s">
        <v>132</v>
      </c>
      <c r="N630" s="15" t="s">
        <v>24</v>
      </c>
      <c r="O630" s="15" t="s">
        <v>25</v>
      </c>
      <c r="P630" s="15" t="s">
        <v>26</v>
      </c>
      <c r="Q630" s="15" t="s">
        <v>27</v>
      </c>
      <c r="R630" s="15" t="s">
        <v>28</v>
      </c>
      <c r="S630" s="15" t="s">
        <v>74</v>
      </c>
      <c r="T630" s="15" t="s">
        <v>75</v>
      </c>
      <c r="U630" s="15" t="s">
        <v>133</v>
      </c>
      <c r="V630" s="15" t="s">
        <v>76</v>
      </c>
      <c r="W630" s="15" t="s">
        <v>134</v>
      </c>
    </row>
    <row r="631" spans="1:23" ht="15">
      <c r="A631" s="50" t="s">
        <v>405</v>
      </c>
      <c r="B631" s="164">
        <f t="array" ref="B631:W637">INT($Z$206:$AU$212*0.5)</f>
        <v>97</v>
      </c>
      <c r="C631" s="155">
        <v>94</v>
      </c>
      <c r="D631" s="155">
        <v>89</v>
      </c>
      <c r="E631" s="155">
        <v>82</v>
      </c>
      <c r="F631" s="155">
        <v>76</v>
      </c>
      <c r="G631" s="155">
        <v>70</v>
      </c>
      <c r="H631" s="155">
        <v>69</v>
      </c>
      <c r="I631" s="155">
        <v>67</v>
      </c>
      <c r="J631" s="155">
        <v>64</v>
      </c>
      <c r="K631" s="155">
        <v>62</v>
      </c>
      <c r="L631" s="155">
        <v>60</v>
      </c>
      <c r="M631" s="155">
        <v>58</v>
      </c>
      <c r="N631" s="155">
        <v>54</v>
      </c>
      <c r="O631" s="155">
        <v>50</v>
      </c>
      <c r="P631" s="155">
        <v>45</v>
      </c>
      <c r="Q631" s="155">
        <v>39</v>
      </c>
      <c r="R631" s="155">
        <v>34</v>
      </c>
      <c r="S631" s="155">
        <v>29</v>
      </c>
      <c r="T631" s="155">
        <v>28</v>
      </c>
      <c r="U631" s="155">
        <v>28</v>
      </c>
      <c r="V631" s="155">
        <v>27</v>
      </c>
      <c r="W631" s="155">
        <v>27</v>
      </c>
    </row>
    <row r="632" spans="1:23" ht="12.75">
      <c r="A632" s="232" t="s">
        <v>406</v>
      </c>
      <c r="B632" s="164">
        <v>97</v>
      </c>
      <c r="C632" s="155">
        <v>94</v>
      </c>
      <c r="D632" s="155">
        <v>89</v>
      </c>
      <c r="E632" s="155">
        <v>82</v>
      </c>
      <c r="F632" s="155">
        <v>76</v>
      </c>
      <c r="G632" s="155">
        <v>70</v>
      </c>
      <c r="H632" s="164">
        <v>69</v>
      </c>
      <c r="I632" s="155">
        <v>67</v>
      </c>
      <c r="J632" s="155">
        <v>64</v>
      </c>
      <c r="K632" s="155">
        <v>62</v>
      </c>
      <c r="L632" s="155">
        <v>60</v>
      </c>
      <c r="M632" s="155">
        <v>58</v>
      </c>
      <c r="N632" s="155">
        <v>54</v>
      </c>
      <c r="O632" s="155">
        <v>50</v>
      </c>
      <c r="P632" s="155">
        <v>45</v>
      </c>
      <c r="Q632" s="155">
        <v>39</v>
      </c>
      <c r="R632" s="155">
        <v>34</v>
      </c>
      <c r="S632" s="155">
        <v>29</v>
      </c>
      <c r="T632" s="155">
        <v>28</v>
      </c>
      <c r="U632" s="155">
        <v>28</v>
      </c>
      <c r="V632" s="155">
        <v>27</v>
      </c>
      <c r="W632" s="155">
        <v>27</v>
      </c>
    </row>
    <row r="633" spans="1:23" ht="12.75">
      <c r="A633" s="233" t="s">
        <v>407</v>
      </c>
      <c r="B633" s="234">
        <v>97</v>
      </c>
      <c r="C633" s="155">
        <v>94</v>
      </c>
      <c r="D633" s="155">
        <v>86</v>
      </c>
      <c r="E633" s="155">
        <v>80</v>
      </c>
      <c r="F633" s="155">
        <v>72</v>
      </c>
      <c r="G633" s="155">
        <v>65</v>
      </c>
      <c r="H633" s="155">
        <v>63</v>
      </c>
      <c r="I633" s="155">
        <v>61</v>
      </c>
      <c r="J633" s="155">
        <v>60</v>
      </c>
      <c r="K633" s="155">
        <v>58</v>
      </c>
      <c r="L633" s="155">
        <v>57</v>
      </c>
      <c r="M633" s="155">
        <v>56</v>
      </c>
      <c r="N633" s="155">
        <v>50</v>
      </c>
      <c r="O633" s="155">
        <v>44</v>
      </c>
      <c r="P633" s="155">
        <v>39</v>
      </c>
      <c r="Q633" s="155">
        <v>35</v>
      </c>
      <c r="R633" s="155">
        <v>30</v>
      </c>
      <c r="S633" s="155">
        <v>26</v>
      </c>
      <c r="T633" s="155">
        <v>25</v>
      </c>
      <c r="U633" s="155">
        <v>25</v>
      </c>
      <c r="V633" s="155">
        <v>25</v>
      </c>
      <c r="W633" s="155">
        <v>25</v>
      </c>
    </row>
    <row r="634" spans="1:23" ht="12.75">
      <c r="A634" s="227" t="s">
        <v>408</v>
      </c>
      <c r="B634" s="164">
        <v>97</v>
      </c>
      <c r="C634" s="155">
        <v>94</v>
      </c>
      <c r="D634" s="155">
        <v>86</v>
      </c>
      <c r="E634" s="155">
        <v>80</v>
      </c>
      <c r="F634" s="155">
        <v>72</v>
      </c>
      <c r="G634" s="155">
        <v>65</v>
      </c>
      <c r="H634" s="164">
        <v>63</v>
      </c>
      <c r="I634" s="155">
        <v>61</v>
      </c>
      <c r="J634" s="155">
        <v>60</v>
      </c>
      <c r="K634" s="155">
        <v>58</v>
      </c>
      <c r="L634" s="155">
        <v>57</v>
      </c>
      <c r="M634" s="155">
        <v>56</v>
      </c>
      <c r="N634" s="155">
        <v>50</v>
      </c>
      <c r="O634" s="155">
        <v>44</v>
      </c>
      <c r="P634" s="155">
        <v>39</v>
      </c>
      <c r="Q634" s="155">
        <v>35</v>
      </c>
      <c r="R634" s="155">
        <v>30</v>
      </c>
      <c r="S634" s="155">
        <v>26</v>
      </c>
      <c r="T634" s="155">
        <v>25</v>
      </c>
      <c r="U634" s="155">
        <v>25</v>
      </c>
      <c r="V634" s="155">
        <v>25</v>
      </c>
      <c r="W634" s="155">
        <v>25</v>
      </c>
    </row>
    <row r="635" spans="1:23" ht="12.75">
      <c r="A635" s="209" t="s">
        <v>409</v>
      </c>
      <c r="B635" s="164">
        <v>97</v>
      </c>
      <c r="C635" s="155">
        <v>94</v>
      </c>
      <c r="D635" s="155">
        <v>86</v>
      </c>
      <c r="E635" s="155">
        <v>78</v>
      </c>
      <c r="F635" s="155">
        <v>70</v>
      </c>
      <c r="G635" s="155">
        <v>62</v>
      </c>
      <c r="H635" s="155">
        <v>60</v>
      </c>
      <c r="I635" s="155">
        <v>58</v>
      </c>
      <c r="J635" s="155">
        <v>56</v>
      </c>
      <c r="K635" s="155">
        <v>55</v>
      </c>
      <c r="L635" s="155">
        <v>53</v>
      </c>
      <c r="M635" s="155">
        <v>51</v>
      </c>
      <c r="N635" s="155">
        <v>43</v>
      </c>
      <c r="O635" s="155">
        <v>34</v>
      </c>
      <c r="P635" s="155">
        <v>31</v>
      </c>
      <c r="Q635" s="155">
        <v>29</v>
      </c>
      <c r="R635" s="155">
        <v>26</v>
      </c>
      <c r="S635" s="155">
        <v>24</v>
      </c>
      <c r="T635" s="155">
        <v>23</v>
      </c>
      <c r="U635" s="155">
        <v>23</v>
      </c>
      <c r="V635" s="155">
        <v>23</v>
      </c>
      <c r="W635" s="155">
        <v>22</v>
      </c>
    </row>
    <row r="636" spans="1:23" ht="12.75">
      <c r="A636" s="209" t="s">
        <v>410</v>
      </c>
      <c r="B636" s="234">
        <v>97</v>
      </c>
      <c r="C636" s="155">
        <v>94</v>
      </c>
      <c r="D636" s="155">
        <v>86</v>
      </c>
      <c r="E636" s="155">
        <v>78</v>
      </c>
      <c r="F636" s="155">
        <v>70</v>
      </c>
      <c r="G636" s="155">
        <v>62</v>
      </c>
      <c r="H636" s="164">
        <v>60</v>
      </c>
      <c r="I636" s="155">
        <v>58</v>
      </c>
      <c r="J636" s="155">
        <v>56</v>
      </c>
      <c r="K636" s="155">
        <v>55</v>
      </c>
      <c r="L636" s="155">
        <v>53</v>
      </c>
      <c r="M636" s="155">
        <v>51</v>
      </c>
      <c r="N636" s="155">
        <v>43</v>
      </c>
      <c r="O636" s="155">
        <v>34</v>
      </c>
      <c r="P636" s="155">
        <v>31</v>
      </c>
      <c r="Q636" s="155">
        <v>29</v>
      </c>
      <c r="R636" s="155">
        <v>26</v>
      </c>
      <c r="S636" s="155">
        <v>24</v>
      </c>
      <c r="T636" s="155">
        <v>23</v>
      </c>
      <c r="U636" s="155">
        <v>23</v>
      </c>
      <c r="V636" s="155">
        <v>23</v>
      </c>
      <c r="W636" s="155">
        <v>22</v>
      </c>
    </row>
    <row r="637" spans="1:23" ht="12.75">
      <c r="A637" s="235" t="s">
        <v>411</v>
      </c>
      <c r="B637" s="236">
        <v>97</v>
      </c>
      <c r="C637" s="155">
        <v>94</v>
      </c>
      <c r="D637" s="155">
        <v>86</v>
      </c>
      <c r="E637" s="155">
        <v>78</v>
      </c>
      <c r="F637" s="155">
        <v>70</v>
      </c>
      <c r="G637" s="155">
        <v>62</v>
      </c>
      <c r="H637" s="164">
        <v>60</v>
      </c>
      <c r="I637" s="155">
        <v>58</v>
      </c>
      <c r="J637" s="155">
        <v>56</v>
      </c>
      <c r="K637" s="155">
        <v>55</v>
      </c>
      <c r="L637" s="155">
        <v>53</v>
      </c>
      <c r="M637" s="155">
        <v>51</v>
      </c>
      <c r="N637" s="155">
        <v>43</v>
      </c>
      <c r="O637" s="155">
        <v>34</v>
      </c>
      <c r="P637" s="155">
        <v>31</v>
      </c>
      <c r="Q637" s="155">
        <v>29</v>
      </c>
      <c r="R637" s="155">
        <v>26</v>
      </c>
      <c r="S637" s="155">
        <v>24</v>
      </c>
      <c r="T637" s="155">
        <v>23</v>
      </c>
      <c r="U637" s="155">
        <v>23</v>
      </c>
      <c r="V637" s="155">
        <v>23</v>
      </c>
      <c r="W637" s="155">
        <v>22</v>
      </c>
    </row>
    <row r="638" spans="1:23" ht="12.75">
      <c r="A638" s="5"/>
    </row>
    <row r="639" spans="1:23" ht="27">
      <c r="A639" s="245" t="s">
        <v>418</v>
      </c>
      <c r="E639" s="13"/>
    </row>
    <row r="640" spans="1:23" ht="12.75">
      <c r="A640" s="246" t="s">
        <v>419</v>
      </c>
    </row>
    <row r="641" spans="1:24" ht="15">
      <c r="A641" s="5"/>
      <c r="B641" s="43" t="s">
        <v>24</v>
      </c>
      <c r="C641" s="43" t="s">
        <v>25</v>
      </c>
      <c r="D641" s="43" t="s">
        <v>26</v>
      </c>
      <c r="E641" s="43" t="s">
        <v>27</v>
      </c>
      <c r="F641" s="43" t="s">
        <v>28</v>
      </c>
      <c r="G641" s="43" t="s">
        <v>74</v>
      </c>
      <c r="H641" s="43" t="s">
        <v>75</v>
      </c>
      <c r="I641" s="43" t="s">
        <v>76</v>
      </c>
      <c r="J641" s="43" t="s">
        <v>77</v>
      </c>
      <c r="K641" s="43" t="s">
        <v>78</v>
      </c>
      <c r="L641" s="43" t="s">
        <v>79</v>
      </c>
      <c r="M641" s="43" t="s">
        <v>80</v>
      </c>
      <c r="N641" s="15" t="s">
        <v>81</v>
      </c>
      <c r="O641" s="15" t="s">
        <v>82</v>
      </c>
      <c r="P641" s="15" t="s">
        <v>83</v>
      </c>
      <c r="Q641" s="15" t="s">
        <v>84</v>
      </c>
      <c r="R641" s="43" t="s">
        <v>85</v>
      </c>
      <c r="S641" s="15" t="s">
        <v>86</v>
      </c>
      <c r="T641" s="15" t="s">
        <v>87</v>
      </c>
      <c r="U641" s="15" t="s">
        <v>88</v>
      </c>
      <c r="V641" s="15" t="s">
        <v>89</v>
      </c>
      <c r="W641" s="43" t="s">
        <v>90</v>
      </c>
    </row>
    <row r="642" spans="1:24" ht="15">
      <c r="A642" s="38" t="s">
        <v>62</v>
      </c>
      <c r="B642" s="18">
        <v>1</v>
      </c>
      <c r="C642" s="18">
        <f t="shared" ref="C642:W642" si="22">AVERAGE(C651:C657)</f>
        <v>0.93322319827770206</v>
      </c>
      <c r="D642" s="18">
        <f t="shared" si="22"/>
        <v>0.8703966936983526</v>
      </c>
      <c r="E642" s="18">
        <f t="shared" si="22"/>
        <v>0.80488411447921548</v>
      </c>
      <c r="F642" s="18">
        <f t="shared" si="22"/>
        <v>0.74500947398085449</v>
      </c>
      <c r="G642" s="18">
        <f t="shared" si="22"/>
        <v>0.68080092033700901</v>
      </c>
      <c r="H642" s="18">
        <f t="shared" si="22"/>
        <v>0.61939766290964049</v>
      </c>
      <c r="I642" s="18">
        <f t="shared" si="22"/>
        <v>0.58930687195632669</v>
      </c>
      <c r="J642" s="18">
        <f t="shared" si="22"/>
        <v>0.57011879677934796</v>
      </c>
      <c r="K642" s="18">
        <f t="shared" si="22"/>
        <v>0.54832452525167819</v>
      </c>
      <c r="L642" s="18">
        <f t="shared" si="22"/>
        <v>0.52667177011830313</v>
      </c>
      <c r="M642" s="18">
        <f t="shared" si="22"/>
        <v>0.50059245441540268</v>
      </c>
      <c r="N642" s="18">
        <f t="shared" si="22"/>
        <v>0.50059245441540268</v>
      </c>
      <c r="O642" s="18">
        <f t="shared" si="22"/>
        <v>0.50059245441540268</v>
      </c>
      <c r="P642" s="18">
        <f t="shared" si="22"/>
        <v>0.50059245441540268</v>
      </c>
      <c r="Q642" s="18">
        <f t="shared" si="22"/>
        <v>0.50059245441540268</v>
      </c>
      <c r="R642" s="18">
        <f t="shared" si="22"/>
        <v>0.50059245441540268</v>
      </c>
      <c r="S642" s="18">
        <f t="shared" si="22"/>
        <v>0.50059245441540268</v>
      </c>
      <c r="T642" s="18">
        <f t="shared" si="22"/>
        <v>0.50059245441540268</v>
      </c>
      <c r="U642" s="18">
        <f t="shared" si="22"/>
        <v>0.50059245441540268</v>
      </c>
      <c r="V642" s="18">
        <f t="shared" si="22"/>
        <v>0.50059245441540268</v>
      </c>
      <c r="W642" s="18">
        <f t="shared" si="22"/>
        <v>0.50059245441540268</v>
      </c>
    </row>
    <row r="643" spans="1:24" ht="12.75">
      <c r="A643" s="247" t="s">
        <v>341</v>
      </c>
      <c r="B643" s="13">
        <v>113</v>
      </c>
      <c r="C643" s="13">
        <v>105</v>
      </c>
      <c r="D643" s="13">
        <v>98</v>
      </c>
      <c r="E643" s="13">
        <v>91</v>
      </c>
      <c r="F643" s="13">
        <v>84</v>
      </c>
      <c r="G643" s="13">
        <v>76</v>
      </c>
      <c r="H643" s="13">
        <v>70</v>
      </c>
      <c r="I643" s="13">
        <v>67</v>
      </c>
      <c r="J643" s="13">
        <v>65</v>
      </c>
      <c r="K643" s="13">
        <v>62</v>
      </c>
      <c r="L643" s="13">
        <v>59</v>
      </c>
      <c r="M643" s="13">
        <v>57</v>
      </c>
      <c r="N643" s="13">
        <v>57</v>
      </c>
      <c r="O643" s="13">
        <v>57</v>
      </c>
      <c r="P643" s="13">
        <v>57</v>
      </c>
      <c r="Q643" s="13">
        <v>57</v>
      </c>
      <c r="R643" s="13">
        <v>57</v>
      </c>
      <c r="S643" s="13">
        <v>57</v>
      </c>
      <c r="T643" s="13">
        <v>57</v>
      </c>
      <c r="U643" s="13">
        <v>57</v>
      </c>
      <c r="V643" s="13">
        <v>57</v>
      </c>
      <c r="W643" s="13">
        <v>57</v>
      </c>
      <c r="X643" s="248"/>
    </row>
    <row r="644" spans="1:24" ht="12.75">
      <c r="A644" s="13" t="s">
        <v>342</v>
      </c>
      <c r="B644" s="13">
        <v>110</v>
      </c>
      <c r="C644" s="13">
        <v>102</v>
      </c>
      <c r="D644" s="13">
        <v>96</v>
      </c>
      <c r="E644" s="13">
        <v>88</v>
      </c>
      <c r="F644" s="13">
        <v>81</v>
      </c>
      <c r="G644" s="248">
        <v>75</v>
      </c>
      <c r="H644" s="248">
        <v>68</v>
      </c>
      <c r="I644" s="248">
        <v>65</v>
      </c>
      <c r="J644" s="248">
        <v>63</v>
      </c>
      <c r="K644" s="248">
        <v>61</v>
      </c>
      <c r="L644" s="248">
        <v>58</v>
      </c>
      <c r="M644" s="248">
        <v>55</v>
      </c>
      <c r="N644" s="248">
        <v>55</v>
      </c>
      <c r="O644" s="248">
        <v>55</v>
      </c>
      <c r="P644" s="248">
        <v>55</v>
      </c>
      <c r="Q644" s="248">
        <v>55</v>
      </c>
      <c r="R644" s="248">
        <v>55</v>
      </c>
      <c r="S644" s="248">
        <v>55</v>
      </c>
      <c r="T644" s="248">
        <v>55</v>
      </c>
      <c r="U644" s="248">
        <v>55</v>
      </c>
      <c r="V644" s="248">
        <v>55</v>
      </c>
      <c r="W644" s="248">
        <v>55</v>
      </c>
      <c r="X644" s="58"/>
    </row>
    <row r="645" spans="1:24" ht="12.75">
      <c r="A645" s="249" t="s">
        <v>343</v>
      </c>
      <c r="B645" s="58">
        <v>107</v>
      </c>
      <c r="C645" s="58">
        <v>101</v>
      </c>
      <c r="D645" s="58">
        <v>93</v>
      </c>
      <c r="E645" s="58">
        <v>87</v>
      </c>
      <c r="F645" s="58">
        <v>80</v>
      </c>
      <c r="G645" s="58">
        <v>74</v>
      </c>
      <c r="H645" s="58">
        <v>66</v>
      </c>
      <c r="I645" s="58">
        <v>63</v>
      </c>
      <c r="J645" s="58">
        <v>61</v>
      </c>
      <c r="K645" s="58">
        <v>59</v>
      </c>
      <c r="L645" s="58">
        <v>57</v>
      </c>
      <c r="M645" s="58">
        <v>54</v>
      </c>
      <c r="N645" s="58">
        <v>54</v>
      </c>
      <c r="O645" s="58">
        <v>54</v>
      </c>
      <c r="P645" s="58">
        <v>54</v>
      </c>
      <c r="Q645" s="58">
        <v>54</v>
      </c>
      <c r="R645" s="58">
        <v>54</v>
      </c>
      <c r="S645" s="58">
        <v>54</v>
      </c>
      <c r="T645" s="58">
        <v>54</v>
      </c>
      <c r="U645" s="58">
        <v>54</v>
      </c>
      <c r="V645" s="58">
        <v>54</v>
      </c>
      <c r="W645" s="58">
        <v>54</v>
      </c>
    </row>
    <row r="646" spans="1:24" ht="12.75">
      <c r="A646" s="211" t="s">
        <v>344</v>
      </c>
      <c r="B646" s="13">
        <v>104</v>
      </c>
      <c r="C646" s="13">
        <v>97</v>
      </c>
      <c r="D646" s="13">
        <v>91</v>
      </c>
      <c r="E646" s="13">
        <v>84</v>
      </c>
      <c r="F646" s="13">
        <v>78</v>
      </c>
      <c r="G646" s="13">
        <v>71</v>
      </c>
      <c r="H646" s="13">
        <v>65</v>
      </c>
      <c r="I646" s="13">
        <v>61</v>
      </c>
      <c r="J646" s="13">
        <v>59</v>
      </c>
      <c r="K646" s="13">
        <v>57</v>
      </c>
      <c r="L646" s="13">
        <v>54</v>
      </c>
      <c r="M646" s="13">
        <v>52</v>
      </c>
      <c r="N646" s="13">
        <v>52</v>
      </c>
      <c r="O646" s="13">
        <v>52</v>
      </c>
      <c r="P646" s="13">
        <v>52</v>
      </c>
      <c r="Q646" s="13">
        <v>52</v>
      </c>
      <c r="R646" s="13">
        <v>52</v>
      </c>
      <c r="S646" s="13">
        <v>52</v>
      </c>
      <c r="T646" s="13">
        <v>52</v>
      </c>
      <c r="U646" s="13">
        <v>52</v>
      </c>
      <c r="V646" s="13">
        <v>52</v>
      </c>
      <c r="W646" s="13">
        <v>52</v>
      </c>
    </row>
    <row r="647" spans="1:24" ht="12.75">
      <c r="A647" s="13" t="s">
        <v>345</v>
      </c>
      <c r="B647" s="13">
        <v>101</v>
      </c>
      <c r="C647" s="13">
        <v>94</v>
      </c>
      <c r="D647" s="13">
        <v>88</v>
      </c>
      <c r="E647" s="13">
        <v>81</v>
      </c>
      <c r="F647" s="13">
        <v>75</v>
      </c>
      <c r="G647" s="13">
        <v>68</v>
      </c>
      <c r="H647" s="13">
        <v>62</v>
      </c>
      <c r="I647" s="13">
        <v>59</v>
      </c>
      <c r="J647" s="13">
        <v>58</v>
      </c>
      <c r="K647" s="13">
        <v>55</v>
      </c>
      <c r="L647" s="13">
        <v>53</v>
      </c>
      <c r="M647" s="13">
        <v>50</v>
      </c>
      <c r="N647" s="13">
        <v>50</v>
      </c>
      <c r="O647" s="13">
        <v>50</v>
      </c>
      <c r="P647" s="13">
        <v>50</v>
      </c>
      <c r="Q647" s="13">
        <v>50</v>
      </c>
      <c r="R647" s="13">
        <v>50</v>
      </c>
      <c r="S647" s="13">
        <v>50</v>
      </c>
      <c r="T647" s="13">
        <v>50</v>
      </c>
      <c r="U647" s="13">
        <v>50</v>
      </c>
      <c r="V647" s="13">
        <v>50</v>
      </c>
      <c r="W647" s="13">
        <v>50</v>
      </c>
    </row>
    <row r="648" spans="1:24" ht="12.75">
      <c r="A648" s="240" t="s">
        <v>346</v>
      </c>
      <c r="B648" s="241">
        <v>100</v>
      </c>
      <c r="C648" s="241">
        <v>93</v>
      </c>
      <c r="D648" s="241">
        <v>87</v>
      </c>
      <c r="E648" s="241">
        <v>80</v>
      </c>
      <c r="F648" s="241">
        <v>74</v>
      </c>
      <c r="G648" s="241">
        <v>68</v>
      </c>
      <c r="H648" s="241">
        <v>62</v>
      </c>
      <c r="I648" s="241">
        <v>59</v>
      </c>
      <c r="J648" s="241">
        <v>57</v>
      </c>
      <c r="K648" s="241">
        <v>54</v>
      </c>
      <c r="L648" s="241">
        <v>53</v>
      </c>
      <c r="M648" s="241">
        <v>50</v>
      </c>
      <c r="N648" s="241">
        <v>50</v>
      </c>
      <c r="O648" s="241">
        <v>50</v>
      </c>
      <c r="P648" s="241">
        <v>50</v>
      </c>
      <c r="Q648" s="241">
        <v>50</v>
      </c>
      <c r="R648" s="241">
        <v>50</v>
      </c>
      <c r="S648" s="241">
        <v>50</v>
      </c>
      <c r="T648" s="241">
        <v>50</v>
      </c>
      <c r="U648" s="241">
        <v>50</v>
      </c>
      <c r="V648" s="241">
        <v>50</v>
      </c>
      <c r="W648" s="241">
        <v>50</v>
      </c>
    </row>
    <row r="649" spans="1:24" ht="12.75">
      <c r="A649" s="250" t="s">
        <v>347</v>
      </c>
      <c r="B649" s="58">
        <v>98</v>
      </c>
      <c r="C649" s="58">
        <v>92</v>
      </c>
      <c r="D649" s="58">
        <v>85</v>
      </c>
      <c r="E649" s="58">
        <v>79</v>
      </c>
      <c r="F649" s="58">
        <v>74</v>
      </c>
      <c r="G649" s="58">
        <v>67</v>
      </c>
      <c r="H649" s="58">
        <v>61</v>
      </c>
      <c r="I649" s="58">
        <v>58</v>
      </c>
      <c r="J649" s="58">
        <v>55</v>
      </c>
      <c r="K649" s="58">
        <v>54</v>
      </c>
      <c r="L649" s="58">
        <v>52</v>
      </c>
      <c r="M649" s="58">
        <v>49</v>
      </c>
      <c r="N649" s="58">
        <v>49</v>
      </c>
      <c r="O649" s="58">
        <v>49</v>
      </c>
      <c r="P649" s="58">
        <v>49</v>
      </c>
      <c r="Q649" s="58">
        <v>49</v>
      </c>
      <c r="R649" s="58">
        <v>49</v>
      </c>
      <c r="S649" s="58">
        <v>49</v>
      </c>
      <c r="T649" s="58">
        <v>49</v>
      </c>
      <c r="U649" s="58">
        <v>49</v>
      </c>
      <c r="V649" s="58">
        <v>49</v>
      </c>
      <c r="W649" s="58">
        <v>49</v>
      </c>
    </row>
    <row r="650" spans="1:24" ht="12.75">
      <c r="A650" s="5"/>
      <c r="B650" s="2" t="b">
        <f t="array" aca="1" ref="B650" ca="1">IF(COUNTA(B643:B649)=COUNTA(UNIQUE(B643:B649)), "no duplicate numbers")</f>
        <v>0</v>
      </c>
    </row>
    <row r="651" spans="1:24" ht="12.75">
      <c r="A651" s="247" t="s">
        <v>341</v>
      </c>
      <c r="C651" s="13">
        <f t="array" ref="C651:W657">C643:W649/B643:B649</f>
        <v>0.92920353982300885</v>
      </c>
      <c r="D651" s="2">
        <v>0.86725663716814161</v>
      </c>
      <c r="E651" s="2">
        <v>0.80530973451327437</v>
      </c>
      <c r="F651" s="2">
        <v>0.74336283185840712</v>
      </c>
      <c r="G651" s="2">
        <v>0.67256637168141598</v>
      </c>
      <c r="H651" s="2">
        <v>0.61946902654867253</v>
      </c>
      <c r="I651" s="2">
        <v>0.59292035398230092</v>
      </c>
      <c r="J651" s="2">
        <v>0.5752212389380531</v>
      </c>
      <c r="K651" s="2">
        <v>0.54867256637168138</v>
      </c>
      <c r="L651" s="2">
        <v>0.52212389380530977</v>
      </c>
      <c r="M651" s="2">
        <v>0.50442477876106195</v>
      </c>
      <c r="N651" s="2">
        <v>0.50442477876106195</v>
      </c>
      <c r="O651" s="2">
        <v>0.50442477876106195</v>
      </c>
      <c r="P651" s="2">
        <v>0.50442477876106195</v>
      </c>
      <c r="Q651" s="2">
        <v>0.50442477876106195</v>
      </c>
      <c r="R651" s="2">
        <v>0.50442477876106195</v>
      </c>
      <c r="S651" s="2">
        <v>0.50442477876106195</v>
      </c>
      <c r="T651" s="2">
        <v>0.50442477876106195</v>
      </c>
      <c r="U651" s="2">
        <v>0.50442477876106195</v>
      </c>
      <c r="V651" s="2">
        <v>0.50442477876106195</v>
      </c>
      <c r="W651" s="2">
        <v>0.50442477876106195</v>
      </c>
    </row>
    <row r="652" spans="1:24" ht="12.75">
      <c r="A652" s="13" t="s">
        <v>342</v>
      </c>
      <c r="C652" s="2">
        <v>0.92727272727272725</v>
      </c>
      <c r="D652" s="2">
        <v>0.87272727272727268</v>
      </c>
      <c r="E652" s="2">
        <v>0.8</v>
      </c>
      <c r="F652" s="2">
        <v>0.73636363636363633</v>
      </c>
      <c r="G652" s="2">
        <v>0.68181818181818177</v>
      </c>
      <c r="H652" s="2">
        <v>0.61818181818181817</v>
      </c>
      <c r="I652" s="2">
        <v>0.59090909090909094</v>
      </c>
      <c r="J652" s="2">
        <v>0.57272727272727275</v>
      </c>
      <c r="K652" s="2">
        <v>0.55454545454545456</v>
      </c>
      <c r="L652" s="2">
        <v>0.52727272727272723</v>
      </c>
      <c r="M652" s="2">
        <v>0.5</v>
      </c>
      <c r="N652" s="2">
        <v>0.5</v>
      </c>
      <c r="O652" s="2">
        <v>0.5</v>
      </c>
      <c r="P652" s="2">
        <v>0.5</v>
      </c>
      <c r="Q652" s="2">
        <v>0.5</v>
      </c>
      <c r="R652" s="2">
        <v>0.5</v>
      </c>
      <c r="S652" s="2">
        <v>0.5</v>
      </c>
      <c r="T652" s="2">
        <v>0.5</v>
      </c>
      <c r="U652" s="2">
        <v>0.5</v>
      </c>
      <c r="V652" s="2">
        <v>0.5</v>
      </c>
      <c r="W652" s="2">
        <v>0.5</v>
      </c>
    </row>
    <row r="653" spans="1:24" ht="12.75">
      <c r="A653" s="249" t="s">
        <v>343</v>
      </c>
      <c r="C653" s="2">
        <v>0.94392523364485981</v>
      </c>
      <c r="D653" s="2">
        <v>0.86915887850467288</v>
      </c>
      <c r="E653" s="2">
        <v>0.81308411214953269</v>
      </c>
      <c r="F653" s="2">
        <v>0.74766355140186913</v>
      </c>
      <c r="G653" s="2">
        <v>0.69158878504672894</v>
      </c>
      <c r="H653" s="2">
        <v>0.61682242990654201</v>
      </c>
      <c r="I653" s="2">
        <v>0.58878504672897192</v>
      </c>
      <c r="J653" s="2">
        <v>0.57009345794392519</v>
      </c>
      <c r="K653" s="2">
        <v>0.55140186915887845</v>
      </c>
      <c r="L653" s="2">
        <v>0.53271028037383172</v>
      </c>
      <c r="M653" s="2">
        <v>0.50467289719626163</v>
      </c>
      <c r="N653" s="2">
        <v>0.50467289719626163</v>
      </c>
      <c r="O653" s="2">
        <v>0.50467289719626163</v>
      </c>
      <c r="P653" s="2">
        <v>0.50467289719626163</v>
      </c>
      <c r="Q653" s="2">
        <v>0.50467289719626163</v>
      </c>
      <c r="R653" s="2">
        <v>0.50467289719626163</v>
      </c>
      <c r="S653" s="2">
        <v>0.50467289719626163</v>
      </c>
      <c r="T653" s="2">
        <v>0.50467289719626163</v>
      </c>
      <c r="U653" s="2">
        <v>0.50467289719626163</v>
      </c>
      <c r="V653" s="2">
        <v>0.50467289719626163</v>
      </c>
      <c r="W653" s="2">
        <v>0.50467289719626163</v>
      </c>
    </row>
    <row r="654" spans="1:24" ht="12.75">
      <c r="A654" s="211" t="s">
        <v>344</v>
      </c>
      <c r="C654" s="2">
        <v>0.93269230769230771</v>
      </c>
      <c r="D654" s="2">
        <v>0.875</v>
      </c>
      <c r="E654" s="2">
        <v>0.80769230769230771</v>
      </c>
      <c r="F654" s="2">
        <v>0.75</v>
      </c>
      <c r="G654" s="2">
        <v>0.68269230769230771</v>
      </c>
      <c r="H654" s="2">
        <v>0.625</v>
      </c>
      <c r="I654" s="2">
        <v>0.58653846153846156</v>
      </c>
      <c r="J654" s="2">
        <v>0.56730769230769229</v>
      </c>
      <c r="K654" s="2">
        <v>0.54807692307692313</v>
      </c>
      <c r="L654" s="2">
        <v>0.51923076923076927</v>
      </c>
      <c r="M654" s="2">
        <v>0.5</v>
      </c>
      <c r="N654" s="2">
        <v>0.5</v>
      </c>
      <c r="O654" s="2">
        <v>0.5</v>
      </c>
      <c r="P654" s="2">
        <v>0.5</v>
      </c>
      <c r="Q654" s="2">
        <v>0.5</v>
      </c>
      <c r="R654" s="2">
        <v>0.5</v>
      </c>
      <c r="S654" s="2">
        <v>0.5</v>
      </c>
      <c r="T654" s="2">
        <v>0.5</v>
      </c>
      <c r="U654" s="2">
        <v>0.5</v>
      </c>
      <c r="V654" s="2">
        <v>0.5</v>
      </c>
      <c r="W654" s="2">
        <v>0.5</v>
      </c>
    </row>
    <row r="655" spans="1:24" ht="12.75">
      <c r="A655" s="13" t="s">
        <v>345</v>
      </c>
      <c r="C655" s="2">
        <v>0.93069306930693074</v>
      </c>
      <c r="D655" s="2">
        <v>0.87128712871287128</v>
      </c>
      <c r="E655" s="2">
        <v>0.80198019801980203</v>
      </c>
      <c r="F655" s="2">
        <v>0.74257425742574257</v>
      </c>
      <c r="G655" s="2">
        <v>0.67326732673267331</v>
      </c>
      <c r="H655" s="2">
        <v>0.61386138613861385</v>
      </c>
      <c r="I655" s="2">
        <v>0.58415841584158412</v>
      </c>
      <c r="J655" s="2">
        <v>0.57425742574257421</v>
      </c>
      <c r="K655" s="2">
        <v>0.54455445544554459</v>
      </c>
      <c r="L655" s="2">
        <v>0.52475247524752477</v>
      </c>
      <c r="M655" s="2">
        <v>0.49504950495049505</v>
      </c>
      <c r="N655" s="2">
        <v>0.49504950495049505</v>
      </c>
      <c r="O655" s="2">
        <v>0.49504950495049505</v>
      </c>
      <c r="P655" s="2">
        <v>0.49504950495049505</v>
      </c>
      <c r="Q655" s="2">
        <v>0.49504950495049505</v>
      </c>
      <c r="R655" s="2">
        <v>0.49504950495049505</v>
      </c>
      <c r="S655" s="2">
        <v>0.49504950495049505</v>
      </c>
      <c r="T655" s="2">
        <v>0.49504950495049505</v>
      </c>
      <c r="U655" s="2">
        <v>0.49504950495049505</v>
      </c>
      <c r="V655" s="2">
        <v>0.49504950495049505</v>
      </c>
      <c r="W655" s="2">
        <v>0.49504950495049505</v>
      </c>
    </row>
    <row r="656" spans="1:24" ht="12.75">
      <c r="A656" s="251" t="s">
        <v>346</v>
      </c>
      <c r="C656" s="2">
        <v>0.93</v>
      </c>
      <c r="D656" s="2">
        <v>0.87</v>
      </c>
      <c r="E656" s="2">
        <v>0.8</v>
      </c>
      <c r="F656" s="2">
        <v>0.74</v>
      </c>
      <c r="G656" s="2">
        <v>0.68</v>
      </c>
      <c r="H656" s="2">
        <v>0.62</v>
      </c>
      <c r="I656" s="2">
        <v>0.59</v>
      </c>
      <c r="J656" s="2">
        <v>0.56999999999999995</v>
      </c>
      <c r="K656" s="2">
        <v>0.54</v>
      </c>
      <c r="L656" s="2">
        <v>0.53</v>
      </c>
      <c r="M656" s="2">
        <v>0.5</v>
      </c>
      <c r="N656" s="2">
        <v>0.5</v>
      </c>
      <c r="O656" s="2">
        <v>0.5</v>
      </c>
      <c r="P656" s="2">
        <v>0.5</v>
      </c>
      <c r="Q656" s="2">
        <v>0.5</v>
      </c>
      <c r="R656" s="2">
        <v>0.5</v>
      </c>
      <c r="S656" s="2">
        <v>0.5</v>
      </c>
      <c r="T656" s="2">
        <v>0.5</v>
      </c>
      <c r="U656" s="2">
        <v>0.5</v>
      </c>
      <c r="V656" s="2">
        <v>0.5</v>
      </c>
      <c r="W656" s="2">
        <v>0.5</v>
      </c>
    </row>
    <row r="657" spans="1:23" ht="12.75">
      <c r="A657" s="250" t="s">
        <v>347</v>
      </c>
      <c r="C657" s="2">
        <v>0.93877551020408168</v>
      </c>
      <c r="D657" s="2">
        <v>0.86734693877551017</v>
      </c>
      <c r="E657" s="2">
        <v>0.80612244897959184</v>
      </c>
      <c r="F657" s="2">
        <v>0.75510204081632648</v>
      </c>
      <c r="G657" s="2">
        <v>0.68367346938775508</v>
      </c>
      <c r="H657" s="2">
        <v>0.62244897959183676</v>
      </c>
      <c r="I657" s="2">
        <v>0.59183673469387754</v>
      </c>
      <c r="J657" s="2">
        <v>0.56122448979591832</v>
      </c>
      <c r="K657" s="2">
        <v>0.55102040816326525</v>
      </c>
      <c r="L657" s="2">
        <v>0.53061224489795922</v>
      </c>
      <c r="M657" s="2">
        <v>0.5</v>
      </c>
      <c r="N657" s="2">
        <v>0.5</v>
      </c>
      <c r="O657" s="2">
        <v>0.5</v>
      </c>
      <c r="P657" s="2">
        <v>0.5</v>
      </c>
      <c r="Q657" s="2">
        <v>0.5</v>
      </c>
      <c r="R657" s="2">
        <v>0.5</v>
      </c>
      <c r="S657" s="2">
        <v>0.5</v>
      </c>
      <c r="T657" s="2">
        <v>0.5</v>
      </c>
      <c r="U657" s="2">
        <v>0.5</v>
      </c>
      <c r="V657" s="2">
        <v>0.5</v>
      </c>
      <c r="W657" s="2">
        <v>0.5</v>
      </c>
    </row>
    <row r="658" spans="1:23" ht="15">
      <c r="A658" s="5"/>
      <c r="B658" s="43" t="s">
        <v>24</v>
      </c>
      <c r="C658" s="43" t="s">
        <v>25</v>
      </c>
      <c r="D658" s="43" t="s">
        <v>26</v>
      </c>
      <c r="E658" s="43" t="s">
        <v>27</v>
      </c>
      <c r="F658" s="43" t="s">
        <v>28</v>
      </c>
      <c r="G658" s="43" t="s">
        <v>74</v>
      </c>
      <c r="H658" s="43" t="s">
        <v>75</v>
      </c>
      <c r="I658" s="43" t="s">
        <v>76</v>
      </c>
      <c r="J658" s="43" t="s">
        <v>77</v>
      </c>
      <c r="K658" s="43" t="s">
        <v>78</v>
      </c>
      <c r="L658" s="43" t="s">
        <v>79</v>
      </c>
      <c r="M658" s="43" t="s">
        <v>80</v>
      </c>
      <c r="N658" s="15" t="s">
        <v>81</v>
      </c>
      <c r="O658" s="15" t="s">
        <v>82</v>
      </c>
      <c r="P658" s="15" t="s">
        <v>83</v>
      </c>
      <c r="Q658" s="15" t="s">
        <v>84</v>
      </c>
      <c r="R658" s="43" t="s">
        <v>85</v>
      </c>
      <c r="S658" s="15" t="s">
        <v>86</v>
      </c>
      <c r="T658" s="15" t="s">
        <v>87</v>
      </c>
      <c r="U658" s="15" t="s">
        <v>88</v>
      </c>
      <c r="V658" s="15" t="s">
        <v>89</v>
      </c>
      <c r="W658" s="43" t="s">
        <v>90</v>
      </c>
    </row>
    <row r="659" spans="1:23" ht="12.75">
      <c r="A659" s="252" t="s">
        <v>65</v>
      </c>
      <c r="B659" s="18">
        <v>1</v>
      </c>
      <c r="C659" s="18">
        <f t="shared" ref="C659:W659" si="23">AVERAGE(C670:C678)</f>
        <v>0.92375930739101975</v>
      </c>
      <c r="D659" s="18">
        <f t="shared" si="23"/>
        <v>0.8468164136223757</v>
      </c>
      <c r="E659" s="18">
        <f t="shared" si="23"/>
        <v>0.77183623543180468</v>
      </c>
      <c r="F659" s="18">
        <f t="shared" si="23"/>
        <v>0.69673103580811635</v>
      </c>
      <c r="G659" s="18">
        <f t="shared" si="23"/>
        <v>0.62375032915186046</v>
      </c>
      <c r="H659" s="18">
        <f t="shared" si="23"/>
        <v>0.54614329942336726</v>
      </c>
      <c r="I659" s="18">
        <f t="shared" si="23"/>
        <v>0.47078112268057648</v>
      </c>
      <c r="J659" s="18">
        <f t="shared" si="23"/>
        <v>0.4691938210932749</v>
      </c>
      <c r="K659" s="18">
        <f t="shared" si="23"/>
        <v>0.4691938210932749</v>
      </c>
      <c r="L659" s="18">
        <f t="shared" si="23"/>
        <v>0.4691938210932749</v>
      </c>
      <c r="M659" s="18">
        <f t="shared" si="23"/>
        <v>0.4691938210932749</v>
      </c>
      <c r="N659" s="18">
        <f t="shared" si="23"/>
        <v>0.4691938210932749</v>
      </c>
      <c r="O659" s="18">
        <f t="shared" si="23"/>
        <v>0.4691938210932749</v>
      </c>
      <c r="P659" s="18">
        <f t="shared" si="23"/>
        <v>0.4691938210932749</v>
      </c>
      <c r="Q659" s="18">
        <f t="shared" si="23"/>
        <v>0.4691938210932749</v>
      </c>
      <c r="R659" s="18">
        <f t="shared" si="23"/>
        <v>0.4691938210932749</v>
      </c>
      <c r="S659" s="18">
        <f t="shared" si="23"/>
        <v>0.4691938210932749</v>
      </c>
      <c r="T659" s="18">
        <f t="shared" si="23"/>
        <v>0.4691938210932749</v>
      </c>
      <c r="U659" s="18">
        <f t="shared" si="23"/>
        <v>0.4691938210932749</v>
      </c>
      <c r="V659" s="18">
        <f t="shared" si="23"/>
        <v>0.4691938210932749</v>
      </c>
      <c r="W659" s="18">
        <f t="shared" si="23"/>
        <v>0.4691938210932749</v>
      </c>
    </row>
    <row r="660" spans="1:23" ht="12.75">
      <c r="A660" s="246" t="s">
        <v>348</v>
      </c>
      <c r="B660" s="13">
        <v>104</v>
      </c>
      <c r="C660" s="13">
        <v>96</v>
      </c>
      <c r="D660" s="13">
        <v>88</v>
      </c>
      <c r="E660" s="13">
        <v>80</v>
      </c>
      <c r="F660" s="13">
        <v>72</v>
      </c>
      <c r="G660" s="13">
        <v>65</v>
      </c>
      <c r="H660" s="13">
        <v>57</v>
      </c>
      <c r="I660" s="13">
        <v>49</v>
      </c>
      <c r="J660" s="13">
        <v>49</v>
      </c>
      <c r="K660" s="13">
        <v>49</v>
      </c>
      <c r="L660" s="13">
        <v>49</v>
      </c>
      <c r="M660" s="13">
        <v>49</v>
      </c>
      <c r="N660" s="13">
        <v>49</v>
      </c>
      <c r="O660" s="13">
        <v>49</v>
      </c>
      <c r="P660" s="13">
        <v>49</v>
      </c>
      <c r="Q660" s="13">
        <v>49</v>
      </c>
      <c r="R660" s="13">
        <v>49</v>
      </c>
      <c r="S660" s="13">
        <v>49</v>
      </c>
      <c r="T660" s="13">
        <v>49</v>
      </c>
      <c r="U660" s="13">
        <v>49</v>
      </c>
      <c r="V660" s="13">
        <v>49</v>
      </c>
      <c r="W660" s="13">
        <v>49</v>
      </c>
    </row>
    <row r="661" spans="1:23" ht="12.75">
      <c r="A661" s="246" t="s">
        <v>350</v>
      </c>
      <c r="B661" s="13">
        <v>97</v>
      </c>
      <c r="C661" s="13">
        <v>89</v>
      </c>
      <c r="D661" s="13">
        <v>83</v>
      </c>
      <c r="E661" s="13">
        <v>75</v>
      </c>
      <c r="F661" s="13">
        <v>67</v>
      </c>
      <c r="G661" s="13">
        <v>61</v>
      </c>
      <c r="H661" s="13">
        <v>53</v>
      </c>
      <c r="I661" s="13">
        <v>46</v>
      </c>
      <c r="J661" s="13">
        <v>46</v>
      </c>
      <c r="K661" s="13">
        <v>46</v>
      </c>
      <c r="L661" s="13">
        <v>46</v>
      </c>
      <c r="M661" s="13">
        <v>46</v>
      </c>
      <c r="N661" s="13">
        <v>46</v>
      </c>
      <c r="O661" s="13">
        <v>46</v>
      </c>
      <c r="P661" s="13">
        <v>46</v>
      </c>
      <c r="Q661" s="13">
        <v>46</v>
      </c>
      <c r="R661" s="13">
        <v>46</v>
      </c>
      <c r="S661" s="13">
        <v>46</v>
      </c>
      <c r="T661" s="13">
        <v>46</v>
      </c>
      <c r="U661" s="13">
        <v>46</v>
      </c>
      <c r="V661" s="13">
        <v>46</v>
      </c>
      <c r="W661" s="13">
        <v>46</v>
      </c>
    </row>
    <row r="662" spans="1:23" ht="12.75">
      <c r="A662" s="242" t="s">
        <v>351</v>
      </c>
      <c r="B662" s="241">
        <v>92</v>
      </c>
      <c r="C662" s="241">
        <v>85</v>
      </c>
      <c r="D662" s="241">
        <v>78</v>
      </c>
      <c r="E662" s="241">
        <v>71</v>
      </c>
      <c r="F662" s="241">
        <v>65</v>
      </c>
      <c r="G662" s="241">
        <v>57</v>
      </c>
      <c r="H662" s="241">
        <v>50</v>
      </c>
      <c r="I662" s="241">
        <v>44</v>
      </c>
      <c r="J662" s="241">
        <v>44</v>
      </c>
      <c r="K662" s="241">
        <v>44</v>
      </c>
      <c r="L662" s="241">
        <v>44</v>
      </c>
      <c r="M662" s="241">
        <v>44</v>
      </c>
      <c r="N662" s="241">
        <v>44</v>
      </c>
      <c r="O662" s="241">
        <v>44</v>
      </c>
      <c r="P662" s="241">
        <v>44</v>
      </c>
      <c r="Q662" s="241">
        <v>44</v>
      </c>
      <c r="R662" s="241">
        <v>44</v>
      </c>
      <c r="S662" s="241">
        <v>44</v>
      </c>
      <c r="T662" s="241">
        <v>44</v>
      </c>
      <c r="U662" s="241">
        <v>44</v>
      </c>
      <c r="V662" s="241">
        <v>44</v>
      </c>
      <c r="W662" s="241">
        <v>44</v>
      </c>
    </row>
    <row r="663" spans="1:23" ht="12.75">
      <c r="A663" s="109" t="s">
        <v>352</v>
      </c>
      <c r="B663" s="58">
        <v>91</v>
      </c>
      <c r="C663" s="58">
        <v>84</v>
      </c>
      <c r="D663" s="58">
        <v>76</v>
      </c>
      <c r="E663" s="58">
        <v>70</v>
      </c>
      <c r="F663" s="58">
        <v>63</v>
      </c>
      <c r="G663" s="58">
        <v>57</v>
      </c>
      <c r="H663" s="58">
        <v>49</v>
      </c>
      <c r="I663" s="58">
        <v>42</v>
      </c>
      <c r="J663" s="58">
        <v>42</v>
      </c>
      <c r="K663" s="58">
        <v>42</v>
      </c>
      <c r="L663" s="58">
        <v>42</v>
      </c>
      <c r="M663" s="58">
        <v>42</v>
      </c>
      <c r="N663" s="58">
        <v>42</v>
      </c>
      <c r="O663" s="58">
        <v>42</v>
      </c>
      <c r="P663" s="58">
        <v>42</v>
      </c>
      <c r="Q663" s="58">
        <v>42</v>
      </c>
      <c r="R663" s="58">
        <v>42</v>
      </c>
      <c r="S663" s="58">
        <v>42</v>
      </c>
      <c r="T663" s="58">
        <v>42</v>
      </c>
      <c r="U663" s="58">
        <v>42</v>
      </c>
      <c r="V663" s="58">
        <v>42</v>
      </c>
      <c r="W663" s="58">
        <v>42</v>
      </c>
    </row>
    <row r="664" spans="1:23" ht="12.75">
      <c r="A664" s="246" t="s">
        <v>354</v>
      </c>
      <c r="B664" s="13">
        <v>87</v>
      </c>
      <c r="C664" s="13">
        <v>80</v>
      </c>
      <c r="D664" s="13">
        <v>74</v>
      </c>
      <c r="E664" s="13">
        <v>67</v>
      </c>
      <c r="F664" s="13">
        <v>61</v>
      </c>
      <c r="G664" s="13">
        <v>54</v>
      </c>
      <c r="H664" s="13">
        <v>48</v>
      </c>
      <c r="I664" s="13">
        <v>41</v>
      </c>
      <c r="J664" s="13">
        <v>41</v>
      </c>
      <c r="K664" s="13">
        <v>41</v>
      </c>
      <c r="L664" s="13">
        <v>41</v>
      </c>
      <c r="M664" s="13">
        <v>41</v>
      </c>
      <c r="N664" s="13">
        <v>41</v>
      </c>
      <c r="O664" s="13">
        <v>41</v>
      </c>
      <c r="P664" s="13">
        <v>41</v>
      </c>
      <c r="Q664" s="13">
        <v>41</v>
      </c>
      <c r="R664" s="13">
        <v>41</v>
      </c>
      <c r="S664" s="13">
        <v>41</v>
      </c>
      <c r="T664" s="13">
        <v>41</v>
      </c>
      <c r="U664" s="13">
        <v>41</v>
      </c>
      <c r="V664" s="13">
        <v>41</v>
      </c>
      <c r="W664" s="13">
        <v>41</v>
      </c>
    </row>
    <row r="665" spans="1:23" ht="12.75">
      <c r="A665" s="246" t="s">
        <v>356</v>
      </c>
      <c r="B665" s="13">
        <v>80</v>
      </c>
      <c r="C665" s="13">
        <v>74</v>
      </c>
      <c r="D665" s="13">
        <v>68</v>
      </c>
      <c r="E665" s="13">
        <v>62</v>
      </c>
      <c r="F665" s="13">
        <v>55</v>
      </c>
      <c r="G665" s="13">
        <v>50</v>
      </c>
      <c r="H665" s="13">
        <v>44</v>
      </c>
      <c r="I665" s="13">
        <v>37</v>
      </c>
      <c r="J665" s="13">
        <v>37</v>
      </c>
      <c r="K665" s="13">
        <v>37</v>
      </c>
      <c r="L665" s="13">
        <v>37</v>
      </c>
      <c r="M665" s="13">
        <v>37</v>
      </c>
      <c r="N665" s="13">
        <v>37</v>
      </c>
      <c r="O665" s="13">
        <v>37</v>
      </c>
      <c r="P665" s="13">
        <v>37</v>
      </c>
      <c r="Q665" s="13">
        <v>37</v>
      </c>
      <c r="R665" s="13">
        <v>37</v>
      </c>
      <c r="S665" s="13">
        <v>37</v>
      </c>
      <c r="T665" s="13">
        <v>37</v>
      </c>
      <c r="U665" s="13">
        <v>37</v>
      </c>
      <c r="V665" s="13">
        <v>37</v>
      </c>
      <c r="W665" s="13">
        <v>37</v>
      </c>
    </row>
    <row r="666" spans="1:23" ht="12.75">
      <c r="A666" s="253" t="s">
        <v>357</v>
      </c>
      <c r="B666" s="13">
        <v>76</v>
      </c>
      <c r="C666" s="13">
        <v>71</v>
      </c>
      <c r="D666" s="13">
        <v>65</v>
      </c>
      <c r="E666" s="13">
        <v>59</v>
      </c>
      <c r="F666" s="13">
        <v>53</v>
      </c>
      <c r="G666" s="13">
        <v>48</v>
      </c>
      <c r="H666" s="13">
        <v>41</v>
      </c>
      <c r="I666" s="13">
        <v>36</v>
      </c>
      <c r="J666" s="13">
        <v>36</v>
      </c>
      <c r="K666" s="13">
        <v>36</v>
      </c>
      <c r="L666" s="13">
        <v>36</v>
      </c>
      <c r="M666" s="13">
        <v>36</v>
      </c>
      <c r="N666" s="13">
        <v>36</v>
      </c>
      <c r="O666" s="13">
        <v>36</v>
      </c>
      <c r="P666" s="13">
        <v>36</v>
      </c>
      <c r="Q666" s="13">
        <v>36</v>
      </c>
      <c r="R666" s="13">
        <v>36</v>
      </c>
      <c r="S666" s="13">
        <v>36</v>
      </c>
      <c r="T666" s="13">
        <v>36</v>
      </c>
      <c r="U666" s="13">
        <v>36</v>
      </c>
      <c r="V666" s="13">
        <v>36</v>
      </c>
      <c r="W666" s="13">
        <v>36</v>
      </c>
    </row>
    <row r="667" spans="1:23" ht="12.75">
      <c r="A667" s="109" t="s">
        <v>358</v>
      </c>
      <c r="B667" s="58">
        <v>74</v>
      </c>
      <c r="C667" s="58">
        <v>68</v>
      </c>
      <c r="D667" s="58">
        <v>62</v>
      </c>
      <c r="E667" s="58">
        <v>57</v>
      </c>
      <c r="F667" s="58">
        <v>52</v>
      </c>
      <c r="G667" s="58">
        <v>45</v>
      </c>
      <c r="H667" s="58">
        <v>40</v>
      </c>
      <c r="I667" s="58">
        <v>35</v>
      </c>
      <c r="J667" s="58">
        <v>35</v>
      </c>
      <c r="K667" s="58">
        <v>35</v>
      </c>
      <c r="L667" s="58">
        <v>35</v>
      </c>
      <c r="M667" s="58">
        <v>35</v>
      </c>
      <c r="N667" s="58">
        <v>35</v>
      </c>
      <c r="O667" s="58">
        <v>35</v>
      </c>
      <c r="P667" s="58">
        <v>35</v>
      </c>
      <c r="Q667" s="58">
        <v>35</v>
      </c>
      <c r="R667" s="58">
        <v>35</v>
      </c>
      <c r="S667" s="58">
        <v>35</v>
      </c>
      <c r="T667" s="58">
        <v>35</v>
      </c>
      <c r="U667" s="58">
        <v>35</v>
      </c>
      <c r="V667" s="58">
        <v>35</v>
      </c>
      <c r="W667" s="58">
        <v>35</v>
      </c>
    </row>
    <row r="668" spans="1:23" ht="12.75">
      <c r="A668" s="109" t="s">
        <v>359</v>
      </c>
      <c r="B668" s="58">
        <v>70</v>
      </c>
      <c r="C668" s="58">
        <v>65</v>
      </c>
      <c r="D668" s="58">
        <v>59</v>
      </c>
      <c r="E668" s="58">
        <v>54</v>
      </c>
      <c r="F668" s="58">
        <v>49</v>
      </c>
      <c r="G668" s="58">
        <v>44</v>
      </c>
      <c r="H668" s="58">
        <v>39</v>
      </c>
      <c r="I668" s="58">
        <v>33</v>
      </c>
      <c r="J668" s="58">
        <v>32</v>
      </c>
      <c r="K668" s="58">
        <v>32</v>
      </c>
      <c r="L668" s="58">
        <v>32</v>
      </c>
      <c r="M668" s="58">
        <v>32</v>
      </c>
      <c r="N668" s="58">
        <v>32</v>
      </c>
      <c r="O668" s="58">
        <v>32</v>
      </c>
      <c r="P668" s="58">
        <v>32</v>
      </c>
      <c r="Q668" s="58">
        <v>32</v>
      </c>
      <c r="R668" s="58">
        <v>32</v>
      </c>
      <c r="S668" s="58">
        <v>32</v>
      </c>
      <c r="T668" s="58">
        <v>32</v>
      </c>
      <c r="U668" s="58">
        <v>32</v>
      </c>
      <c r="V668" s="58">
        <v>32</v>
      </c>
      <c r="W668" s="58">
        <v>32</v>
      </c>
    </row>
    <row r="669" spans="1:23" ht="12.75">
      <c r="A669" s="5"/>
      <c r="B669" s="2" t="b">
        <f t="array" aca="1" ref="B669" ca="1">IF(COUNTA(B660:B664)=COUNTA(UNIQUE(B660:B664)), "no duplicate numbers")</f>
        <v>0</v>
      </c>
    </row>
    <row r="670" spans="1:23" ht="12.75">
      <c r="A670" s="246" t="s">
        <v>348</v>
      </c>
      <c r="C670" s="2">
        <f t="array" ref="C670:W678">C660:W668/B660:B668</f>
        <v>0.92307692307692313</v>
      </c>
      <c r="D670" s="2">
        <v>0.84615384615384615</v>
      </c>
      <c r="E670" s="2">
        <v>0.76923076923076927</v>
      </c>
      <c r="F670" s="2">
        <v>0.69230769230769229</v>
      </c>
      <c r="G670" s="2">
        <v>0.625</v>
      </c>
      <c r="H670" s="2">
        <v>0.54807692307692313</v>
      </c>
      <c r="I670" s="2">
        <v>0.47115384615384615</v>
      </c>
      <c r="J670" s="2">
        <v>0.47115384615384615</v>
      </c>
      <c r="K670" s="2">
        <v>0.47115384615384615</v>
      </c>
      <c r="L670" s="2">
        <v>0.47115384615384615</v>
      </c>
      <c r="M670" s="2">
        <v>0.47115384615384615</v>
      </c>
      <c r="N670" s="2">
        <v>0.47115384615384615</v>
      </c>
      <c r="O670" s="2">
        <v>0.47115384615384615</v>
      </c>
      <c r="P670" s="2">
        <v>0.47115384615384615</v>
      </c>
      <c r="Q670" s="2">
        <v>0.47115384615384615</v>
      </c>
      <c r="R670" s="2">
        <v>0.47115384615384615</v>
      </c>
      <c r="S670" s="2">
        <v>0.47115384615384615</v>
      </c>
      <c r="T670" s="2">
        <v>0.47115384615384615</v>
      </c>
      <c r="U670" s="2">
        <v>0.47115384615384615</v>
      </c>
      <c r="V670" s="2">
        <v>0.47115384615384615</v>
      </c>
      <c r="W670" s="2">
        <v>0.47115384615384615</v>
      </c>
    </row>
    <row r="671" spans="1:23" ht="12.75">
      <c r="A671" s="246" t="s">
        <v>350</v>
      </c>
      <c r="C671" s="2">
        <v>0.91752577319587625</v>
      </c>
      <c r="D671" s="2">
        <v>0.85567010309278346</v>
      </c>
      <c r="E671" s="2">
        <v>0.77319587628865982</v>
      </c>
      <c r="F671" s="2">
        <v>0.69072164948453607</v>
      </c>
      <c r="G671" s="2">
        <v>0.62886597938144329</v>
      </c>
      <c r="H671" s="2">
        <v>0.54639175257731953</v>
      </c>
      <c r="I671" s="2">
        <v>0.47422680412371132</v>
      </c>
      <c r="J671" s="2">
        <v>0.47422680412371132</v>
      </c>
      <c r="K671" s="2">
        <v>0.47422680412371132</v>
      </c>
      <c r="L671" s="2">
        <v>0.47422680412371132</v>
      </c>
      <c r="M671" s="2">
        <v>0.47422680412371132</v>
      </c>
      <c r="N671" s="2">
        <v>0.47422680412371132</v>
      </c>
      <c r="O671" s="2">
        <v>0.47422680412371132</v>
      </c>
      <c r="P671" s="2">
        <v>0.47422680412371132</v>
      </c>
      <c r="Q671" s="2">
        <v>0.47422680412371132</v>
      </c>
      <c r="R671" s="2">
        <v>0.47422680412371132</v>
      </c>
      <c r="S671" s="2">
        <v>0.47422680412371132</v>
      </c>
      <c r="T671" s="2">
        <v>0.47422680412371132</v>
      </c>
      <c r="U671" s="2">
        <v>0.47422680412371132</v>
      </c>
      <c r="V671" s="2">
        <v>0.47422680412371132</v>
      </c>
      <c r="W671" s="2">
        <v>0.47422680412371132</v>
      </c>
    </row>
    <row r="672" spans="1:23" ht="12.75">
      <c r="A672" s="242" t="s">
        <v>351</v>
      </c>
      <c r="C672" s="2">
        <v>0.92391304347826086</v>
      </c>
      <c r="D672" s="2">
        <v>0.84782608695652173</v>
      </c>
      <c r="E672" s="2">
        <v>0.77173913043478259</v>
      </c>
      <c r="F672" s="2">
        <v>0.70652173913043481</v>
      </c>
      <c r="G672" s="2">
        <v>0.61956521739130432</v>
      </c>
      <c r="H672" s="2">
        <v>0.54347826086956519</v>
      </c>
      <c r="I672" s="2">
        <v>0.47826086956521741</v>
      </c>
      <c r="J672" s="2">
        <v>0.47826086956521741</v>
      </c>
      <c r="K672" s="2">
        <v>0.47826086956521741</v>
      </c>
      <c r="L672" s="2">
        <v>0.47826086956521741</v>
      </c>
      <c r="M672" s="2">
        <v>0.47826086956521741</v>
      </c>
      <c r="N672" s="2">
        <v>0.47826086956521741</v>
      </c>
      <c r="O672" s="2">
        <v>0.47826086956521741</v>
      </c>
      <c r="P672" s="2">
        <v>0.47826086956521741</v>
      </c>
      <c r="Q672" s="2">
        <v>0.47826086956521741</v>
      </c>
      <c r="R672" s="2">
        <v>0.47826086956521741</v>
      </c>
      <c r="S672" s="2">
        <v>0.47826086956521741</v>
      </c>
      <c r="T672" s="2">
        <v>0.47826086956521741</v>
      </c>
      <c r="U672" s="2">
        <v>0.47826086956521741</v>
      </c>
      <c r="V672" s="2">
        <v>0.47826086956521741</v>
      </c>
      <c r="W672" s="2">
        <v>0.47826086956521741</v>
      </c>
    </row>
    <row r="673" spans="1:23" ht="12.75">
      <c r="A673" s="109" t="s">
        <v>352</v>
      </c>
      <c r="C673" s="2">
        <v>0.92307692307692313</v>
      </c>
      <c r="D673" s="2">
        <v>0.8351648351648352</v>
      </c>
      <c r="E673" s="2">
        <v>0.76923076923076927</v>
      </c>
      <c r="F673" s="2">
        <v>0.69230769230769229</v>
      </c>
      <c r="G673" s="2">
        <v>0.62637362637362637</v>
      </c>
      <c r="H673" s="2">
        <v>0.53846153846153844</v>
      </c>
      <c r="I673" s="2">
        <v>0.46153846153846156</v>
      </c>
      <c r="J673" s="2">
        <v>0.46153846153846156</v>
      </c>
      <c r="K673" s="2">
        <v>0.46153846153846156</v>
      </c>
      <c r="L673" s="2">
        <v>0.46153846153846156</v>
      </c>
      <c r="M673" s="2">
        <v>0.46153846153846156</v>
      </c>
      <c r="N673" s="2">
        <v>0.46153846153846156</v>
      </c>
      <c r="O673" s="2">
        <v>0.46153846153846156</v>
      </c>
      <c r="P673" s="2">
        <v>0.46153846153846156</v>
      </c>
      <c r="Q673" s="2">
        <v>0.46153846153846156</v>
      </c>
      <c r="R673" s="2">
        <v>0.46153846153846156</v>
      </c>
      <c r="S673" s="2">
        <v>0.46153846153846156</v>
      </c>
      <c r="T673" s="2">
        <v>0.46153846153846156</v>
      </c>
      <c r="U673" s="2">
        <v>0.46153846153846156</v>
      </c>
      <c r="V673" s="2">
        <v>0.46153846153846156</v>
      </c>
      <c r="W673" s="2">
        <v>0.46153846153846156</v>
      </c>
    </row>
    <row r="674" spans="1:23" ht="12.75">
      <c r="A674" s="246" t="s">
        <v>354</v>
      </c>
      <c r="C674" s="2">
        <v>0.91954022988505746</v>
      </c>
      <c r="D674" s="2">
        <v>0.85057471264367812</v>
      </c>
      <c r="E674" s="2">
        <v>0.77011494252873558</v>
      </c>
      <c r="F674" s="2">
        <v>0.70114942528735635</v>
      </c>
      <c r="G674" s="2">
        <v>0.62068965517241381</v>
      </c>
      <c r="H674" s="2">
        <v>0.55172413793103448</v>
      </c>
      <c r="I674" s="2">
        <v>0.47126436781609193</v>
      </c>
      <c r="J674" s="2">
        <v>0.47126436781609193</v>
      </c>
      <c r="K674" s="2">
        <v>0.47126436781609193</v>
      </c>
      <c r="L674" s="2">
        <v>0.47126436781609193</v>
      </c>
      <c r="M674" s="2">
        <v>0.47126436781609193</v>
      </c>
      <c r="N674" s="2">
        <v>0.47126436781609193</v>
      </c>
      <c r="O674" s="2">
        <v>0.47126436781609193</v>
      </c>
      <c r="P674" s="2">
        <v>0.47126436781609193</v>
      </c>
      <c r="Q674" s="2">
        <v>0.47126436781609193</v>
      </c>
      <c r="R674" s="2">
        <v>0.47126436781609193</v>
      </c>
      <c r="S674" s="2">
        <v>0.47126436781609193</v>
      </c>
      <c r="T674" s="2">
        <v>0.47126436781609193</v>
      </c>
      <c r="U674" s="2">
        <v>0.47126436781609193</v>
      </c>
      <c r="V674" s="2">
        <v>0.47126436781609193</v>
      </c>
      <c r="W674" s="2">
        <v>0.47126436781609193</v>
      </c>
    </row>
    <row r="675" spans="1:23" ht="12.75">
      <c r="A675" s="246" t="s">
        <v>356</v>
      </c>
      <c r="C675" s="2">
        <v>0.92500000000000004</v>
      </c>
      <c r="D675" s="2">
        <v>0.85</v>
      </c>
      <c r="E675" s="2">
        <v>0.77500000000000002</v>
      </c>
      <c r="F675" s="2">
        <v>0.6875</v>
      </c>
      <c r="G675" s="2">
        <v>0.625</v>
      </c>
      <c r="H675" s="2">
        <v>0.55000000000000004</v>
      </c>
      <c r="I675" s="2">
        <v>0.46250000000000002</v>
      </c>
      <c r="J675" s="2">
        <v>0.46250000000000002</v>
      </c>
      <c r="K675" s="2">
        <v>0.46250000000000002</v>
      </c>
      <c r="L675" s="2">
        <v>0.46250000000000002</v>
      </c>
      <c r="M675" s="2">
        <v>0.46250000000000002</v>
      </c>
      <c r="N675" s="2">
        <v>0.46250000000000002</v>
      </c>
      <c r="O675" s="2">
        <v>0.46250000000000002</v>
      </c>
      <c r="P675" s="2">
        <v>0.46250000000000002</v>
      </c>
      <c r="Q675" s="2">
        <v>0.46250000000000002</v>
      </c>
      <c r="R675" s="2">
        <v>0.46250000000000002</v>
      </c>
      <c r="S675" s="2">
        <v>0.46250000000000002</v>
      </c>
      <c r="T675" s="2">
        <v>0.46250000000000002</v>
      </c>
      <c r="U675" s="2">
        <v>0.46250000000000002</v>
      </c>
      <c r="V675" s="2">
        <v>0.46250000000000002</v>
      </c>
      <c r="W675" s="2">
        <v>0.46250000000000002</v>
      </c>
    </row>
    <row r="676" spans="1:23" ht="12.75">
      <c r="A676" s="253" t="s">
        <v>357</v>
      </c>
      <c r="C676" s="2">
        <v>0.93421052631578949</v>
      </c>
      <c r="D676" s="2">
        <v>0.85526315789473684</v>
      </c>
      <c r="E676" s="2">
        <v>0.77631578947368418</v>
      </c>
      <c r="F676" s="2">
        <v>0.69736842105263153</v>
      </c>
      <c r="G676" s="2">
        <v>0.63157894736842102</v>
      </c>
      <c r="H676" s="2">
        <v>0.53947368421052633</v>
      </c>
      <c r="I676" s="2">
        <v>0.47368421052631576</v>
      </c>
      <c r="J676" s="2">
        <v>0.47368421052631576</v>
      </c>
      <c r="K676" s="2">
        <v>0.47368421052631576</v>
      </c>
      <c r="L676" s="2">
        <v>0.47368421052631576</v>
      </c>
      <c r="M676" s="2">
        <v>0.47368421052631576</v>
      </c>
      <c r="N676" s="2">
        <v>0.47368421052631576</v>
      </c>
      <c r="O676" s="2">
        <v>0.47368421052631576</v>
      </c>
      <c r="P676" s="2">
        <v>0.47368421052631576</v>
      </c>
      <c r="Q676" s="2">
        <v>0.47368421052631576</v>
      </c>
      <c r="R676" s="2">
        <v>0.47368421052631576</v>
      </c>
      <c r="S676" s="2">
        <v>0.47368421052631576</v>
      </c>
      <c r="T676" s="2">
        <v>0.47368421052631576</v>
      </c>
      <c r="U676" s="2">
        <v>0.47368421052631576</v>
      </c>
      <c r="V676" s="2">
        <v>0.47368421052631576</v>
      </c>
      <c r="W676" s="2">
        <v>0.47368421052631576</v>
      </c>
    </row>
    <row r="677" spans="1:23" ht="12.75">
      <c r="A677" s="109" t="s">
        <v>358</v>
      </c>
      <c r="C677" s="2">
        <v>0.91891891891891897</v>
      </c>
      <c r="D677" s="2">
        <v>0.83783783783783783</v>
      </c>
      <c r="E677" s="2">
        <v>0.77027027027027029</v>
      </c>
      <c r="F677" s="2">
        <v>0.70270270270270274</v>
      </c>
      <c r="G677" s="2">
        <v>0.60810810810810811</v>
      </c>
      <c r="H677" s="2">
        <v>0.54054054054054057</v>
      </c>
      <c r="I677" s="2">
        <v>0.47297297297297297</v>
      </c>
      <c r="J677" s="2">
        <v>0.47297297297297297</v>
      </c>
      <c r="K677" s="2">
        <v>0.47297297297297297</v>
      </c>
      <c r="L677" s="2">
        <v>0.47297297297297297</v>
      </c>
      <c r="M677" s="2">
        <v>0.47297297297297297</v>
      </c>
      <c r="N677" s="2">
        <v>0.47297297297297297</v>
      </c>
      <c r="O677" s="2">
        <v>0.47297297297297297</v>
      </c>
      <c r="P677" s="2">
        <v>0.47297297297297297</v>
      </c>
      <c r="Q677" s="2">
        <v>0.47297297297297297</v>
      </c>
      <c r="R677" s="2">
        <v>0.47297297297297297</v>
      </c>
      <c r="S677" s="2">
        <v>0.47297297297297297</v>
      </c>
      <c r="T677" s="2">
        <v>0.47297297297297297</v>
      </c>
      <c r="U677" s="2">
        <v>0.47297297297297297</v>
      </c>
      <c r="V677" s="2">
        <v>0.47297297297297297</v>
      </c>
      <c r="W677" s="2">
        <v>0.47297297297297297</v>
      </c>
    </row>
    <row r="678" spans="1:23" ht="12.75">
      <c r="A678" s="109" t="s">
        <v>359</v>
      </c>
      <c r="C678" s="2">
        <v>0.9285714285714286</v>
      </c>
      <c r="D678" s="2">
        <v>0.84285714285714286</v>
      </c>
      <c r="E678" s="2">
        <v>0.77142857142857146</v>
      </c>
      <c r="F678" s="2">
        <v>0.7</v>
      </c>
      <c r="G678" s="2">
        <v>0.62857142857142856</v>
      </c>
      <c r="H678" s="2">
        <v>0.55714285714285716</v>
      </c>
      <c r="I678" s="2">
        <v>0.47142857142857142</v>
      </c>
      <c r="J678" s="2">
        <v>0.45714285714285713</v>
      </c>
      <c r="K678" s="2">
        <v>0.45714285714285713</v>
      </c>
      <c r="L678" s="2">
        <v>0.45714285714285713</v>
      </c>
      <c r="M678" s="2">
        <v>0.45714285714285713</v>
      </c>
      <c r="N678" s="2">
        <v>0.45714285714285713</v>
      </c>
      <c r="O678" s="2">
        <v>0.45714285714285713</v>
      </c>
      <c r="P678" s="2">
        <v>0.45714285714285713</v>
      </c>
      <c r="Q678" s="2">
        <v>0.45714285714285713</v>
      </c>
      <c r="R678" s="2">
        <v>0.45714285714285713</v>
      </c>
      <c r="S678" s="2">
        <v>0.45714285714285713</v>
      </c>
      <c r="T678" s="2">
        <v>0.45714285714285713</v>
      </c>
      <c r="U678" s="2">
        <v>0.45714285714285713</v>
      </c>
      <c r="V678" s="2">
        <v>0.45714285714285713</v>
      </c>
      <c r="W678" s="2">
        <v>0.45714285714285713</v>
      </c>
    </row>
    <row r="679" spans="1:23" ht="15">
      <c r="A679" s="5"/>
      <c r="B679" s="43" t="s">
        <v>24</v>
      </c>
      <c r="C679" s="43" t="s">
        <v>25</v>
      </c>
      <c r="D679" s="43" t="s">
        <v>26</v>
      </c>
      <c r="E679" s="43" t="s">
        <v>27</v>
      </c>
      <c r="F679" s="43" t="s">
        <v>28</v>
      </c>
      <c r="G679" s="43" t="s">
        <v>74</v>
      </c>
      <c r="H679" s="43" t="s">
        <v>75</v>
      </c>
      <c r="I679" s="43" t="s">
        <v>76</v>
      </c>
      <c r="J679" s="43" t="s">
        <v>77</v>
      </c>
      <c r="K679" s="43" t="s">
        <v>78</v>
      </c>
      <c r="L679" s="43" t="s">
        <v>79</v>
      </c>
      <c r="M679" s="43" t="s">
        <v>80</v>
      </c>
      <c r="N679" s="15" t="s">
        <v>81</v>
      </c>
      <c r="O679" s="15" t="s">
        <v>82</v>
      </c>
      <c r="P679" s="15" t="s">
        <v>83</v>
      </c>
      <c r="Q679" s="15" t="s">
        <v>84</v>
      </c>
      <c r="R679" s="43" t="s">
        <v>85</v>
      </c>
      <c r="S679" s="15" t="s">
        <v>86</v>
      </c>
      <c r="T679" s="15" t="s">
        <v>87</v>
      </c>
      <c r="U679" s="15" t="s">
        <v>88</v>
      </c>
      <c r="V679" s="15" t="s">
        <v>89</v>
      </c>
      <c r="W679" s="43" t="s">
        <v>90</v>
      </c>
    </row>
    <row r="680" spans="1:23" ht="15">
      <c r="A680" s="8" t="s">
        <v>68</v>
      </c>
      <c r="B680" s="18">
        <v>1</v>
      </c>
      <c r="C680" s="18">
        <f t="shared" ref="C680:W680" si="24">AVERAGE(C684:C685)</f>
        <v>0.91620879120879128</v>
      </c>
      <c r="D680" s="18">
        <f t="shared" si="24"/>
        <v>0.8219191522762952</v>
      </c>
      <c r="E680" s="18">
        <f t="shared" si="24"/>
        <v>0.74293563579277855</v>
      </c>
      <c r="F680" s="18">
        <f t="shared" si="24"/>
        <v>0.65855572998430145</v>
      </c>
      <c r="G680" s="18">
        <f t="shared" si="24"/>
        <v>0.57447017268445832</v>
      </c>
      <c r="H680" s="18">
        <f t="shared" si="24"/>
        <v>0.48528257456828883</v>
      </c>
      <c r="I680" s="18">
        <f t="shared" si="24"/>
        <v>0.43063186813186816</v>
      </c>
      <c r="J680" s="18">
        <f t="shared" si="24"/>
        <v>0.43063186813186816</v>
      </c>
      <c r="K680" s="18">
        <f t="shared" si="24"/>
        <v>0.43063186813186816</v>
      </c>
      <c r="L680" s="18">
        <f t="shared" si="24"/>
        <v>0.43063186813186816</v>
      </c>
      <c r="M680" s="18">
        <f t="shared" si="24"/>
        <v>0.43063186813186816</v>
      </c>
      <c r="N680" s="18">
        <f t="shared" si="24"/>
        <v>0.43063186813186816</v>
      </c>
      <c r="O680" s="18">
        <f t="shared" si="24"/>
        <v>0.43063186813186816</v>
      </c>
      <c r="P680" s="18">
        <f t="shared" si="24"/>
        <v>0.43063186813186816</v>
      </c>
      <c r="Q680" s="18">
        <f t="shared" si="24"/>
        <v>0.43063186813186816</v>
      </c>
      <c r="R680" s="18">
        <f t="shared" si="24"/>
        <v>0.43063186813186816</v>
      </c>
      <c r="S680" s="18">
        <f t="shared" si="24"/>
        <v>0.43063186813186816</v>
      </c>
      <c r="T680" s="18">
        <f t="shared" si="24"/>
        <v>0.43063186813186816</v>
      </c>
      <c r="U680" s="18">
        <f t="shared" si="24"/>
        <v>0.43063186813186816</v>
      </c>
      <c r="V680" s="18">
        <f t="shared" si="24"/>
        <v>0.43063186813186816</v>
      </c>
      <c r="W680" s="18">
        <f t="shared" si="24"/>
        <v>0.43063186813186816</v>
      </c>
    </row>
    <row r="681" spans="1:23" ht="14.25">
      <c r="A681" s="254" t="s">
        <v>364</v>
      </c>
      <c r="B681" s="133">
        <v>104</v>
      </c>
      <c r="C681" s="133">
        <v>94</v>
      </c>
      <c r="D681" s="13">
        <v>85</v>
      </c>
      <c r="E681" s="13">
        <v>76</v>
      </c>
      <c r="F681" s="13">
        <v>68</v>
      </c>
      <c r="G681" s="13">
        <v>59</v>
      </c>
      <c r="H681" s="13">
        <v>50</v>
      </c>
      <c r="I681" s="13">
        <v>45</v>
      </c>
      <c r="J681" s="13">
        <v>45</v>
      </c>
      <c r="K681" s="13">
        <v>45</v>
      </c>
      <c r="L681" s="13">
        <v>45</v>
      </c>
      <c r="M681" s="13">
        <v>45</v>
      </c>
      <c r="N681" s="13">
        <v>45</v>
      </c>
      <c r="O681" s="13">
        <v>45</v>
      </c>
      <c r="P681" s="13">
        <v>45</v>
      </c>
      <c r="Q681" s="13">
        <v>45</v>
      </c>
      <c r="R681" s="13">
        <v>45</v>
      </c>
      <c r="S681" s="13">
        <v>45</v>
      </c>
      <c r="T681" s="13">
        <v>45</v>
      </c>
      <c r="U681" s="13">
        <v>45</v>
      </c>
      <c r="V681" s="13">
        <v>45</v>
      </c>
      <c r="W681" s="13">
        <v>45</v>
      </c>
    </row>
    <row r="682" spans="1:23" ht="12.75">
      <c r="A682" s="246" t="s">
        <v>365</v>
      </c>
      <c r="B682" s="13">
        <v>98</v>
      </c>
      <c r="C682" s="13">
        <v>91</v>
      </c>
      <c r="D682" s="13">
        <v>81</v>
      </c>
      <c r="E682" s="13">
        <v>74</v>
      </c>
      <c r="F682" s="13">
        <v>65</v>
      </c>
      <c r="G682" s="13">
        <v>57</v>
      </c>
      <c r="H682" s="13">
        <v>48</v>
      </c>
      <c r="I682" s="13">
        <v>42</v>
      </c>
      <c r="J682" s="13">
        <v>42</v>
      </c>
      <c r="K682" s="13">
        <v>42</v>
      </c>
      <c r="L682" s="13">
        <v>42</v>
      </c>
      <c r="M682" s="13">
        <v>42</v>
      </c>
      <c r="N682" s="13">
        <v>42</v>
      </c>
      <c r="O682" s="13">
        <v>42</v>
      </c>
      <c r="P682" s="13">
        <v>42</v>
      </c>
      <c r="Q682" s="13">
        <v>42</v>
      </c>
      <c r="R682" s="13">
        <v>42</v>
      </c>
      <c r="S682" s="13">
        <v>42</v>
      </c>
      <c r="T682" s="13">
        <v>42</v>
      </c>
      <c r="U682" s="13">
        <v>42</v>
      </c>
      <c r="V682" s="13">
        <v>42</v>
      </c>
      <c r="W682" s="13">
        <v>42</v>
      </c>
    </row>
    <row r="683" spans="1:23" ht="12.75">
      <c r="A683" s="5"/>
      <c r="B683" s="2" t="b">
        <f t="array" aca="1" ref="B683" ca="1">IF(COUNTA(B681:B682)=COUNTA(UNIQUE(B681:B682)), "no duplicate numbers")</f>
        <v>0</v>
      </c>
    </row>
    <row r="684" spans="1:23" ht="12.75">
      <c r="A684" s="5"/>
      <c r="C684" s="2">
        <f t="array" ref="C684:W685">C681:W682/B681:B682</f>
        <v>0.90384615384615385</v>
      </c>
      <c r="D684" s="2">
        <v>0.81730769230769229</v>
      </c>
      <c r="E684" s="2">
        <v>0.73076923076923073</v>
      </c>
      <c r="F684" s="2">
        <v>0.65384615384615385</v>
      </c>
      <c r="G684" s="2">
        <v>0.56730769230769229</v>
      </c>
      <c r="H684" s="2">
        <v>0.48076923076923078</v>
      </c>
      <c r="I684" s="2">
        <v>0.43269230769230771</v>
      </c>
      <c r="J684" s="2">
        <v>0.43269230769230771</v>
      </c>
      <c r="K684" s="2">
        <v>0.43269230769230771</v>
      </c>
      <c r="L684" s="2">
        <v>0.43269230769230771</v>
      </c>
      <c r="M684" s="2">
        <v>0.43269230769230771</v>
      </c>
      <c r="N684" s="2">
        <v>0.43269230769230771</v>
      </c>
      <c r="O684" s="2">
        <v>0.43269230769230771</v>
      </c>
      <c r="P684" s="2">
        <v>0.43269230769230771</v>
      </c>
      <c r="Q684" s="2">
        <v>0.43269230769230771</v>
      </c>
      <c r="R684" s="2">
        <v>0.43269230769230771</v>
      </c>
      <c r="S684" s="2">
        <v>0.43269230769230771</v>
      </c>
      <c r="T684" s="2">
        <v>0.43269230769230771</v>
      </c>
      <c r="U684" s="2">
        <v>0.43269230769230771</v>
      </c>
      <c r="V684" s="2">
        <v>0.43269230769230771</v>
      </c>
      <c r="W684" s="2">
        <v>0.43269230769230771</v>
      </c>
    </row>
    <row r="685" spans="1:23" ht="12.75">
      <c r="A685" s="5"/>
      <c r="C685" s="2">
        <v>0.9285714285714286</v>
      </c>
      <c r="D685" s="2">
        <v>0.82653061224489799</v>
      </c>
      <c r="E685" s="2">
        <v>0.75510204081632648</v>
      </c>
      <c r="F685" s="2">
        <v>0.66326530612244894</v>
      </c>
      <c r="G685" s="2">
        <v>0.58163265306122447</v>
      </c>
      <c r="H685" s="2">
        <v>0.48979591836734693</v>
      </c>
      <c r="I685" s="2">
        <v>0.42857142857142855</v>
      </c>
      <c r="J685" s="2">
        <v>0.42857142857142855</v>
      </c>
      <c r="K685" s="2">
        <v>0.42857142857142855</v>
      </c>
      <c r="L685" s="2">
        <v>0.42857142857142855</v>
      </c>
      <c r="M685" s="2">
        <v>0.42857142857142855</v>
      </c>
      <c r="N685" s="2">
        <v>0.42857142857142855</v>
      </c>
      <c r="O685" s="2">
        <v>0.42857142857142855</v>
      </c>
      <c r="P685" s="2">
        <v>0.42857142857142855</v>
      </c>
      <c r="Q685" s="2">
        <v>0.42857142857142855</v>
      </c>
      <c r="R685" s="2">
        <v>0.42857142857142855</v>
      </c>
      <c r="S685" s="2">
        <v>0.42857142857142855</v>
      </c>
      <c r="T685" s="2">
        <v>0.42857142857142855</v>
      </c>
      <c r="U685" s="2">
        <v>0.42857142857142855</v>
      </c>
      <c r="V685" s="2">
        <v>0.42857142857142855</v>
      </c>
      <c r="W685" s="2">
        <v>0.42857142857142855</v>
      </c>
    </row>
    <row r="686" spans="1:23" ht="15">
      <c r="A686" s="5"/>
      <c r="B686" s="43" t="s">
        <v>24</v>
      </c>
      <c r="C686" s="43" t="s">
        <v>25</v>
      </c>
      <c r="D686" s="43" t="s">
        <v>26</v>
      </c>
      <c r="E686" s="43" t="s">
        <v>27</v>
      </c>
      <c r="F686" s="43" t="s">
        <v>28</v>
      </c>
      <c r="G686" s="43" t="s">
        <v>74</v>
      </c>
      <c r="H686" s="43" t="s">
        <v>75</v>
      </c>
      <c r="I686" s="43" t="s">
        <v>76</v>
      </c>
      <c r="J686" s="43" t="s">
        <v>77</v>
      </c>
      <c r="K686" s="43" t="s">
        <v>78</v>
      </c>
      <c r="L686" s="43" t="s">
        <v>79</v>
      </c>
      <c r="M686" s="43" t="s">
        <v>80</v>
      </c>
      <c r="N686" s="15" t="s">
        <v>81</v>
      </c>
      <c r="O686" s="15" t="s">
        <v>82</v>
      </c>
      <c r="P686" s="15" t="s">
        <v>83</v>
      </c>
      <c r="Q686" s="15" t="s">
        <v>84</v>
      </c>
      <c r="R686" s="43" t="s">
        <v>85</v>
      </c>
      <c r="S686" s="15" t="s">
        <v>86</v>
      </c>
      <c r="T686" s="15" t="s">
        <v>87</v>
      </c>
      <c r="U686" s="15" t="s">
        <v>88</v>
      </c>
      <c r="V686" s="15" t="s">
        <v>89</v>
      </c>
      <c r="W686" s="43" t="s">
        <v>90</v>
      </c>
    </row>
    <row r="687" spans="1:23" ht="15">
      <c r="A687" s="50" t="s">
        <v>70</v>
      </c>
      <c r="B687" s="18">
        <v>1</v>
      </c>
      <c r="C687" s="18">
        <f t="shared" ref="C687:W687" si="25">AVERAGE(C693:C696)</f>
        <v>0.90629167491912588</v>
      </c>
      <c r="D687" s="18">
        <f t="shared" si="25"/>
        <v>0.82078935951484966</v>
      </c>
      <c r="E687" s="18">
        <f t="shared" si="25"/>
        <v>0.72484131699817977</v>
      </c>
      <c r="F687" s="18">
        <f t="shared" si="25"/>
        <v>0.63294971187128046</v>
      </c>
      <c r="G687" s="18">
        <f t="shared" si="25"/>
        <v>0.54983235718529833</v>
      </c>
      <c r="H687" s="18">
        <f t="shared" si="25"/>
        <v>0.46972738590385649</v>
      </c>
      <c r="I687" s="18">
        <f t="shared" si="25"/>
        <v>0.40706575559516733</v>
      </c>
      <c r="J687" s="18">
        <f t="shared" si="25"/>
        <v>0.40706575559516733</v>
      </c>
      <c r="K687" s="18">
        <f t="shared" si="25"/>
        <v>0.40706575559516733</v>
      </c>
      <c r="L687" s="18">
        <f t="shared" si="25"/>
        <v>0.40706575559516733</v>
      </c>
      <c r="M687" s="18">
        <f t="shared" si="25"/>
        <v>0.40706575559516733</v>
      </c>
      <c r="N687" s="18">
        <f t="shared" si="25"/>
        <v>0.40706575559516733</v>
      </c>
      <c r="O687" s="18">
        <f t="shared" si="25"/>
        <v>0.40706575559516733</v>
      </c>
      <c r="P687" s="18">
        <f t="shared" si="25"/>
        <v>0.40706575559516733</v>
      </c>
      <c r="Q687" s="18">
        <f t="shared" si="25"/>
        <v>0.40706575559516733</v>
      </c>
      <c r="R687" s="18">
        <f t="shared" si="25"/>
        <v>0.40706575559516733</v>
      </c>
      <c r="S687" s="18">
        <f t="shared" si="25"/>
        <v>0.40706575559516733</v>
      </c>
      <c r="T687" s="18">
        <f t="shared" si="25"/>
        <v>0.40706575559516733</v>
      </c>
      <c r="U687" s="18">
        <f t="shared" si="25"/>
        <v>0.40706575559516733</v>
      </c>
      <c r="V687" s="18">
        <f t="shared" si="25"/>
        <v>0.40706575559516733</v>
      </c>
      <c r="W687" s="18">
        <f t="shared" si="25"/>
        <v>0.40706575559516733</v>
      </c>
    </row>
    <row r="688" spans="1:23" ht="12.75">
      <c r="A688" s="246" t="s">
        <v>368</v>
      </c>
      <c r="B688" s="13">
        <v>85</v>
      </c>
      <c r="C688" s="13">
        <v>78</v>
      </c>
      <c r="D688" s="13">
        <v>70</v>
      </c>
      <c r="E688" s="13">
        <v>62</v>
      </c>
      <c r="F688" s="13">
        <v>54</v>
      </c>
      <c r="G688" s="13">
        <v>46</v>
      </c>
      <c r="H688" s="13">
        <v>40</v>
      </c>
      <c r="I688" s="13">
        <v>35</v>
      </c>
      <c r="J688" s="13">
        <v>35</v>
      </c>
      <c r="K688" s="13">
        <v>35</v>
      </c>
      <c r="L688" s="13">
        <v>35</v>
      </c>
      <c r="M688" s="13">
        <v>35</v>
      </c>
      <c r="N688" s="13">
        <v>35</v>
      </c>
      <c r="O688" s="13">
        <v>35</v>
      </c>
      <c r="P688" s="13">
        <v>35</v>
      </c>
      <c r="Q688" s="13">
        <v>35</v>
      </c>
      <c r="R688" s="13">
        <v>35</v>
      </c>
      <c r="S688" s="13">
        <v>35</v>
      </c>
      <c r="T688" s="13">
        <v>35</v>
      </c>
      <c r="U688" s="13">
        <v>35</v>
      </c>
      <c r="V688" s="13">
        <v>35</v>
      </c>
      <c r="W688" s="13">
        <v>35</v>
      </c>
    </row>
    <row r="689" spans="1:39" ht="12.75">
      <c r="A689" s="109" t="s">
        <v>369</v>
      </c>
      <c r="B689" s="58">
        <v>81</v>
      </c>
      <c r="C689" s="58">
        <v>74</v>
      </c>
      <c r="D689" s="58">
        <v>67</v>
      </c>
      <c r="E689" s="58">
        <v>59</v>
      </c>
      <c r="F689" s="58">
        <v>50</v>
      </c>
      <c r="G689" s="58">
        <v>45</v>
      </c>
      <c r="H689" s="58">
        <v>39</v>
      </c>
      <c r="I689" s="58">
        <v>33</v>
      </c>
      <c r="J689" s="58">
        <v>33</v>
      </c>
      <c r="K689" s="58">
        <v>33</v>
      </c>
      <c r="L689" s="58">
        <v>33</v>
      </c>
      <c r="M689" s="58">
        <v>33</v>
      </c>
      <c r="N689" s="58">
        <v>33</v>
      </c>
      <c r="O689" s="58">
        <v>33</v>
      </c>
      <c r="P689" s="58">
        <v>33</v>
      </c>
      <c r="Q689" s="58">
        <v>33</v>
      </c>
      <c r="R689" s="58">
        <v>33</v>
      </c>
      <c r="S689" s="58">
        <v>33</v>
      </c>
      <c r="T689" s="58">
        <v>33</v>
      </c>
      <c r="U689" s="58">
        <v>33</v>
      </c>
      <c r="V689" s="58">
        <v>33</v>
      </c>
      <c r="W689" s="58">
        <v>33</v>
      </c>
    </row>
    <row r="690" spans="1:39" ht="12.75">
      <c r="A690" s="246" t="s">
        <v>370</v>
      </c>
      <c r="B690" s="13">
        <v>70</v>
      </c>
      <c r="C690" s="13">
        <v>63</v>
      </c>
      <c r="D690" s="13">
        <v>57</v>
      </c>
      <c r="E690" s="13">
        <v>50</v>
      </c>
      <c r="F690" s="13">
        <v>45</v>
      </c>
      <c r="G690" s="13">
        <v>39</v>
      </c>
      <c r="H690" s="13">
        <v>32</v>
      </c>
      <c r="I690" s="13">
        <v>28</v>
      </c>
      <c r="J690" s="13">
        <v>28</v>
      </c>
      <c r="K690" s="13">
        <v>28</v>
      </c>
      <c r="L690" s="13">
        <v>28</v>
      </c>
      <c r="M690" s="13">
        <v>28</v>
      </c>
      <c r="N690" s="13">
        <v>28</v>
      </c>
      <c r="O690" s="13">
        <v>28</v>
      </c>
      <c r="P690" s="13">
        <v>28</v>
      </c>
      <c r="Q690" s="13">
        <v>28</v>
      </c>
      <c r="R690" s="13">
        <v>28</v>
      </c>
      <c r="S690" s="13">
        <v>28</v>
      </c>
      <c r="T690" s="13">
        <v>28</v>
      </c>
      <c r="U690" s="13">
        <v>28</v>
      </c>
      <c r="V690" s="13">
        <v>28</v>
      </c>
      <c r="W690" s="13">
        <v>28</v>
      </c>
      <c r="AB690" s="58"/>
      <c r="AC690" s="58"/>
      <c r="AD690" s="58"/>
      <c r="AE690" s="58"/>
      <c r="AF690" s="58"/>
      <c r="AG690" s="58"/>
      <c r="AH690" s="58"/>
      <c r="AI690" s="58"/>
      <c r="AJ690" s="58"/>
      <c r="AK690" s="58"/>
      <c r="AL690" s="58"/>
      <c r="AM690" s="58"/>
    </row>
    <row r="691" spans="1:39" ht="12.75">
      <c r="A691" s="246" t="s">
        <v>371</v>
      </c>
      <c r="B691" s="13">
        <v>66</v>
      </c>
      <c r="C691" s="13">
        <v>59</v>
      </c>
      <c r="D691" s="13">
        <v>54</v>
      </c>
      <c r="E691" s="13">
        <v>48</v>
      </c>
      <c r="F691" s="13">
        <v>42</v>
      </c>
      <c r="G691" s="13">
        <v>36</v>
      </c>
      <c r="H691" s="13">
        <v>31</v>
      </c>
      <c r="I691" s="13">
        <v>27</v>
      </c>
      <c r="J691" s="13">
        <v>27</v>
      </c>
      <c r="K691" s="13">
        <v>27</v>
      </c>
      <c r="L691" s="13">
        <v>27</v>
      </c>
      <c r="M691" s="13">
        <v>27</v>
      </c>
      <c r="N691" s="13">
        <v>27</v>
      </c>
      <c r="O691" s="13">
        <v>27</v>
      </c>
      <c r="P691" s="13">
        <v>27</v>
      </c>
      <c r="Q691" s="13">
        <v>27</v>
      </c>
      <c r="R691" s="13">
        <v>27</v>
      </c>
      <c r="S691" s="13">
        <v>27</v>
      </c>
      <c r="T691" s="13">
        <v>27</v>
      </c>
      <c r="U691" s="13">
        <v>27</v>
      </c>
      <c r="V691" s="13">
        <v>27</v>
      </c>
      <c r="W691" s="13">
        <v>27</v>
      </c>
      <c r="AB691" s="58"/>
      <c r="AC691" s="58"/>
      <c r="AD691" s="58"/>
      <c r="AE691" s="58"/>
      <c r="AF691" s="58"/>
      <c r="AG691" s="58"/>
      <c r="AH691" s="58"/>
      <c r="AI691" s="58"/>
      <c r="AJ691" s="58"/>
      <c r="AK691" s="58"/>
      <c r="AL691" s="58"/>
      <c r="AM691" s="58"/>
    </row>
    <row r="692" spans="1:39" ht="12.75">
      <c r="A692" s="5"/>
      <c r="B692" s="2" t="b">
        <f t="array" aca="1" ref="B692" ca="1">IF(COUNTA(B688:B691)=COUNTA(UNIQUE(B688:B691)), "no duplicate numbers")</f>
        <v>0</v>
      </c>
      <c r="AB692" s="58"/>
      <c r="AC692" s="58"/>
      <c r="AD692" s="58"/>
      <c r="AE692" s="58"/>
      <c r="AF692" s="58"/>
      <c r="AG692" s="58"/>
      <c r="AH692" s="58"/>
      <c r="AI692" s="58"/>
      <c r="AJ692" s="58"/>
      <c r="AK692" s="58"/>
      <c r="AL692" s="58"/>
      <c r="AM692" s="58"/>
    </row>
    <row r="693" spans="1:39" ht="12.75">
      <c r="A693" s="246" t="s">
        <v>368</v>
      </c>
      <c r="C693" s="2">
        <f t="array" ref="C693:W696">C688:W691/B688:B691</f>
        <v>0.91764705882352937</v>
      </c>
      <c r="D693" s="2">
        <v>0.82352941176470584</v>
      </c>
      <c r="E693" s="2">
        <v>0.72941176470588232</v>
      </c>
      <c r="F693" s="2">
        <v>0.63529411764705879</v>
      </c>
      <c r="G693" s="2">
        <v>0.54117647058823526</v>
      </c>
      <c r="H693" s="2">
        <v>0.47058823529411764</v>
      </c>
      <c r="I693" s="2">
        <v>0.41176470588235292</v>
      </c>
      <c r="J693" s="2">
        <v>0.41176470588235292</v>
      </c>
      <c r="K693" s="2">
        <v>0.41176470588235292</v>
      </c>
      <c r="L693" s="2">
        <v>0.41176470588235292</v>
      </c>
      <c r="M693" s="2">
        <v>0.41176470588235292</v>
      </c>
      <c r="N693" s="2">
        <v>0.41176470588235292</v>
      </c>
      <c r="O693" s="2">
        <v>0.41176470588235292</v>
      </c>
      <c r="P693" s="2">
        <v>0.41176470588235292</v>
      </c>
      <c r="Q693" s="2">
        <v>0.41176470588235292</v>
      </c>
      <c r="R693" s="2">
        <v>0.41176470588235292</v>
      </c>
      <c r="S693" s="2">
        <v>0.41176470588235292</v>
      </c>
      <c r="T693" s="2">
        <v>0.41176470588235292</v>
      </c>
      <c r="U693" s="2">
        <v>0.41176470588235292</v>
      </c>
      <c r="V693" s="2">
        <v>0.41176470588235292</v>
      </c>
      <c r="W693" s="2">
        <v>0.41176470588235292</v>
      </c>
      <c r="AB693" s="58"/>
      <c r="AC693" s="58"/>
      <c r="AD693" s="58"/>
      <c r="AE693" s="58"/>
      <c r="AF693" s="58"/>
      <c r="AG693" s="58"/>
      <c r="AH693" s="58"/>
      <c r="AI693" s="58"/>
      <c r="AJ693" s="58"/>
      <c r="AK693" s="58"/>
      <c r="AL693" s="58"/>
      <c r="AM693" s="58"/>
    </row>
    <row r="694" spans="1:39" ht="12.75">
      <c r="A694" s="109" t="s">
        <v>369</v>
      </c>
      <c r="C694" s="2">
        <v>0.9135802469135802</v>
      </c>
      <c r="D694" s="2">
        <v>0.8271604938271605</v>
      </c>
      <c r="E694" s="2">
        <v>0.72839506172839508</v>
      </c>
      <c r="F694" s="2">
        <v>0.61728395061728392</v>
      </c>
      <c r="G694" s="2">
        <v>0.55555555555555558</v>
      </c>
      <c r="H694" s="2">
        <v>0.48148148148148145</v>
      </c>
      <c r="I694" s="2">
        <v>0.40740740740740738</v>
      </c>
      <c r="J694" s="2">
        <v>0.40740740740740738</v>
      </c>
      <c r="K694" s="2">
        <v>0.40740740740740738</v>
      </c>
      <c r="L694" s="2">
        <v>0.40740740740740738</v>
      </c>
      <c r="M694" s="2">
        <v>0.40740740740740738</v>
      </c>
      <c r="N694" s="2">
        <v>0.40740740740740738</v>
      </c>
      <c r="O694" s="2">
        <v>0.40740740740740738</v>
      </c>
      <c r="P694" s="2">
        <v>0.40740740740740738</v>
      </c>
      <c r="Q694" s="2">
        <v>0.40740740740740738</v>
      </c>
      <c r="R694" s="2">
        <v>0.40740740740740738</v>
      </c>
      <c r="S694" s="2">
        <v>0.40740740740740738</v>
      </c>
      <c r="T694" s="2">
        <v>0.40740740740740738</v>
      </c>
      <c r="U694" s="2">
        <v>0.40740740740740738</v>
      </c>
      <c r="V694" s="2">
        <v>0.40740740740740738</v>
      </c>
      <c r="W694" s="2">
        <v>0.40740740740740738</v>
      </c>
    </row>
    <row r="695" spans="1:39" ht="12.75">
      <c r="A695" s="246" t="s">
        <v>370</v>
      </c>
      <c r="C695" s="2">
        <v>0.9</v>
      </c>
      <c r="D695" s="2">
        <v>0.81428571428571428</v>
      </c>
      <c r="E695" s="2">
        <v>0.7142857142857143</v>
      </c>
      <c r="F695" s="2">
        <v>0.6428571428571429</v>
      </c>
      <c r="G695" s="2">
        <v>0.55714285714285716</v>
      </c>
      <c r="H695" s="2">
        <v>0.45714285714285713</v>
      </c>
      <c r="I695" s="2">
        <v>0.4</v>
      </c>
      <c r="J695" s="2">
        <v>0.4</v>
      </c>
      <c r="K695" s="2">
        <v>0.4</v>
      </c>
      <c r="L695" s="2">
        <v>0.4</v>
      </c>
      <c r="M695" s="2">
        <v>0.4</v>
      </c>
      <c r="N695" s="2">
        <v>0.4</v>
      </c>
      <c r="O695" s="2">
        <v>0.4</v>
      </c>
      <c r="P695" s="2">
        <v>0.4</v>
      </c>
      <c r="Q695" s="2">
        <v>0.4</v>
      </c>
      <c r="R695" s="2">
        <v>0.4</v>
      </c>
      <c r="S695" s="2">
        <v>0.4</v>
      </c>
      <c r="T695" s="2">
        <v>0.4</v>
      </c>
      <c r="U695" s="2">
        <v>0.4</v>
      </c>
      <c r="V695" s="2">
        <v>0.4</v>
      </c>
      <c r="W695" s="2">
        <v>0.4</v>
      </c>
    </row>
    <row r="696" spans="1:39" ht="12.75">
      <c r="A696" s="246" t="s">
        <v>371</v>
      </c>
      <c r="C696" s="2">
        <v>0.89393939393939392</v>
      </c>
      <c r="D696" s="2">
        <v>0.81818181818181823</v>
      </c>
      <c r="E696" s="2">
        <v>0.72727272727272729</v>
      </c>
      <c r="F696" s="2">
        <v>0.63636363636363635</v>
      </c>
      <c r="G696" s="2">
        <v>0.54545454545454541</v>
      </c>
      <c r="H696" s="2">
        <v>0.46969696969696972</v>
      </c>
      <c r="I696" s="2">
        <v>0.40909090909090912</v>
      </c>
      <c r="J696" s="2">
        <v>0.40909090909090912</v>
      </c>
      <c r="K696" s="2">
        <v>0.40909090909090912</v>
      </c>
      <c r="L696" s="2">
        <v>0.40909090909090912</v>
      </c>
      <c r="M696" s="2">
        <v>0.40909090909090912</v>
      </c>
      <c r="N696" s="2">
        <v>0.40909090909090912</v>
      </c>
      <c r="O696" s="2">
        <v>0.40909090909090912</v>
      </c>
      <c r="P696" s="2">
        <v>0.40909090909090912</v>
      </c>
      <c r="Q696" s="2">
        <v>0.40909090909090912</v>
      </c>
      <c r="R696" s="2">
        <v>0.40909090909090912</v>
      </c>
      <c r="S696" s="2">
        <v>0.40909090909090912</v>
      </c>
      <c r="T696" s="2">
        <v>0.40909090909090912</v>
      </c>
      <c r="U696" s="2">
        <v>0.40909090909090912</v>
      </c>
      <c r="V696" s="2">
        <v>0.40909090909090912</v>
      </c>
      <c r="W696" s="2">
        <v>0.40909090909090912</v>
      </c>
    </row>
    <row r="697" spans="1:39" ht="15">
      <c r="A697" s="5"/>
      <c r="B697" s="56" t="s">
        <v>24</v>
      </c>
      <c r="C697" s="15" t="s">
        <v>25</v>
      </c>
      <c r="D697" s="43" t="s">
        <v>26</v>
      </c>
      <c r="E697" s="43" t="s">
        <v>27</v>
      </c>
      <c r="F697" s="43" t="s">
        <v>28</v>
      </c>
      <c r="G697" s="43" t="s">
        <v>74</v>
      </c>
      <c r="H697" s="43" t="s">
        <v>75</v>
      </c>
      <c r="I697" s="43" t="s">
        <v>76</v>
      </c>
      <c r="J697" s="43" t="s">
        <v>77</v>
      </c>
      <c r="K697" s="43" t="s">
        <v>78</v>
      </c>
      <c r="L697" s="43" t="s">
        <v>79</v>
      </c>
      <c r="M697" s="43" t="s">
        <v>80</v>
      </c>
      <c r="N697" s="15" t="s">
        <v>81</v>
      </c>
      <c r="O697" s="15" t="s">
        <v>82</v>
      </c>
      <c r="P697" s="15" t="s">
        <v>83</v>
      </c>
      <c r="Q697" s="15" t="s">
        <v>84</v>
      </c>
      <c r="R697" s="43" t="s">
        <v>85</v>
      </c>
      <c r="S697" s="15" t="s">
        <v>86</v>
      </c>
      <c r="T697" s="15" t="s">
        <v>87</v>
      </c>
      <c r="U697" s="15" t="s">
        <v>88</v>
      </c>
      <c r="V697" s="15" t="s">
        <v>89</v>
      </c>
      <c r="W697" s="43" t="s">
        <v>90</v>
      </c>
    </row>
    <row r="698" spans="1:39" ht="15">
      <c r="A698" s="8" t="s">
        <v>54</v>
      </c>
      <c r="B698" s="18">
        <v>1</v>
      </c>
      <c r="C698" s="18">
        <v>1</v>
      </c>
      <c r="D698" s="18">
        <v>1</v>
      </c>
      <c r="E698" s="18">
        <f t="shared" ref="E698:W698" si="26">AVERAGE(E716:E730)</f>
        <v>0.96179949037263834</v>
      </c>
      <c r="F698" s="18">
        <f t="shared" si="26"/>
        <v>0.92507256804771432</v>
      </c>
      <c r="G698" s="18">
        <f t="shared" si="26"/>
        <v>0.88931526858726995</v>
      </c>
      <c r="H698" s="18">
        <f t="shared" si="26"/>
        <v>0.85318938182119874</v>
      </c>
      <c r="I698" s="18">
        <f t="shared" si="26"/>
        <v>0.78175966637547278</v>
      </c>
      <c r="J698" s="18">
        <f t="shared" si="26"/>
        <v>0.70834667660308626</v>
      </c>
      <c r="K698" s="18">
        <f t="shared" si="26"/>
        <v>0.63436555886074897</v>
      </c>
      <c r="L698" s="18">
        <f t="shared" si="26"/>
        <v>0.608822427424631</v>
      </c>
      <c r="M698" s="18">
        <f t="shared" si="26"/>
        <v>0.58255629641896745</v>
      </c>
      <c r="N698" s="18">
        <f t="shared" si="26"/>
        <v>0.55740624700382047</v>
      </c>
      <c r="O698" s="18">
        <f t="shared" si="26"/>
        <v>0.53008975699596417</v>
      </c>
      <c r="P698" s="18">
        <f t="shared" si="26"/>
        <v>0.50383662477366242</v>
      </c>
      <c r="Q698" s="18">
        <f t="shared" si="26"/>
        <v>0.50383662477366242</v>
      </c>
      <c r="R698" s="18">
        <f t="shared" si="26"/>
        <v>0.50383662477366242</v>
      </c>
      <c r="S698" s="18">
        <f t="shared" si="26"/>
        <v>0.50383662477366242</v>
      </c>
      <c r="T698" s="18">
        <f t="shared" si="26"/>
        <v>0.50383662477366242</v>
      </c>
      <c r="U698" s="18">
        <f t="shared" si="26"/>
        <v>0.50383662477366242</v>
      </c>
      <c r="V698" s="18">
        <f t="shared" si="26"/>
        <v>0.50383662477366242</v>
      </c>
      <c r="W698" s="18">
        <f t="shared" si="26"/>
        <v>0.50383662477366242</v>
      </c>
    </row>
    <row r="699" spans="1:39" ht="12.75">
      <c r="A699" s="253" t="s">
        <v>144</v>
      </c>
      <c r="B699" s="13">
        <v>123</v>
      </c>
      <c r="C699" s="13">
        <v>123</v>
      </c>
      <c r="D699" s="13">
        <v>123</v>
      </c>
      <c r="E699" s="13">
        <v>118</v>
      </c>
      <c r="F699" s="13">
        <v>114</v>
      </c>
      <c r="G699" s="13">
        <v>110</v>
      </c>
      <c r="H699" s="13">
        <v>105</v>
      </c>
      <c r="I699" s="13">
        <v>96</v>
      </c>
      <c r="J699" s="13">
        <v>87</v>
      </c>
      <c r="K699" s="13">
        <v>78</v>
      </c>
      <c r="L699" s="13">
        <v>75</v>
      </c>
      <c r="M699" s="13">
        <v>71</v>
      </c>
      <c r="N699" s="13">
        <v>68</v>
      </c>
      <c r="O699" s="13">
        <v>66</v>
      </c>
      <c r="P699" s="13">
        <v>62</v>
      </c>
      <c r="Q699" s="13">
        <v>62</v>
      </c>
      <c r="R699" s="13">
        <v>62</v>
      </c>
      <c r="S699" s="13">
        <v>62</v>
      </c>
      <c r="T699" s="13">
        <v>62</v>
      </c>
      <c r="U699" s="13">
        <v>62</v>
      </c>
      <c r="V699" s="13">
        <v>62</v>
      </c>
      <c r="W699" s="13">
        <v>62</v>
      </c>
    </row>
    <row r="700" spans="1:39" ht="12.75">
      <c r="A700" s="246" t="s">
        <v>107</v>
      </c>
      <c r="B700" s="13">
        <v>144</v>
      </c>
      <c r="C700" s="13">
        <v>144</v>
      </c>
      <c r="D700" s="13">
        <v>144</v>
      </c>
      <c r="E700" s="13">
        <v>139</v>
      </c>
      <c r="F700" s="13">
        <v>133</v>
      </c>
      <c r="G700" s="13">
        <v>128</v>
      </c>
      <c r="H700" s="13">
        <v>123</v>
      </c>
      <c r="I700" s="13">
        <v>113</v>
      </c>
      <c r="J700" s="13">
        <v>102</v>
      </c>
      <c r="K700" s="13">
        <v>92</v>
      </c>
      <c r="L700" s="13">
        <v>88</v>
      </c>
      <c r="M700" s="13">
        <v>84</v>
      </c>
      <c r="N700" s="13">
        <v>80</v>
      </c>
      <c r="O700" s="13">
        <v>76</v>
      </c>
      <c r="P700" s="13">
        <v>72</v>
      </c>
      <c r="Q700" s="13">
        <v>72</v>
      </c>
      <c r="R700" s="13">
        <v>72</v>
      </c>
      <c r="S700" s="13">
        <v>72</v>
      </c>
      <c r="T700" s="13">
        <v>72</v>
      </c>
      <c r="U700" s="13">
        <v>72</v>
      </c>
      <c r="V700" s="13">
        <v>72</v>
      </c>
      <c r="W700" s="13">
        <v>72</v>
      </c>
    </row>
    <row r="701" spans="1:39" ht="12.75">
      <c r="A701" s="246" t="s">
        <v>115</v>
      </c>
      <c r="B701" s="13">
        <v>132</v>
      </c>
      <c r="C701" s="13">
        <v>132</v>
      </c>
      <c r="D701" s="13">
        <v>132</v>
      </c>
      <c r="E701" s="13">
        <v>127</v>
      </c>
      <c r="F701" s="13">
        <v>122</v>
      </c>
      <c r="G701" s="13">
        <v>118</v>
      </c>
      <c r="H701" s="13">
        <v>113</v>
      </c>
      <c r="I701" s="13">
        <v>104</v>
      </c>
      <c r="J701" s="13">
        <v>93</v>
      </c>
      <c r="K701" s="13">
        <v>84</v>
      </c>
      <c r="L701" s="13">
        <v>80</v>
      </c>
      <c r="M701" s="13">
        <v>78</v>
      </c>
      <c r="N701" s="13">
        <v>74</v>
      </c>
      <c r="O701" s="13">
        <v>70</v>
      </c>
      <c r="P701" s="13">
        <v>67</v>
      </c>
      <c r="Q701" s="13">
        <v>67</v>
      </c>
      <c r="R701" s="13">
        <v>67</v>
      </c>
      <c r="S701" s="13">
        <v>67</v>
      </c>
      <c r="T701" s="13">
        <v>67</v>
      </c>
      <c r="U701" s="13">
        <v>67</v>
      </c>
      <c r="V701" s="13">
        <v>67</v>
      </c>
      <c r="W701" s="13">
        <v>67</v>
      </c>
    </row>
    <row r="702" spans="1:39" ht="12.75">
      <c r="A702" s="255" t="s">
        <v>118</v>
      </c>
      <c r="B702" s="13">
        <v>130</v>
      </c>
      <c r="C702" s="13">
        <v>130</v>
      </c>
      <c r="D702" s="13">
        <v>130</v>
      </c>
      <c r="E702" s="13">
        <v>124</v>
      </c>
      <c r="F702" s="13">
        <v>120</v>
      </c>
      <c r="G702" s="13">
        <v>115</v>
      </c>
      <c r="H702" s="13">
        <v>110</v>
      </c>
      <c r="I702" s="13">
        <v>101</v>
      </c>
      <c r="J702" s="13">
        <v>92</v>
      </c>
      <c r="K702" s="13">
        <v>83</v>
      </c>
      <c r="L702" s="13">
        <v>79</v>
      </c>
      <c r="M702" s="13">
        <v>75</v>
      </c>
      <c r="N702" s="13">
        <v>72</v>
      </c>
      <c r="O702" s="13">
        <v>68</v>
      </c>
      <c r="P702" s="13">
        <v>66</v>
      </c>
      <c r="Q702" s="13">
        <v>66</v>
      </c>
      <c r="R702" s="13">
        <v>66</v>
      </c>
      <c r="S702" s="13">
        <v>66</v>
      </c>
      <c r="T702" s="13">
        <v>66</v>
      </c>
      <c r="U702" s="13">
        <v>66</v>
      </c>
      <c r="V702" s="13">
        <v>66</v>
      </c>
      <c r="W702" s="13">
        <v>66</v>
      </c>
    </row>
    <row r="703" spans="1:39" ht="12.75">
      <c r="A703" s="256" t="s">
        <v>146</v>
      </c>
      <c r="B703" s="13">
        <v>120</v>
      </c>
      <c r="C703" s="13">
        <v>120</v>
      </c>
      <c r="D703" s="13">
        <v>120</v>
      </c>
      <c r="E703" s="13">
        <v>115</v>
      </c>
      <c r="F703" s="13">
        <v>111</v>
      </c>
      <c r="G703" s="13">
        <v>107</v>
      </c>
      <c r="H703" s="13">
        <v>102</v>
      </c>
      <c r="I703" s="13">
        <v>94</v>
      </c>
      <c r="J703" s="13">
        <v>85</v>
      </c>
      <c r="K703" s="13">
        <v>76</v>
      </c>
      <c r="L703" s="13">
        <v>74</v>
      </c>
      <c r="M703" s="13">
        <v>70</v>
      </c>
      <c r="N703" s="13">
        <v>67</v>
      </c>
      <c r="O703" s="13">
        <v>63</v>
      </c>
      <c r="P703" s="13">
        <v>61</v>
      </c>
      <c r="Q703" s="13">
        <v>61</v>
      </c>
      <c r="R703" s="13">
        <v>61</v>
      </c>
      <c r="S703" s="13">
        <v>61</v>
      </c>
      <c r="T703" s="13">
        <v>61</v>
      </c>
      <c r="U703" s="13">
        <v>61</v>
      </c>
      <c r="V703" s="13">
        <v>61</v>
      </c>
      <c r="W703" s="13">
        <v>61</v>
      </c>
    </row>
    <row r="704" spans="1:39" ht="12.75">
      <c r="A704" s="246" t="s">
        <v>105</v>
      </c>
      <c r="B704" s="13">
        <v>145</v>
      </c>
      <c r="C704" s="13">
        <v>145</v>
      </c>
      <c r="D704" s="13">
        <v>145</v>
      </c>
      <c r="E704" s="13">
        <v>140</v>
      </c>
      <c r="F704" s="13">
        <v>135</v>
      </c>
      <c r="G704" s="13">
        <v>130</v>
      </c>
      <c r="H704" s="13">
        <v>124</v>
      </c>
      <c r="I704" s="13">
        <v>114</v>
      </c>
      <c r="J704" s="13">
        <v>104</v>
      </c>
      <c r="K704" s="13">
        <v>93</v>
      </c>
      <c r="L704" s="13">
        <v>88</v>
      </c>
      <c r="M704" s="13">
        <v>84</v>
      </c>
      <c r="N704" s="13">
        <v>81</v>
      </c>
      <c r="O704" s="13">
        <v>78</v>
      </c>
      <c r="P704" s="13">
        <v>74</v>
      </c>
      <c r="Q704" s="13">
        <v>74</v>
      </c>
      <c r="R704" s="13">
        <v>74</v>
      </c>
      <c r="S704" s="13">
        <v>74</v>
      </c>
      <c r="T704" s="13">
        <v>74</v>
      </c>
      <c r="U704" s="13">
        <v>74</v>
      </c>
      <c r="V704" s="13">
        <v>74</v>
      </c>
      <c r="W704" s="13">
        <v>74</v>
      </c>
    </row>
    <row r="705" spans="1:27" ht="12.75">
      <c r="A705" s="246" t="s">
        <v>339</v>
      </c>
      <c r="B705" s="13">
        <v>118</v>
      </c>
      <c r="C705" s="13">
        <v>118</v>
      </c>
      <c r="D705" s="13">
        <v>118</v>
      </c>
      <c r="E705" s="13">
        <v>114</v>
      </c>
      <c r="F705" s="13">
        <v>109</v>
      </c>
      <c r="G705" s="13">
        <v>105</v>
      </c>
      <c r="H705" s="13">
        <v>101</v>
      </c>
      <c r="I705" s="13">
        <v>92</v>
      </c>
      <c r="J705" s="13">
        <v>83</v>
      </c>
      <c r="K705" s="13">
        <v>75</v>
      </c>
      <c r="L705" s="13">
        <v>71</v>
      </c>
      <c r="M705" s="13">
        <v>68</v>
      </c>
      <c r="N705" s="13">
        <v>66</v>
      </c>
      <c r="O705" s="13">
        <v>62</v>
      </c>
      <c r="P705" s="13">
        <v>59</v>
      </c>
      <c r="Q705" s="13">
        <v>59</v>
      </c>
      <c r="R705" s="13">
        <v>59</v>
      </c>
      <c r="S705" s="13">
        <v>59</v>
      </c>
      <c r="T705" s="13">
        <v>59</v>
      </c>
      <c r="U705" s="13">
        <v>59</v>
      </c>
      <c r="V705" s="13">
        <v>59</v>
      </c>
      <c r="W705" s="13">
        <v>59</v>
      </c>
      <c r="Z705" s="58"/>
      <c r="AA705" s="58"/>
    </row>
    <row r="706" spans="1:27" ht="14.25">
      <c r="A706" s="257" t="s">
        <v>141</v>
      </c>
      <c r="B706" s="133">
        <v>124</v>
      </c>
      <c r="C706" s="13">
        <v>124</v>
      </c>
      <c r="D706" s="13">
        <v>124</v>
      </c>
      <c r="E706" s="13">
        <v>119</v>
      </c>
      <c r="F706" s="13">
        <v>115</v>
      </c>
      <c r="G706" s="13">
        <v>110</v>
      </c>
      <c r="H706" s="13">
        <v>106</v>
      </c>
      <c r="I706" s="13">
        <v>97</v>
      </c>
      <c r="J706" s="13">
        <v>88</v>
      </c>
      <c r="K706" s="13">
        <v>78</v>
      </c>
      <c r="L706" s="13">
        <v>76</v>
      </c>
      <c r="M706" s="13">
        <v>72</v>
      </c>
      <c r="N706" s="13">
        <v>70</v>
      </c>
      <c r="O706" s="13">
        <v>66</v>
      </c>
      <c r="P706" s="13">
        <v>62</v>
      </c>
      <c r="Q706" s="13">
        <v>62</v>
      </c>
      <c r="R706" s="13">
        <v>62</v>
      </c>
      <c r="S706" s="13">
        <v>62</v>
      </c>
      <c r="T706" s="13">
        <v>62</v>
      </c>
      <c r="U706" s="13">
        <v>62</v>
      </c>
      <c r="V706" s="13">
        <v>62</v>
      </c>
      <c r="W706" s="13">
        <v>62</v>
      </c>
      <c r="Z706" s="58"/>
      <c r="AA706" s="58"/>
    </row>
    <row r="707" spans="1:27" ht="12.75">
      <c r="A707" s="246" t="s">
        <v>138</v>
      </c>
      <c r="B707" s="13">
        <v>126</v>
      </c>
      <c r="C707" s="13">
        <v>126</v>
      </c>
      <c r="D707" s="13">
        <v>126</v>
      </c>
      <c r="E707" s="13">
        <v>120</v>
      </c>
      <c r="F707" s="13">
        <v>116</v>
      </c>
      <c r="G707" s="13">
        <v>111</v>
      </c>
      <c r="H707" s="13">
        <v>107</v>
      </c>
      <c r="I707" s="13">
        <v>98</v>
      </c>
      <c r="J707" s="13">
        <v>89</v>
      </c>
      <c r="K707" s="13">
        <v>80</v>
      </c>
      <c r="L707" s="13">
        <v>76</v>
      </c>
      <c r="M707" s="13">
        <v>74</v>
      </c>
      <c r="N707" s="13">
        <v>70</v>
      </c>
      <c r="O707" s="13">
        <v>67</v>
      </c>
      <c r="P707" s="13">
        <v>63</v>
      </c>
      <c r="Q707" s="13">
        <v>63</v>
      </c>
      <c r="R707" s="13">
        <v>63</v>
      </c>
      <c r="S707" s="13">
        <v>63</v>
      </c>
      <c r="T707" s="13">
        <v>63</v>
      </c>
      <c r="U707" s="13">
        <v>63</v>
      </c>
      <c r="V707" s="13">
        <v>63</v>
      </c>
      <c r="W707" s="13">
        <v>63</v>
      </c>
    </row>
    <row r="708" spans="1:27" ht="12.75">
      <c r="A708" s="246" t="s">
        <v>109</v>
      </c>
      <c r="B708" s="13">
        <v>139</v>
      </c>
      <c r="C708" s="13">
        <v>139</v>
      </c>
      <c r="D708" s="13">
        <v>139</v>
      </c>
      <c r="E708" s="13">
        <v>133</v>
      </c>
      <c r="F708" s="13">
        <v>128</v>
      </c>
      <c r="G708" s="13">
        <v>123</v>
      </c>
      <c r="H708" s="13">
        <v>118</v>
      </c>
      <c r="I708" s="13">
        <v>109</v>
      </c>
      <c r="J708" s="13">
        <v>98</v>
      </c>
      <c r="K708" s="13">
        <v>88</v>
      </c>
      <c r="L708" s="13">
        <v>84</v>
      </c>
      <c r="M708" s="13">
        <v>81</v>
      </c>
      <c r="N708" s="13">
        <v>78</v>
      </c>
      <c r="O708" s="13">
        <v>74</v>
      </c>
      <c r="P708" s="13">
        <v>70</v>
      </c>
      <c r="Q708" s="13">
        <v>70</v>
      </c>
      <c r="R708" s="13">
        <v>70</v>
      </c>
      <c r="S708" s="13">
        <v>70</v>
      </c>
      <c r="T708" s="13">
        <v>70</v>
      </c>
      <c r="U708" s="13">
        <v>70</v>
      </c>
      <c r="V708" s="13">
        <v>70</v>
      </c>
      <c r="W708" s="13">
        <v>70</v>
      </c>
    </row>
    <row r="709" spans="1:27" ht="12.75">
      <c r="A709" s="257" t="s">
        <v>113</v>
      </c>
      <c r="B709" s="13">
        <v>135</v>
      </c>
      <c r="C709" s="13">
        <v>135</v>
      </c>
      <c r="D709" s="13">
        <v>135</v>
      </c>
      <c r="E709" s="13">
        <v>130</v>
      </c>
      <c r="F709" s="13">
        <v>124</v>
      </c>
      <c r="G709" s="13">
        <v>120</v>
      </c>
      <c r="H709" s="13">
        <v>115</v>
      </c>
      <c r="I709" s="13">
        <v>105</v>
      </c>
      <c r="J709" s="13">
        <v>96</v>
      </c>
      <c r="K709" s="13">
        <v>85</v>
      </c>
      <c r="L709" s="13">
        <v>83</v>
      </c>
      <c r="M709" s="13">
        <v>79</v>
      </c>
      <c r="N709" s="13">
        <v>75</v>
      </c>
      <c r="O709" s="13">
        <v>71</v>
      </c>
      <c r="P709" s="13">
        <v>68</v>
      </c>
      <c r="Q709" s="13">
        <v>68</v>
      </c>
      <c r="R709" s="13">
        <v>68</v>
      </c>
      <c r="S709" s="13">
        <v>68</v>
      </c>
      <c r="T709" s="13">
        <v>68</v>
      </c>
      <c r="U709" s="13">
        <v>68</v>
      </c>
      <c r="V709" s="13">
        <v>68</v>
      </c>
      <c r="W709" s="13">
        <v>68</v>
      </c>
    </row>
    <row r="710" spans="1:27" ht="12.75">
      <c r="A710" s="258" t="s">
        <v>150</v>
      </c>
      <c r="B710" s="13">
        <v>116</v>
      </c>
      <c r="C710" s="13">
        <v>116</v>
      </c>
      <c r="D710" s="13">
        <v>116</v>
      </c>
      <c r="E710" s="13">
        <v>113</v>
      </c>
      <c r="F710" s="13">
        <v>107</v>
      </c>
      <c r="G710" s="13">
        <v>104</v>
      </c>
      <c r="H710" s="13">
        <v>100</v>
      </c>
      <c r="I710" s="13">
        <v>91</v>
      </c>
      <c r="J710" s="13">
        <v>83</v>
      </c>
      <c r="K710" s="13">
        <v>74</v>
      </c>
      <c r="L710" s="13">
        <v>71</v>
      </c>
      <c r="M710" s="13">
        <v>68</v>
      </c>
      <c r="N710" s="13">
        <v>65</v>
      </c>
      <c r="O710" s="13">
        <v>62</v>
      </c>
      <c r="P710" s="13">
        <v>58</v>
      </c>
      <c r="Q710" s="13">
        <v>58</v>
      </c>
      <c r="R710" s="13">
        <v>58</v>
      </c>
      <c r="S710" s="13">
        <v>58</v>
      </c>
      <c r="T710" s="13">
        <v>58</v>
      </c>
      <c r="U710" s="13">
        <v>58</v>
      </c>
      <c r="V710" s="13">
        <v>58</v>
      </c>
      <c r="W710" s="13">
        <v>58</v>
      </c>
    </row>
    <row r="711" spans="1:27" ht="12.75">
      <c r="A711" s="257" t="s">
        <v>135</v>
      </c>
      <c r="B711" s="13">
        <v>128</v>
      </c>
      <c r="C711" s="13">
        <v>128</v>
      </c>
      <c r="D711" s="13">
        <v>128</v>
      </c>
      <c r="E711" s="13">
        <v>123</v>
      </c>
      <c r="F711" s="13">
        <v>119</v>
      </c>
      <c r="G711" s="13">
        <v>114</v>
      </c>
      <c r="H711" s="13">
        <v>110</v>
      </c>
      <c r="I711" s="13">
        <v>100</v>
      </c>
      <c r="J711" s="13">
        <v>91</v>
      </c>
      <c r="K711" s="13">
        <v>81</v>
      </c>
      <c r="L711" s="13">
        <v>78</v>
      </c>
      <c r="M711" s="13">
        <v>75</v>
      </c>
      <c r="N711" s="13">
        <v>71</v>
      </c>
      <c r="O711" s="13">
        <v>68</v>
      </c>
      <c r="P711" s="13">
        <v>65</v>
      </c>
      <c r="Q711" s="13">
        <v>65</v>
      </c>
      <c r="R711" s="13">
        <v>65</v>
      </c>
      <c r="S711" s="13">
        <v>65</v>
      </c>
      <c r="T711" s="13">
        <v>65</v>
      </c>
      <c r="U711" s="13">
        <v>65</v>
      </c>
      <c r="V711" s="13">
        <v>65</v>
      </c>
      <c r="W711" s="13">
        <v>65</v>
      </c>
    </row>
    <row r="712" spans="1:27" ht="12.75">
      <c r="A712" s="253" t="s">
        <v>151</v>
      </c>
      <c r="B712" s="13">
        <v>114</v>
      </c>
      <c r="C712" s="13">
        <v>114</v>
      </c>
      <c r="D712" s="13">
        <v>114</v>
      </c>
      <c r="E712" s="13">
        <v>110</v>
      </c>
      <c r="F712" s="13">
        <v>106</v>
      </c>
      <c r="G712" s="13">
        <v>101</v>
      </c>
      <c r="H712" s="13">
        <v>97</v>
      </c>
      <c r="I712" s="13">
        <v>89</v>
      </c>
      <c r="J712" s="13">
        <v>80</v>
      </c>
      <c r="K712" s="13">
        <v>72</v>
      </c>
      <c r="L712" s="13">
        <v>70</v>
      </c>
      <c r="M712" s="13">
        <v>66</v>
      </c>
      <c r="N712" s="13">
        <v>63</v>
      </c>
      <c r="O712" s="13">
        <v>61</v>
      </c>
      <c r="P712" s="13">
        <v>57</v>
      </c>
      <c r="Q712" s="13">
        <v>57</v>
      </c>
      <c r="R712" s="13">
        <v>57</v>
      </c>
      <c r="S712" s="13">
        <v>57</v>
      </c>
      <c r="T712" s="13">
        <v>57</v>
      </c>
      <c r="U712" s="13">
        <v>57</v>
      </c>
      <c r="V712" s="13">
        <v>57</v>
      </c>
      <c r="W712" s="13">
        <v>57</v>
      </c>
    </row>
    <row r="713" spans="1:27" ht="12.75">
      <c r="A713" s="246" t="s">
        <v>152</v>
      </c>
      <c r="B713" s="13">
        <v>113</v>
      </c>
      <c r="C713" s="13">
        <v>113</v>
      </c>
      <c r="D713" s="13">
        <v>113</v>
      </c>
      <c r="E713" s="13">
        <v>109</v>
      </c>
      <c r="F713" s="13">
        <v>105</v>
      </c>
      <c r="G713" s="13">
        <v>100</v>
      </c>
      <c r="H713" s="13">
        <v>96</v>
      </c>
      <c r="I713" s="13">
        <v>88</v>
      </c>
      <c r="J713" s="13">
        <v>80</v>
      </c>
      <c r="K713" s="13">
        <v>71</v>
      </c>
      <c r="L713" s="13">
        <v>68</v>
      </c>
      <c r="M713" s="13">
        <v>66</v>
      </c>
      <c r="N713" s="13">
        <v>63</v>
      </c>
      <c r="O713" s="13">
        <v>59</v>
      </c>
      <c r="P713" s="13">
        <v>57</v>
      </c>
      <c r="Q713" s="13">
        <v>57</v>
      </c>
      <c r="R713" s="13">
        <v>57</v>
      </c>
      <c r="S713" s="13">
        <v>57</v>
      </c>
      <c r="T713" s="13">
        <v>57</v>
      </c>
      <c r="U713" s="13">
        <v>57</v>
      </c>
      <c r="V713" s="13">
        <v>57</v>
      </c>
      <c r="W713" s="13">
        <v>57</v>
      </c>
    </row>
    <row r="714" spans="1:27" ht="12.75">
      <c r="A714" s="246" t="s">
        <v>111</v>
      </c>
      <c r="B714" s="13">
        <v>137</v>
      </c>
      <c r="C714" s="13">
        <v>137</v>
      </c>
      <c r="D714" s="13">
        <v>137</v>
      </c>
      <c r="E714" s="13">
        <v>132</v>
      </c>
      <c r="F714" s="13">
        <v>127</v>
      </c>
      <c r="G714" s="13">
        <v>122</v>
      </c>
      <c r="H714" s="13">
        <v>118</v>
      </c>
      <c r="I714" s="13">
        <v>107</v>
      </c>
      <c r="J714" s="13">
        <v>97</v>
      </c>
      <c r="K714" s="13">
        <v>88</v>
      </c>
      <c r="L714" s="13">
        <v>84</v>
      </c>
      <c r="M714" s="13">
        <v>80</v>
      </c>
      <c r="N714" s="13">
        <v>76</v>
      </c>
      <c r="O714" s="13">
        <v>72</v>
      </c>
      <c r="P714" s="13">
        <v>70</v>
      </c>
      <c r="Q714" s="13">
        <v>70</v>
      </c>
      <c r="R714" s="13">
        <v>70</v>
      </c>
      <c r="S714" s="13">
        <v>70</v>
      </c>
      <c r="T714" s="13">
        <v>70</v>
      </c>
      <c r="U714" s="13">
        <v>70</v>
      </c>
      <c r="V714" s="13">
        <v>70</v>
      </c>
      <c r="W714" s="13">
        <v>70</v>
      </c>
    </row>
    <row r="715" spans="1:27" ht="12.75">
      <c r="A715" s="246"/>
      <c r="B715" s="2" t="b">
        <f t="array" aca="1" ref="B715" ca="1">IF(COUNTA(B699:B714)=COUNTA(UNIQUE(B699:B714)), "no duplicate numbers")</f>
        <v>0</v>
      </c>
    </row>
    <row r="716" spans="1:27" ht="12.75">
      <c r="A716" s="253" t="s">
        <v>144</v>
      </c>
      <c r="E716" s="2">
        <f t="array" ref="E716:W731">E699:W714/D699:D714</f>
        <v>0.95934959349593496</v>
      </c>
      <c r="F716" s="2">
        <v>0.92682926829268297</v>
      </c>
      <c r="G716" s="2">
        <v>0.89430894308943087</v>
      </c>
      <c r="H716" s="2">
        <v>0.85365853658536583</v>
      </c>
      <c r="I716" s="2">
        <v>0.78048780487804881</v>
      </c>
      <c r="J716" s="2">
        <v>0.70731707317073167</v>
      </c>
      <c r="K716" s="2">
        <v>0.63414634146341464</v>
      </c>
      <c r="L716" s="2">
        <v>0.6097560975609756</v>
      </c>
      <c r="M716" s="2">
        <v>0.57723577235772361</v>
      </c>
      <c r="N716" s="2">
        <v>0.55284552845528456</v>
      </c>
      <c r="O716" s="2">
        <v>0.53658536585365857</v>
      </c>
      <c r="P716" s="2">
        <v>0.50406504065040647</v>
      </c>
      <c r="Q716" s="2">
        <v>0.50406504065040647</v>
      </c>
      <c r="R716" s="2">
        <v>0.50406504065040647</v>
      </c>
      <c r="S716" s="2">
        <v>0.50406504065040647</v>
      </c>
      <c r="T716" s="2">
        <v>0.50406504065040647</v>
      </c>
      <c r="U716" s="2">
        <v>0.50406504065040647</v>
      </c>
      <c r="V716" s="2">
        <v>0.50406504065040647</v>
      </c>
      <c r="W716" s="2">
        <v>0.50406504065040647</v>
      </c>
    </row>
    <row r="717" spans="1:27" ht="12.75">
      <c r="A717" s="246" t="s">
        <v>107</v>
      </c>
      <c r="E717" s="2">
        <v>0.96527777777777779</v>
      </c>
      <c r="F717" s="2">
        <v>0.92361111111111116</v>
      </c>
      <c r="G717" s="2">
        <v>0.88888888888888884</v>
      </c>
      <c r="H717" s="2">
        <v>0.85416666666666663</v>
      </c>
      <c r="I717" s="2">
        <v>0.78472222222222221</v>
      </c>
      <c r="J717" s="2">
        <v>0.70833333333333337</v>
      </c>
      <c r="K717" s="2">
        <v>0.63888888888888884</v>
      </c>
      <c r="L717" s="2">
        <v>0.61111111111111116</v>
      </c>
      <c r="M717" s="2">
        <v>0.58333333333333337</v>
      </c>
      <c r="N717" s="2">
        <v>0.55555555555555558</v>
      </c>
      <c r="O717" s="2">
        <v>0.52777777777777779</v>
      </c>
      <c r="P717" s="2">
        <v>0.5</v>
      </c>
      <c r="Q717" s="2">
        <v>0.5</v>
      </c>
      <c r="R717" s="2">
        <v>0.5</v>
      </c>
      <c r="S717" s="2">
        <v>0.5</v>
      </c>
      <c r="T717" s="2">
        <v>0.5</v>
      </c>
      <c r="U717" s="2">
        <v>0.5</v>
      </c>
      <c r="V717" s="2">
        <v>0.5</v>
      </c>
      <c r="W717" s="2">
        <v>0.5</v>
      </c>
    </row>
    <row r="718" spans="1:27" ht="12.75">
      <c r="A718" s="246" t="s">
        <v>115</v>
      </c>
      <c r="E718" s="2">
        <v>0.96212121212121215</v>
      </c>
      <c r="F718" s="2">
        <v>0.9242424242424242</v>
      </c>
      <c r="G718" s="2">
        <v>0.89393939393939392</v>
      </c>
      <c r="H718" s="2">
        <v>0.85606060606060608</v>
      </c>
      <c r="I718" s="2">
        <v>0.78787878787878785</v>
      </c>
      <c r="J718" s="2">
        <v>0.70454545454545459</v>
      </c>
      <c r="K718" s="2">
        <v>0.63636363636363635</v>
      </c>
      <c r="L718" s="2">
        <v>0.60606060606060608</v>
      </c>
      <c r="M718" s="2">
        <v>0.59090909090909094</v>
      </c>
      <c r="N718" s="2">
        <v>0.56060606060606055</v>
      </c>
      <c r="O718" s="2">
        <v>0.53030303030303028</v>
      </c>
      <c r="P718" s="2">
        <v>0.50757575757575757</v>
      </c>
      <c r="Q718" s="2">
        <v>0.50757575757575757</v>
      </c>
      <c r="R718" s="2">
        <v>0.50757575757575757</v>
      </c>
      <c r="S718" s="2">
        <v>0.50757575757575757</v>
      </c>
      <c r="T718" s="2">
        <v>0.50757575757575757</v>
      </c>
      <c r="U718" s="2">
        <v>0.50757575757575757</v>
      </c>
      <c r="V718" s="2">
        <v>0.50757575757575757</v>
      </c>
      <c r="W718" s="2">
        <v>0.50757575757575757</v>
      </c>
    </row>
    <row r="719" spans="1:27" ht="12.75">
      <c r="A719" s="255" t="s">
        <v>118</v>
      </c>
      <c r="E719" s="2">
        <v>0.9538461538461539</v>
      </c>
      <c r="F719" s="2">
        <v>0.92307692307692313</v>
      </c>
      <c r="G719" s="2">
        <v>0.88461538461538458</v>
      </c>
      <c r="H719" s="2">
        <v>0.84615384615384615</v>
      </c>
      <c r="I719" s="2">
        <v>0.77692307692307694</v>
      </c>
      <c r="J719" s="2">
        <v>0.70769230769230773</v>
      </c>
      <c r="K719" s="2">
        <v>0.63846153846153841</v>
      </c>
      <c r="L719" s="2">
        <v>0.60769230769230764</v>
      </c>
      <c r="M719" s="2">
        <v>0.57692307692307687</v>
      </c>
      <c r="N719" s="2">
        <v>0.55384615384615388</v>
      </c>
      <c r="O719" s="2">
        <v>0.52307692307692311</v>
      </c>
      <c r="P719" s="2">
        <v>0.50769230769230766</v>
      </c>
      <c r="Q719" s="2">
        <v>0.50769230769230766</v>
      </c>
      <c r="R719" s="2">
        <v>0.50769230769230766</v>
      </c>
      <c r="S719" s="2">
        <v>0.50769230769230766</v>
      </c>
      <c r="T719" s="2">
        <v>0.50769230769230766</v>
      </c>
      <c r="U719" s="2">
        <v>0.50769230769230766</v>
      </c>
      <c r="V719" s="2">
        <v>0.50769230769230766</v>
      </c>
      <c r="W719" s="2">
        <v>0.50769230769230766</v>
      </c>
    </row>
    <row r="720" spans="1:27" ht="12.75">
      <c r="A720" s="256" t="s">
        <v>146</v>
      </c>
      <c r="E720" s="2">
        <v>0.95833333333333337</v>
      </c>
      <c r="F720" s="2">
        <v>0.92500000000000004</v>
      </c>
      <c r="G720" s="2">
        <v>0.89166666666666672</v>
      </c>
      <c r="H720" s="2">
        <v>0.85</v>
      </c>
      <c r="I720" s="2">
        <v>0.78333333333333333</v>
      </c>
      <c r="J720" s="2">
        <v>0.70833333333333337</v>
      </c>
      <c r="K720" s="2">
        <v>0.6333333333333333</v>
      </c>
      <c r="L720" s="2">
        <v>0.6166666666666667</v>
      </c>
      <c r="M720" s="2">
        <v>0.58333333333333337</v>
      </c>
      <c r="N720" s="2">
        <v>0.55833333333333335</v>
      </c>
      <c r="O720" s="2">
        <v>0.52500000000000002</v>
      </c>
      <c r="P720" s="2">
        <v>0.5083333333333333</v>
      </c>
      <c r="Q720" s="2">
        <v>0.5083333333333333</v>
      </c>
      <c r="R720" s="2">
        <v>0.5083333333333333</v>
      </c>
      <c r="S720" s="2">
        <v>0.5083333333333333</v>
      </c>
      <c r="T720" s="2">
        <v>0.5083333333333333</v>
      </c>
      <c r="U720" s="2">
        <v>0.5083333333333333</v>
      </c>
      <c r="V720" s="2">
        <v>0.5083333333333333</v>
      </c>
      <c r="W720" s="2">
        <v>0.5083333333333333</v>
      </c>
    </row>
    <row r="721" spans="1:25" ht="12.75">
      <c r="A721" s="246" t="s">
        <v>105</v>
      </c>
      <c r="E721" s="2">
        <v>0.96551724137931039</v>
      </c>
      <c r="F721" s="2">
        <v>0.93103448275862066</v>
      </c>
      <c r="G721" s="2">
        <v>0.89655172413793105</v>
      </c>
      <c r="H721" s="2">
        <v>0.85517241379310349</v>
      </c>
      <c r="I721" s="2">
        <v>0.78620689655172415</v>
      </c>
      <c r="J721" s="2">
        <v>0.71724137931034482</v>
      </c>
      <c r="K721" s="2">
        <v>0.64137931034482754</v>
      </c>
      <c r="L721" s="2">
        <v>0.60689655172413792</v>
      </c>
      <c r="M721" s="2">
        <v>0.57931034482758625</v>
      </c>
      <c r="N721" s="2">
        <v>0.55862068965517242</v>
      </c>
      <c r="O721" s="2">
        <v>0.53793103448275859</v>
      </c>
      <c r="P721" s="2">
        <v>0.51034482758620692</v>
      </c>
      <c r="Q721" s="2">
        <v>0.51034482758620692</v>
      </c>
      <c r="R721" s="2">
        <v>0.51034482758620692</v>
      </c>
      <c r="S721" s="2">
        <v>0.51034482758620692</v>
      </c>
      <c r="T721" s="2">
        <v>0.51034482758620692</v>
      </c>
      <c r="U721" s="2">
        <v>0.51034482758620692</v>
      </c>
      <c r="V721" s="2">
        <v>0.51034482758620692</v>
      </c>
      <c r="W721" s="2">
        <v>0.51034482758620692</v>
      </c>
    </row>
    <row r="722" spans="1:25" ht="12.75">
      <c r="A722" s="246" t="s">
        <v>339</v>
      </c>
      <c r="E722" s="2">
        <v>0.96610169491525422</v>
      </c>
      <c r="F722" s="2">
        <v>0.92372881355932202</v>
      </c>
      <c r="G722" s="2">
        <v>0.88983050847457623</v>
      </c>
      <c r="H722" s="2">
        <v>0.85593220338983056</v>
      </c>
      <c r="I722" s="2">
        <v>0.77966101694915257</v>
      </c>
      <c r="J722" s="2">
        <v>0.70338983050847459</v>
      </c>
      <c r="K722" s="2">
        <v>0.63559322033898302</v>
      </c>
      <c r="L722" s="2">
        <v>0.60169491525423724</v>
      </c>
      <c r="M722" s="2">
        <v>0.57627118644067798</v>
      </c>
      <c r="N722" s="2">
        <v>0.55932203389830504</v>
      </c>
      <c r="O722" s="2">
        <v>0.52542372881355937</v>
      </c>
      <c r="P722" s="2">
        <v>0.5</v>
      </c>
      <c r="Q722" s="2">
        <v>0.5</v>
      </c>
      <c r="R722" s="2">
        <v>0.5</v>
      </c>
      <c r="S722" s="2">
        <v>0.5</v>
      </c>
      <c r="T722" s="2">
        <v>0.5</v>
      </c>
      <c r="U722" s="2">
        <v>0.5</v>
      </c>
      <c r="V722" s="2">
        <v>0.5</v>
      </c>
      <c r="W722" s="2">
        <v>0.5</v>
      </c>
    </row>
    <row r="723" spans="1:25" ht="12.75">
      <c r="A723" s="257" t="s">
        <v>141</v>
      </c>
      <c r="E723" s="2">
        <v>0.95967741935483875</v>
      </c>
      <c r="F723" s="2">
        <v>0.92741935483870963</v>
      </c>
      <c r="G723" s="2">
        <v>0.88709677419354838</v>
      </c>
      <c r="H723" s="2">
        <v>0.85483870967741937</v>
      </c>
      <c r="I723" s="2">
        <v>0.782258064516129</v>
      </c>
      <c r="J723" s="2">
        <v>0.70967741935483875</v>
      </c>
      <c r="K723" s="2">
        <v>0.62903225806451613</v>
      </c>
      <c r="L723" s="2">
        <v>0.61290322580645162</v>
      </c>
      <c r="M723" s="2">
        <v>0.58064516129032262</v>
      </c>
      <c r="N723" s="2">
        <v>0.56451612903225812</v>
      </c>
      <c r="O723" s="2">
        <v>0.532258064516129</v>
      </c>
      <c r="P723" s="2">
        <v>0.5</v>
      </c>
      <c r="Q723" s="2">
        <v>0.5</v>
      </c>
      <c r="R723" s="2">
        <v>0.5</v>
      </c>
      <c r="S723" s="2">
        <v>0.5</v>
      </c>
      <c r="T723" s="2">
        <v>0.5</v>
      </c>
      <c r="U723" s="2">
        <v>0.5</v>
      </c>
      <c r="V723" s="2">
        <v>0.5</v>
      </c>
      <c r="W723" s="2">
        <v>0.5</v>
      </c>
    </row>
    <row r="724" spans="1:25" ht="12.75">
      <c r="A724" s="246" t="s">
        <v>138</v>
      </c>
      <c r="E724" s="2">
        <v>0.95238095238095233</v>
      </c>
      <c r="F724" s="2">
        <v>0.92063492063492058</v>
      </c>
      <c r="G724" s="2">
        <v>0.88095238095238093</v>
      </c>
      <c r="H724" s="2">
        <v>0.84920634920634919</v>
      </c>
      <c r="I724" s="2">
        <v>0.77777777777777779</v>
      </c>
      <c r="J724" s="2">
        <v>0.70634920634920639</v>
      </c>
      <c r="K724" s="2">
        <v>0.63492063492063489</v>
      </c>
      <c r="L724" s="2">
        <v>0.60317460317460314</v>
      </c>
      <c r="M724" s="2">
        <v>0.58730158730158732</v>
      </c>
      <c r="N724" s="2">
        <v>0.55555555555555558</v>
      </c>
      <c r="O724" s="2">
        <v>0.53174603174603174</v>
      </c>
      <c r="P724" s="2">
        <v>0.5</v>
      </c>
      <c r="Q724" s="2">
        <v>0.5</v>
      </c>
      <c r="R724" s="2">
        <v>0.5</v>
      </c>
      <c r="S724" s="2">
        <v>0.5</v>
      </c>
      <c r="T724" s="2">
        <v>0.5</v>
      </c>
      <c r="U724" s="2">
        <v>0.5</v>
      </c>
      <c r="V724" s="2">
        <v>0.5</v>
      </c>
      <c r="W724" s="2">
        <v>0.5</v>
      </c>
    </row>
    <row r="725" spans="1:25" ht="12.75">
      <c r="A725" s="246" t="s">
        <v>109</v>
      </c>
      <c r="E725" s="2">
        <v>0.95683453237410077</v>
      </c>
      <c r="F725" s="2">
        <v>0.92086330935251803</v>
      </c>
      <c r="G725" s="2">
        <v>0.8848920863309353</v>
      </c>
      <c r="H725" s="2">
        <v>0.84892086330935257</v>
      </c>
      <c r="I725" s="2">
        <v>0.78417266187050361</v>
      </c>
      <c r="J725" s="2">
        <v>0.70503597122302153</v>
      </c>
      <c r="K725" s="2">
        <v>0.63309352517985606</v>
      </c>
      <c r="L725" s="2">
        <v>0.60431654676258995</v>
      </c>
      <c r="M725" s="2">
        <v>0.58273381294964033</v>
      </c>
      <c r="N725" s="2">
        <v>0.5611510791366906</v>
      </c>
      <c r="O725" s="2">
        <v>0.53237410071942448</v>
      </c>
      <c r="P725" s="2">
        <v>0.50359712230215825</v>
      </c>
      <c r="Q725" s="2">
        <v>0.50359712230215825</v>
      </c>
      <c r="R725" s="2">
        <v>0.50359712230215825</v>
      </c>
      <c r="S725" s="2">
        <v>0.50359712230215825</v>
      </c>
      <c r="T725" s="2">
        <v>0.50359712230215825</v>
      </c>
      <c r="U725" s="2">
        <v>0.50359712230215825</v>
      </c>
      <c r="V725" s="2">
        <v>0.50359712230215825</v>
      </c>
      <c r="W725" s="2">
        <v>0.50359712230215825</v>
      </c>
    </row>
    <row r="726" spans="1:25" ht="12.75">
      <c r="A726" s="257" t="s">
        <v>113</v>
      </c>
      <c r="E726" s="2">
        <v>0.96296296296296291</v>
      </c>
      <c r="F726" s="2">
        <v>0.91851851851851851</v>
      </c>
      <c r="G726" s="2">
        <v>0.88888888888888884</v>
      </c>
      <c r="H726" s="2">
        <v>0.85185185185185186</v>
      </c>
      <c r="I726" s="2">
        <v>0.77777777777777779</v>
      </c>
      <c r="J726" s="2">
        <v>0.71111111111111114</v>
      </c>
      <c r="K726" s="2">
        <v>0.62962962962962965</v>
      </c>
      <c r="L726" s="2">
        <v>0.61481481481481481</v>
      </c>
      <c r="M726" s="2">
        <v>0.58518518518518514</v>
      </c>
      <c r="N726" s="2">
        <v>0.55555555555555558</v>
      </c>
      <c r="O726" s="2">
        <v>0.52592592592592591</v>
      </c>
      <c r="P726" s="2">
        <v>0.50370370370370365</v>
      </c>
      <c r="Q726" s="2">
        <v>0.50370370370370365</v>
      </c>
      <c r="R726" s="2">
        <v>0.50370370370370365</v>
      </c>
      <c r="S726" s="2">
        <v>0.50370370370370365</v>
      </c>
      <c r="T726" s="2">
        <v>0.50370370370370365</v>
      </c>
      <c r="U726" s="2">
        <v>0.50370370370370365</v>
      </c>
      <c r="V726" s="2">
        <v>0.50370370370370365</v>
      </c>
      <c r="W726" s="2">
        <v>0.50370370370370365</v>
      </c>
      <c r="Y726" s="58"/>
    </row>
    <row r="727" spans="1:25" ht="12.75">
      <c r="A727" s="258" t="s">
        <v>150</v>
      </c>
      <c r="E727" s="2">
        <v>0.97413793103448276</v>
      </c>
      <c r="F727" s="2">
        <v>0.92241379310344829</v>
      </c>
      <c r="G727" s="2">
        <v>0.89655172413793105</v>
      </c>
      <c r="H727" s="2">
        <v>0.86206896551724133</v>
      </c>
      <c r="I727" s="2">
        <v>0.78448275862068961</v>
      </c>
      <c r="J727" s="2">
        <v>0.71551724137931039</v>
      </c>
      <c r="K727" s="2">
        <v>0.63793103448275867</v>
      </c>
      <c r="L727" s="2">
        <v>0.61206896551724133</v>
      </c>
      <c r="M727" s="2">
        <v>0.58620689655172409</v>
      </c>
      <c r="N727" s="2">
        <v>0.56034482758620685</v>
      </c>
      <c r="O727" s="2">
        <v>0.53448275862068961</v>
      </c>
      <c r="P727" s="2">
        <v>0.5</v>
      </c>
      <c r="Q727" s="2">
        <v>0.5</v>
      </c>
      <c r="R727" s="2">
        <v>0.5</v>
      </c>
      <c r="S727" s="2">
        <v>0.5</v>
      </c>
      <c r="T727" s="2">
        <v>0.5</v>
      </c>
      <c r="U727" s="2">
        <v>0.5</v>
      </c>
      <c r="V727" s="2">
        <v>0.5</v>
      </c>
      <c r="W727" s="2">
        <v>0.5</v>
      </c>
      <c r="Y727" s="58"/>
    </row>
    <row r="728" spans="1:25" ht="12.75">
      <c r="A728" s="257" t="s">
        <v>135</v>
      </c>
      <c r="E728" s="2">
        <v>0.9609375</v>
      </c>
      <c r="F728" s="2">
        <v>0.9296875</v>
      </c>
      <c r="G728" s="2">
        <v>0.890625</v>
      </c>
      <c r="H728" s="2">
        <v>0.859375</v>
      </c>
      <c r="I728" s="2">
        <v>0.78125</v>
      </c>
      <c r="J728" s="2">
        <v>0.7109375</v>
      </c>
      <c r="K728" s="2">
        <v>0.6328125</v>
      </c>
      <c r="L728" s="2">
        <v>0.609375</v>
      </c>
      <c r="M728" s="2">
        <v>0.5859375</v>
      </c>
      <c r="N728" s="2">
        <v>0.5546875</v>
      </c>
      <c r="O728" s="2">
        <v>0.53125</v>
      </c>
      <c r="P728" s="2">
        <v>0.5078125</v>
      </c>
      <c r="Q728" s="2">
        <v>0.5078125</v>
      </c>
      <c r="R728" s="2">
        <v>0.5078125</v>
      </c>
      <c r="S728" s="2">
        <v>0.5078125</v>
      </c>
      <c r="T728" s="2">
        <v>0.5078125</v>
      </c>
      <c r="U728" s="2">
        <v>0.5078125</v>
      </c>
      <c r="V728" s="2">
        <v>0.5078125</v>
      </c>
      <c r="W728" s="2">
        <v>0.5078125</v>
      </c>
      <c r="Y728" s="58"/>
    </row>
    <row r="729" spans="1:25" ht="12.75">
      <c r="A729" s="253" t="s">
        <v>151</v>
      </c>
      <c r="E729" s="2">
        <v>0.96491228070175439</v>
      </c>
      <c r="F729" s="2">
        <v>0.92982456140350878</v>
      </c>
      <c r="G729" s="2">
        <v>0.88596491228070173</v>
      </c>
      <c r="H729" s="2">
        <v>0.85087719298245612</v>
      </c>
      <c r="I729" s="2">
        <v>0.7807017543859649</v>
      </c>
      <c r="J729" s="2">
        <v>0.70175438596491224</v>
      </c>
      <c r="K729" s="2">
        <v>0.63157894736842102</v>
      </c>
      <c r="L729" s="2">
        <v>0.61403508771929827</v>
      </c>
      <c r="M729" s="2">
        <v>0.57894736842105265</v>
      </c>
      <c r="N729" s="2">
        <v>0.55263157894736847</v>
      </c>
      <c r="O729" s="2">
        <v>0.53508771929824561</v>
      </c>
      <c r="P729" s="2">
        <v>0.5</v>
      </c>
      <c r="Q729" s="2">
        <v>0.5</v>
      </c>
      <c r="R729" s="2">
        <v>0.5</v>
      </c>
      <c r="S729" s="2">
        <v>0.5</v>
      </c>
      <c r="T729" s="2">
        <v>0.5</v>
      </c>
      <c r="U729" s="2">
        <v>0.5</v>
      </c>
      <c r="V729" s="2">
        <v>0.5</v>
      </c>
      <c r="W729" s="2">
        <v>0.5</v>
      </c>
      <c r="Y729" s="58"/>
    </row>
    <row r="730" spans="1:25" ht="12.75">
      <c r="A730" s="246" t="s">
        <v>152</v>
      </c>
      <c r="E730" s="2">
        <v>0.96460176991150437</v>
      </c>
      <c r="F730" s="2">
        <v>0.92920353982300885</v>
      </c>
      <c r="G730" s="2">
        <v>0.88495575221238942</v>
      </c>
      <c r="H730" s="2">
        <v>0.84955752212389379</v>
      </c>
      <c r="I730" s="2">
        <v>0.77876106194690264</v>
      </c>
      <c r="J730" s="2">
        <v>0.70796460176991149</v>
      </c>
      <c r="K730" s="2">
        <v>0.62831858407079644</v>
      </c>
      <c r="L730" s="2">
        <v>0.60176991150442483</v>
      </c>
      <c r="M730" s="2">
        <v>0.58407079646017701</v>
      </c>
      <c r="N730" s="2">
        <v>0.55752212389380529</v>
      </c>
      <c r="O730" s="2">
        <v>0.52212389380530977</v>
      </c>
      <c r="P730" s="2">
        <v>0.50442477876106195</v>
      </c>
      <c r="Q730" s="2">
        <v>0.50442477876106195</v>
      </c>
      <c r="R730" s="2">
        <v>0.50442477876106195</v>
      </c>
      <c r="S730" s="2">
        <v>0.50442477876106195</v>
      </c>
      <c r="T730" s="2">
        <v>0.50442477876106195</v>
      </c>
      <c r="U730" s="2">
        <v>0.50442477876106195</v>
      </c>
      <c r="V730" s="2">
        <v>0.50442477876106195</v>
      </c>
      <c r="W730" s="2">
        <v>0.50442477876106195</v>
      </c>
      <c r="Y730" s="58"/>
    </row>
    <row r="731" spans="1:25" ht="15">
      <c r="A731" s="246" t="s">
        <v>111</v>
      </c>
      <c r="B731" s="259"/>
      <c r="C731" s="259"/>
      <c r="D731" s="259"/>
      <c r="E731" s="2">
        <v>0.96350364963503654</v>
      </c>
      <c r="F731" s="2">
        <v>0.92700729927007297</v>
      </c>
      <c r="G731" s="2">
        <v>0.89051094890510951</v>
      </c>
      <c r="H731" s="2">
        <v>0.86131386861313863</v>
      </c>
      <c r="I731" s="2">
        <v>0.78102189781021902</v>
      </c>
      <c r="J731" s="2">
        <v>0.70802919708029199</v>
      </c>
      <c r="K731" s="2">
        <v>0.64233576642335766</v>
      </c>
      <c r="L731" s="2">
        <v>0.61313868613138689</v>
      </c>
      <c r="M731" s="2">
        <v>0.58394160583941601</v>
      </c>
      <c r="N731" s="2">
        <v>0.55474452554744524</v>
      </c>
      <c r="O731" s="2">
        <v>0.52554744525547448</v>
      </c>
      <c r="P731" s="2">
        <v>0.51094890510948909</v>
      </c>
      <c r="Q731" s="2">
        <v>0.51094890510948909</v>
      </c>
      <c r="R731" s="2">
        <v>0.51094890510948909</v>
      </c>
      <c r="S731" s="2">
        <v>0.51094890510948909</v>
      </c>
      <c r="T731" s="2">
        <v>0.51094890510948909</v>
      </c>
      <c r="U731" s="2">
        <v>0.51094890510948909</v>
      </c>
      <c r="V731" s="2">
        <v>0.51094890510948909</v>
      </c>
      <c r="W731" s="2">
        <v>0.51094890510948909</v>
      </c>
      <c r="Y731" s="58"/>
    </row>
    <row r="732" spans="1:25" ht="15">
      <c r="A732" s="5"/>
      <c r="B732" s="43" t="s">
        <v>24</v>
      </c>
      <c r="C732" s="43" t="s">
        <v>25</v>
      </c>
      <c r="D732" s="43" t="s">
        <v>26</v>
      </c>
      <c r="E732" s="43" t="s">
        <v>27</v>
      </c>
      <c r="F732" s="43" t="s">
        <v>28</v>
      </c>
      <c r="G732" s="43" t="s">
        <v>74</v>
      </c>
      <c r="H732" s="43" t="s">
        <v>75</v>
      </c>
      <c r="I732" s="43" t="s">
        <v>76</v>
      </c>
      <c r="J732" s="43" t="s">
        <v>77</v>
      </c>
      <c r="K732" s="43" t="s">
        <v>78</v>
      </c>
      <c r="L732" s="43" t="s">
        <v>79</v>
      </c>
      <c r="M732" s="43" t="s">
        <v>80</v>
      </c>
      <c r="N732" s="15" t="s">
        <v>81</v>
      </c>
      <c r="O732" s="15" t="s">
        <v>82</v>
      </c>
      <c r="P732" s="15" t="s">
        <v>83</v>
      </c>
      <c r="Q732" s="15" t="s">
        <v>84</v>
      </c>
      <c r="R732" s="15" t="s">
        <v>85</v>
      </c>
      <c r="S732" s="15" t="s">
        <v>86</v>
      </c>
      <c r="T732" s="15" t="s">
        <v>87</v>
      </c>
      <c r="U732" s="15" t="s">
        <v>88</v>
      </c>
      <c r="V732" s="15" t="s">
        <v>89</v>
      </c>
      <c r="W732" s="15" t="s">
        <v>90</v>
      </c>
      <c r="Y732" s="58"/>
    </row>
    <row r="733" spans="1:25" ht="15">
      <c r="A733" s="8" t="s">
        <v>57</v>
      </c>
      <c r="B733" s="18">
        <v>1</v>
      </c>
      <c r="C733" s="18">
        <v>1</v>
      </c>
      <c r="D733" s="18">
        <v>1</v>
      </c>
      <c r="E733" s="18">
        <f t="shared" ref="E733:W733" si="27">AVERAGE(E740:E744)</f>
        <v>0.92529096422450152</v>
      </c>
      <c r="F733" s="18">
        <f t="shared" si="27"/>
        <v>0.84877656542376789</v>
      </c>
      <c r="G733" s="18">
        <f t="shared" si="27"/>
        <v>0.77435340378413342</v>
      </c>
      <c r="H733" s="18">
        <f t="shared" si="27"/>
        <v>0.69777520913013014</v>
      </c>
      <c r="I733" s="18">
        <f t="shared" si="27"/>
        <v>0.54837289735632921</v>
      </c>
      <c r="J733" s="18">
        <f t="shared" si="27"/>
        <v>0.50758233935694452</v>
      </c>
      <c r="K733" s="18">
        <f t="shared" si="27"/>
        <v>0.47202051475721563</v>
      </c>
      <c r="L733" s="18">
        <f t="shared" si="27"/>
        <v>0.47202051475721563</v>
      </c>
      <c r="M733" s="18">
        <f t="shared" si="27"/>
        <v>0.47202051475721563</v>
      </c>
      <c r="N733" s="18">
        <f t="shared" si="27"/>
        <v>0.47202051475721563</v>
      </c>
      <c r="O733" s="18">
        <f t="shared" si="27"/>
        <v>0.47202051475721563</v>
      </c>
      <c r="P733" s="18">
        <f t="shared" si="27"/>
        <v>0.47202051475721563</v>
      </c>
      <c r="Q733" s="18">
        <f t="shared" si="27"/>
        <v>0.47202051475721563</v>
      </c>
      <c r="R733" s="18">
        <f t="shared" si="27"/>
        <v>0.47202051475721563</v>
      </c>
      <c r="S733" s="18">
        <f t="shared" si="27"/>
        <v>0.47202051475721563</v>
      </c>
      <c r="T733" s="18">
        <f t="shared" si="27"/>
        <v>0.47202051475721563</v>
      </c>
      <c r="U733" s="18">
        <f t="shared" si="27"/>
        <v>0.47202051475721563</v>
      </c>
      <c r="V733" s="18">
        <f t="shared" si="27"/>
        <v>0.47202051475721563</v>
      </c>
      <c r="W733" s="18">
        <f t="shared" si="27"/>
        <v>0.47202051475721563</v>
      </c>
    </row>
    <row r="734" spans="1:25" ht="12.75">
      <c r="A734" s="2" t="s">
        <v>106</v>
      </c>
      <c r="B734" s="2">
        <v>114</v>
      </c>
      <c r="C734" s="2">
        <v>114</v>
      </c>
      <c r="D734" s="2">
        <v>114</v>
      </c>
      <c r="E734" s="2">
        <v>106</v>
      </c>
      <c r="F734" s="2">
        <v>97</v>
      </c>
      <c r="G734" s="2">
        <v>88</v>
      </c>
      <c r="H734" s="2">
        <v>80</v>
      </c>
      <c r="I734" s="2">
        <v>63</v>
      </c>
      <c r="J734" s="2">
        <v>58</v>
      </c>
      <c r="K734" s="2">
        <v>54</v>
      </c>
      <c r="L734" s="2">
        <v>54</v>
      </c>
      <c r="M734" s="2">
        <v>54</v>
      </c>
      <c r="N734" s="2">
        <v>54</v>
      </c>
      <c r="O734" s="2">
        <v>54</v>
      </c>
      <c r="P734" s="2">
        <v>54</v>
      </c>
      <c r="Q734" s="2">
        <v>54</v>
      </c>
      <c r="R734" s="2">
        <v>54</v>
      </c>
      <c r="S734" s="2">
        <v>54</v>
      </c>
      <c r="T734" s="2">
        <v>54</v>
      </c>
      <c r="U734" s="2">
        <v>54</v>
      </c>
      <c r="V734" s="2">
        <v>54</v>
      </c>
      <c r="W734" s="2">
        <v>54</v>
      </c>
    </row>
    <row r="735" spans="1:25" ht="12.75">
      <c r="A735" s="246" t="s">
        <v>108</v>
      </c>
      <c r="B735" s="13">
        <v>110</v>
      </c>
      <c r="C735" s="13">
        <v>110</v>
      </c>
      <c r="D735" s="13">
        <v>110</v>
      </c>
      <c r="E735" s="13">
        <v>101</v>
      </c>
      <c r="F735" s="13">
        <v>93</v>
      </c>
      <c r="G735" s="13">
        <v>85</v>
      </c>
      <c r="H735" s="13">
        <v>76</v>
      </c>
      <c r="I735" s="13">
        <v>61</v>
      </c>
      <c r="J735" s="13">
        <v>55</v>
      </c>
      <c r="K735" s="13">
        <v>52</v>
      </c>
      <c r="L735" s="13">
        <v>52</v>
      </c>
      <c r="M735" s="13">
        <v>52</v>
      </c>
      <c r="N735" s="13">
        <v>52</v>
      </c>
      <c r="O735" s="13">
        <v>52</v>
      </c>
      <c r="P735" s="13">
        <v>52</v>
      </c>
      <c r="Q735" s="13">
        <v>52</v>
      </c>
      <c r="R735" s="13">
        <v>52</v>
      </c>
      <c r="S735" s="13">
        <v>52</v>
      </c>
      <c r="T735" s="13">
        <v>52</v>
      </c>
      <c r="U735" s="13">
        <v>52</v>
      </c>
      <c r="V735" s="13">
        <v>52</v>
      </c>
      <c r="W735" s="13">
        <v>52</v>
      </c>
    </row>
    <row r="736" spans="1:25" ht="14.25">
      <c r="A736" s="260" t="s">
        <v>110</v>
      </c>
      <c r="B736" s="13">
        <v>107</v>
      </c>
      <c r="C736" s="13">
        <v>107</v>
      </c>
      <c r="D736" s="13">
        <v>107</v>
      </c>
      <c r="E736" s="13">
        <v>100</v>
      </c>
      <c r="F736" s="13">
        <v>92</v>
      </c>
      <c r="G736" s="13">
        <v>83</v>
      </c>
      <c r="H736" s="13">
        <v>75</v>
      </c>
      <c r="I736" s="13">
        <v>58</v>
      </c>
      <c r="J736" s="13">
        <v>54</v>
      </c>
      <c r="K736" s="13">
        <v>50</v>
      </c>
      <c r="L736" s="13">
        <v>50</v>
      </c>
      <c r="M736" s="13">
        <v>50</v>
      </c>
      <c r="N736" s="133">
        <v>50</v>
      </c>
      <c r="O736" s="13">
        <v>50</v>
      </c>
      <c r="P736" s="13">
        <v>50</v>
      </c>
      <c r="Q736" s="13">
        <v>50</v>
      </c>
      <c r="R736" s="13">
        <v>50</v>
      </c>
      <c r="S736" s="13">
        <v>50</v>
      </c>
      <c r="T736" s="13">
        <v>50</v>
      </c>
      <c r="U736" s="13">
        <v>50</v>
      </c>
      <c r="V736" s="13">
        <v>50</v>
      </c>
      <c r="W736" s="13">
        <v>50</v>
      </c>
    </row>
    <row r="737" spans="1:23" ht="12.75">
      <c r="A737" s="246" t="s">
        <v>112</v>
      </c>
      <c r="B737" s="13">
        <v>104</v>
      </c>
      <c r="C737" s="13">
        <v>104</v>
      </c>
      <c r="D737" s="13">
        <v>104</v>
      </c>
      <c r="E737" s="13">
        <v>96</v>
      </c>
      <c r="F737" s="13">
        <v>88</v>
      </c>
      <c r="G737" s="13">
        <v>80</v>
      </c>
      <c r="H737" s="13">
        <v>72</v>
      </c>
      <c r="I737" s="13">
        <v>57</v>
      </c>
      <c r="J737" s="13">
        <v>53</v>
      </c>
      <c r="K737" s="13">
        <v>49</v>
      </c>
      <c r="L737" s="13">
        <v>49</v>
      </c>
      <c r="M737" s="13">
        <v>49</v>
      </c>
      <c r="N737" s="13">
        <v>49</v>
      </c>
      <c r="O737" s="13">
        <v>49</v>
      </c>
      <c r="P737" s="13">
        <v>49</v>
      </c>
      <c r="Q737" s="13">
        <v>49</v>
      </c>
      <c r="R737" s="13">
        <v>49</v>
      </c>
      <c r="S737" s="13">
        <v>49</v>
      </c>
      <c r="T737" s="13">
        <v>49</v>
      </c>
      <c r="U737" s="13">
        <v>49</v>
      </c>
      <c r="V737" s="13">
        <v>49</v>
      </c>
      <c r="W737" s="13">
        <v>49</v>
      </c>
    </row>
    <row r="738" spans="1:23" ht="12.75">
      <c r="A738" s="246" t="s">
        <v>114</v>
      </c>
      <c r="B738" s="13">
        <v>101</v>
      </c>
      <c r="C738" s="13">
        <v>101</v>
      </c>
      <c r="D738" s="13">
        <v>101</v>
      </c>
      <c r="E738" s="13">
        <v>93</v>
      </c>
      <c r="F738" s="13">
        <v>85</v>
      </c>
      <c r="G738" s="13">
        <v>79</v>
      </c>
      <c r="H738" s="13">
        <v>71</v>
      </c>
      <c r="I738" s="13">
        <v>55</v>
      </c>
      <c r="J738" s="13">
        <v>52</v>
      </c>
      <c r="K738" s="13">
        <v>48</v>
      </c>
      <c r="L738" s="13">
        <v>48</v>
      </c>
      <c r="M738" s="13">
        <v>48</v>
      </c>
      <c r="N738" s="13">
        <v>48</v>
      </c>
      <c r="O738" s="13">
        <v>48</v>
      </c>
      <c r="P738" s="13">
        <v>48</v>
      </c>
      <c r="Q738" s="13">
        <v>48</v>
      </c>
      <c r="R738" s="13">
        <v>48</v>
      </c>
      <c r="S738" s="13">
        <v>48</v>
      </c>
      <c r="T738" s="13">
        <v>48</v>
      </c>
      <c r="U738" s="13">
        <v>48</v>
      </c>
      <c r="V738" s="13">
        <v>48</v>
      </c>
      <c r="W738" s="13">
        <v>48</v>
      </c>
    </row>
    <row r="739" spans="1:23" ht="12.75">
      <c r="A739" s="5"/>
      <c r="B739" s="2" t="b">
        <f t="array" aca="1" ref="B739" ca="1">IF(COUNTA(B735:B738)=COUNTA(UNIQUE(B735:B738)), "no duplicate numbers")</f>
        <v>0</v>
      </c>
    </row>
    <row r="740" spans="1:23" ht="12.75">
      <c r="A740" s="2" t="s">
        <v>106</v>
      </c>
      <c r="E740" s="2">
        <f t="array" ref="E740:W744">E734:W738/D734:D738</f>
        <v>0.92982456140350878</v>
      </c>
      <c r="F740" s="2">
        <v>0.85087719298245612</v>
      </c>
      <c r="G740" s="2">
        <v>0.77192982456140347</v>
      </c>
      <c r="H740" s="2">
        <v>0.70175438596491224</v>
      </c>
      <c r="I740" s="2">
        <v>0.55263157894736847</v>
      </c>
      <c r="J740" s="2">
        <v>0.50877192982456143</v>
      </c>
      <c r="K740" s="2">
        <v>0.47368421052631576</v>
      </c>
      <c r="L740" s="2">
        <v>0.47368421052631576</v>
      </c>
      <c r="M740" s="2">
        <v>0.47368421052631576</v>
      </c>
      <c r="N740" s="2">
        <v>0.47368421052631576</v>
      </c>
      <c r="O740" s="2">
        <v>0.47368421052631576</v>
      </c>
      <c r="P740" s="2">
        <v>0.47368421052631576</v>
      </c>
      <c r="Q740" s="2">
        <v>0.47368421052631576</v>
      </c>
      <c r="R740" s="2">
        <v>0.47368421052631576</v>
      </c>
      <c r="S740" s="2">
        <v>0.47368421052631576</v>
      </c>
      <c r="T740" s="2">
        <v>0.47368421052631576</v>
      </c>
      <c r="U740" s="2">
        <v>0.47368421052631576</v>
      </c>
      <c r="V740" s="2">
        <v>0.47368421052631576</v>
      </c>
      <c r="W740" s="2">
        <v>0.47368421052631576</v>
      </c>
    </row>
    <row r="741" spans="1:23" ht="14.25">
      <c r="A741" s="246" t="s">
        <v>108</v>
      </c>
      <c r="E741" s="2">
        <v>0.91818181818181821</v>
      </c>
      <c r="F741" s="2">
        <v>0.84545454545454546</v>
      </c>
      <c r="G741" s="2">
        <v>0.77272727272727271</v>
      </c>
      <c r="H741" s="2">
        <v>0.69090909090909092</v>
      </c>
      <c r="I741" s="2">
        <v>0.55454545454545456</v>
      </c>
      <c r="J741" s="2">
        <v>0.5</v>
      </c>
      <c r="K741" s="2">
        <v>0.47272727272727272</v>
      </c>
      <c r="L741" s="2">
        <v>0.47272727272727272</v>
      </c>
      <c r="M741" s="2">
        <v>0.47272727272727272</v>
      </c>
      <c r="N741" s="133">
        <v>0.47272727272727272</v>
      </c>
      <c r="O741" s="2">
        <v>0.47272727272727272</v>
      </c>
      <c r="P741" s="2">
        <v>0.47272727272727272</v>
      </c>
      <c r="Q741" s="2">
        <v>0.47272727272727272</v>
      </c>
      <c r="R741" s="2">
        <v>0.47272727272727272</v>
      </c>
      <c r="S741" s="2">
        <v>0.47272727272727272</v>
      </c>
      <c r="T741" s="2">
        <v>0.47272727272727272</v>
      </c>
      <c r="U741" s="2">
        <v>0.47272727272727272</v>
      </c>
      <c r="V741" s="2">
        <v>0.47272727272727272</v>
      </c>
      <c r="W741" s="2">
        <v>0.47272727272727272</v>
      </c>
    </row>
    <row r="742" spans="1:23" ht="12.75">
      <c r="A742" s="260" t="s">
        <v>110</v>
      </c>
      <c r="E742" s="2">
        <v>0.93457943925233644</v>
      </c>
      <c r="F742" s="2">
        <v>0.85981308411214952</v>
      </c>
      <c r="G742" s="2">
        <v>0.77570093457943923</v>
      </c>
      <c r="H742" s="2">
        <v>0.7009345794392523</v>
      </c>
      <c r="I742" s="2">
        <v>0.54205607476635509</v>
      </c>
      <c r="J742" s="2">
        <v>0.50467289719626163</v>
      </c>
      <c r="K742" s="2">
        <v>0.46728971962616822</v>
      </c>
      <c r="L742" s="2">
        <v>0.46728971962616822</v>
      </c>
      <c r="M742" s="2">
        <v>0.46728971962616822</v>
      </c>
      <c r="N742" s="2">
        <v>0.46728971962616822</v>
      </c>
      <c r="O742" s="2">
        <v>0.46728971962616822</v>
      </c>
      <c r="P742" s="2">
        <v>0.46728971962616822</v>
      </c>
      <c r="Q742" s="2">
        <v>0.46728971962616822</v>
      </c>
      <c r="R742" s="2">
        <v>0.46728971962616822</v>
      </c>
      <c r="S742" s="2">
        <v>0.46728971962616822</v>
      </c>
      <c r="T742" s="2">
        <v>0.46728971962616822</v>
      </c>
      <c r="U742" s="2">
        <v>0.46728971962616822</v>
      </c>
      <c r="V742" s="2">
        <v>0.46728971962616822</v>
      </c>
      <c r="W742" s="2">
        <v>0.46728971962616822</v>
      </c>
    </row>
    <row r="743" spans="1:23" ht="12.75">
      <c r="A743" s="246" t="s">
        <v>112</v>
      </c>
      <c r="E743" s="2">
        <v>0.92307692307692313</v>
      </c>
      <c r="F743" s="2">
        <v>0.84615384615384615</v>
      </c>
      <c r="G743" s="2">
        <v>0.76923076923076927</v>
      </c>
      <c r="H743" s="2">
        <v>0.69230769230769229</v>
      </c>
      <c r="I743" s="2">
        <v>0.54807692307692313</v>
      </c>
      <c r="J743" s="2">
        <v>0.50961538461538458</v>
      </c>
      <c r="K743" s="2">
        <v>0.47115384615384615</v>
      </c>
      <c r="L743" s="2">
        <v>0.47115384615384615</v>
      </c>
      <c r="M743" s="2">
        <v>0.47115384615384615</v>
      </c>
      <c r="N743" s="2">
        <v>0.47115384615384615</v>
      </c>
      <c r="O743" s="2">
        <v>0.47115384615384615</v>
      </c>
      <c r="P743" s="2">
        <v>0.47115384615384615</v>
      </c>
      <c r="Q743" s="2">
        <v>0.47115384615384615</v>
      </c>
      <c r="R743" s="2">
        <v>0.47115384615384615</v>
      </c>
      <c r="S743" s="2">
        <v>0.47115384615384615</v>
      </c>
      <c r="T743" s="2">
        <v>0.47115384615384615</v>
      </c>
      <c r="U743" s="2">
        <v>0.47115384615384615</v>
      </c>
      <c r="V743" s="2">
        <v>0.47115384615384615</v>
      </c>
      <c r="W743" s="2">
        <v>0.47115384615384615</v>
      </c>
    </row>
    <row r="744" spans="1:23" ht="12.75">
      <c r="A744" s="246" t="s">
        <v>114</v>
      </c>
      <c r="E744" s="2">
        <v>0.92079207920792083</v>
      </c>
      <c r="F744" s="2">
        <v>0.84158415841584155</v>
      </c>
      <c r="G744" s="2">
        <v>0.78217821782178221</v>
      </c>
      <c r="H744" s="2">
        <v>0.70297029702970293</v>
      </c>
      <c r="I744" s="2">
        <v>0.54455445544554459</v>
      </c>
      <c r="J744" s="2">
        <v>0.51485148514851486</v>
      </c>
      <c r="K744" s="2">
        <v>0.47524752475247523</v>
      </c>
      <c r="L744" s="2">
        <v>0.47524752475247523</v>
      </c>
      <c r="M744" s="2">
        <v>0.47524752475247523</v>
      </c>
      <c r="N744" s="2">
        <v>0.47524752475247523</v>
      </c>
      <c r="O744" s="2">
        <v>0.47524752475247523</v>
      </c>
      <c r="P744" s="2">
        <v>0.47524752475247523</v>
      </c>
      <c r="Q744" s="2">
        <v>0.47524752475247523</v>
      </c>
      <c r="R744" s="2">
        <v>0.47524752475247523</v>
      </c>
      <c r="S744" s="2">
        <v>0.47524752475247523</v>
      </c>
      <c r="T744" s="2">
        <v>0.47524752475247523</v>
      </c>
      <c r="U744" s="2">
        <v>0.47524752475247523</v>
      </c>
      <c r="V744" s="2">
        <v>0.47524752475247523</v>
      </c>
      <c r="W744" s="2">
        <v>0.47524752475247523</v>
      </c>
    </row>
    <row r="745" spans="1:23" ht="15">
      <c r="A745" s="5"/>
      <c r="B745" s="43" t="s">
        <v>24</v>
      </c>
      <c r="C745" s="43" t="s">
        <v>25</v>
      </c>
      <c r="D745" s="43" t="s">
        <v>26</v>
      </c>
      <c r="E745" s="43" t="s">
        <v>27</v>
      </c>
      <c r="F745" s="43" t="s">
        <v>28</v>
      </c>
      <c r="G745" s="43" t="s">
        <v>74</v>
      </c>
      <c r="H745" s="43" t="s">
        <v>75</v>
      </c>
      <c r="I745" s="43" t="s">
        <v>76</v>
      </c>
      <c r="J745" s="43" t="s">
        <v>77</v>
      </c>
      <c r="K745" s="43" t="s">
        <v>78</v>
      </c>
      <c r="L745" s="43" t="s">
        <v>79</v>
      </c>
      <c r="M745" s="43" t="s">
        <v>80</v>
      </c>
      <c r="N745" s="15" t="s">
        <v>81</v>
      </c>
      <c r="O745" s="15" t="s">
        <v>82</v>
      </c>
      <c r="P745" s="15" t="s">
        <v>83</v>
      </c>
      <c r="Q745" s="15" t="s">
        <v>84</v>
      </c>
      <c r="R745" s="15" t="s">
        <v>85</v>
      </c>
      <c r="S745" s="15" t="s">
        <v>86</v>
      </c>
      <c r="T745" s="15" t="s">
        <v>87</v>
      </c>
      <c r="U745" s="15" t="s">
        <v>88</v>
      </c>
      <c r="V745" s="15" t="s">
        <v>89</v>
      </c>
      <c r="W745" s="15" t="s">
        <v>90</v>
      </c>
    </row>
    <row r="746" spans="1:23" ht="12.75">
      <c r="A746" s="42" t="s">
        <v>60</v>
      </c>
      <c r="B746" s="18">
        <v>1</v>
      </c>
      <c r="C746" s="18">
        <v>1</v>
      </c>
      <c r="D746" s="18">
        <v>1</v>
      </c>
      <c r="E746" s="18">
        <f t="shared" ref="E746:W746" si="28">AVERAGE(E755:E761)</f>
        <v>0.9175184667709182</v>
      </c>
      <c r="F746" s="18">
        <f t="shared" si="28"/>
        <v>0.83258598230240255</v>
      </c>
      <c r="G746" s="18">
        <f t="shared" si="28"/>
        <v>0.74796723051566294</v>
      </c>
      <c r="H746" s="18">
        <f t="shared" si="28"/>
        <v>0.66425860584024654</v>
      </c>
      <c r="I746" s="18">
        <f t="shared" si="28"/>
        <v>0.491283309509011</v>
      </c>
      <c r="J746" s="18">
        <f t="shared" si="28"/>
        <v>0.45997732276365649</v>
      </c>
      <c r="K746" s="18">
        <f t="shared" si="28"/>
        <v>0.43083255126851822</v>
      </c>
      <c r="L746" s="18">
        <f t="shared" si="28"/>
        <v>0.43083255126851822</v>
      </c>
      <c r="M746" s="18">
        <f t="shared" si="28"/>
        <v>0.43083255126851822</v>
      </c>
      <c r="N746" s="18">
        <f t="shared" si="28"/>
        <v>0.43083255126851822</v>
      </c>
      <c r="O746" s="18">
        <f t="shared" si="28"/>
        <v>0.43083255126851822</v>
      </c>
      <c r="P746" s="18">
        <f t="shared" si="28"/>
        <v>0.43083255126851822</v>
      </c>
      <c r="Q746" s="18">
        <f t="shared" si="28"/>
        <v>0.43083255126851822</v>
      </c>
      <c r="R746" s="18">
        <f t="shared" si="28"/>
        <v>0.43083255126851822</v>
      </c>
      <c r="S746" s="18">
        <f t="shared" si="28"/>
        <v>0.43083255126851822</v>
      </c>
      <c r="T746" s="18">
        <f t="shared" si="28"/>
        <v>0.43083255126851822</v>
      </c>
      <c r="U746" s="18">
        <f t="shared" si="28"/>
        <v>0.43083255126851822</v>
      </c>
      <c r="V746" s="18">
        <f t="shared" si="28"/>
        <v>0.43083255126851822</v>
      </c>
      <c r="W746" s="18">
        <f t="shared" si="28"/>
        <v>0.43083255126851822</v>
      </c>
    </row>
    <row r="747" spans="1:23" ht="12.75">
      <c r="A747" s="253" t="s">
        <v>119</v>
      </c>
      <c r="B747" s="13">
        <v>137</v>
      </c>
      <c r="C747" s="13">
        <v>137</v>
      </c>
      <c r="D747" s="13">
        <v>137</v>
      </c>
      <c r="E747" s="13">
        <v>126</v>
      </c>
      <c r="F747" s="13">
        <v>114</v>
      </c>
      <c r="G747" s="13">
        <v>102</v>
      </c>
      <c r="H747" s="13">
        <v>91</v>
      </c>
      <c r="I747" s="13">
        <v>67</v>
      </c>
      <c r="J747" s="13">
        <v>63</v>
      </c>
      <c r="K747" s="13">
        <v>59</v>
      </c>
      <c r="L747" s="13">
        <v>59</v>
      </c>
      <c r="M747" s="13">
        <v>59</v>
      </c>
      <c r="N747" s="13">
        <v>59</v>
      </c>
      <c r="O747" s="13">
        <v>59</v>
      </c>
      <c r="P747" s="13">
        <v>59</v>
      </c>
      <c r="Q747" s="13">
        <v>59</v>
      </c>
      <c r="R747" s="13">
        <v>59</v>
      </c>
      <c r="S747" s="13">
        <v>59</v>
      </c>
      <c r="T747" s="13">
        <v>59</v>
      </c>
      <c r="U747" s="13">
        <v>59</v>
      </c>
      <c r="V747" s="13">
        <v>59</v>
      </c>
      <c r="W747" s="13">
        <v>59</v>
      </c>
    </row>
    <row r="748" spans="1:23" ht="12.75">
      <c r="A748" s="257" t="s">
        <v>136</v>
      </c>
      <c r="B748" s="13">
        <v>136</v>
      </c>
      <c r="C748" s="13">
        <v>136</v>
      </c>
      <c r="D748" s="13">
        <v>136</v>
      </c>
      <c r="E748" s="13">
        <v>124</v>
      </c>
      <c r="F748" s="13">
        <v>114</v>
      </c>
      <c r="G748" s="13">
        <v>102</v>
      </c>
      <c r="H748" s="13">
        <v>91</v>
      </c>
      <c r="I748" s="13">
        <v>67</v>
      </c>
      <c r="J748" s="13">
        <v>62</v>
      </c>
      <c r="K748" s="13">
        <v>59</v>
      </c>
      <c r="L748" s="13">
        <v>59</v>
      </c>
      <c r="M748" s="13">
        <v>59</v>
      </c>
      <c r="N748" s="13">
        <v>59</v>
      </c>
      <c r="O748" s="13">
        <v>59</v>
      </c>
      <c r="P748" s="13">
        <v>59</v>
      </c>
      <c r="Q748" s="13">
        <v>59</v>
      </c>
      <c r="R748" s="13">
        <v>59</v>
      </c>
      <c r="S748" s="13">
        <v>59</v>
      </c>
      <c r="T748" s="13">
        <v>59</v>
      </c>
      <c r="U748" s="13">
        <v>59</v>
      </c>
      <c r="V748" s="13">
        <v>59</v>
      </c>
      <c r="W748" s="13">
        <v>59</v>
      </c>
    </row>
    <row r="749" spans="1:23" ht="12.75">
      <c r="A749" s="261" t="s">
        <v>139</v>
      </c>
      <c r="B749" s="58">
        <v>128</v>
      </c>
      <c r="C749" s="58">
        <v>128</v>
      </c>
      <c r="D749" s="58">
        <v>128</v>
      </c>
      <c r="E749" s="58">
        <v>118</v>
      </c>
      <c r="F749" s="58">
        <v>107</v>
      </c>
      <c r="G749" s="58">
        <v>96</v>
      </c>
      <c r="H749" s="58">
        <v>85</v>
      </c>
      <c r="I749" s="58">
        <v>63</v>
      </c>
      <c r="J749" s="58">
        <v>59</v>
      </c>
      <c r="K749" s="58">
        <v>55</v>
      </c>
      <c r="L749" s="58">
        <v>55</v>
      </c>
      <c r="M749" s="58">
        <v>55</v>
      </c>
      <c r="N749" s="58">
        <v>55</v>
      </c>
      <c r="O749" s="58">
        <v>55</v>
      </c>
      <c r="P749" s="58">
        <v>55</v>
      </c>
      <c r="Q749" s="58">
        <v>55</v>
      </c>
      <c r="R749" s="58">
        <v>55</v>
      </c>
      <c r="S749" s="58">
        <v>55</v>
      </c>
      <c r="T749" s="58">
        <v>55</v>
      </c>
      <c r="U749" s="58">
        <v>55</v>
      </c>
      <c r="V749" s="58">
        <v>55</v>
      </c>
      <c r="W749" s="58">
        <v>55</v>
      </c>
    </row>
    <row r="750" spans="1:23" ht="12.75">
      <c r="A750" s="109" t="s">
        <v>142</v>
      </c>
      <c r="B750" s="58">
        <v>123</v>
      </c>
      <c r="C750" s="58">
        <v>123</v>
      </c>
      <c r="D750" s="58">
        <v>123</v>
      </c>
      <c r="E750" s="58">
        <v>113</v>
      </c>
      <c r="F750" s="58">
        <v>102</v>
      </c>
      <c r="G750" s="58">
        <v>92</v>
      </c>
      <c r="H750" s="58">
        <v>81</v>
      </c>
      <c r="I750" s="58">
        <v>61</v>
      </c>
      <c r="J750" s="58">
        <v>57</v>
      </c>
      <c r="K750" s="58">
        <v>53</v>
      </c>
      <c r="L750" s="58">
        <v>53</v>
      </c>
      <c r="M750" s="58">
        <v>53</v>
      </c>
      <c r="N750" s="58">
        <v>53</v>
      </c>
      <c r="O750" s="58">
        <v>53</v>
      </c>
      <c r="P750" s="58">
        <v>53</v>
      </c>
      <c r="Q750" s="58">
        <v>53</v>
      </c>
      <c r="R750" s="58">
        <v>53</v>
      </c>
      <c r="S750" s="58">
        <v>53</v>
      </c>
      <c r="T750" s="58">
        <v>53</v>
      </c>
      <c r="U750" s="58">
        <v>53</v>
      </c>
      <c r="V750" s="58">
        <v>53</v>
      </c>
      <c r="W750" s="58">
        <v>53</v>
      </c>
    </row>
    <row r="751" spans="1:23" ht="12.75">
      <c r="A751" s="109" t="s">
        <v>145</v>
      </c>
      <c r="B751" s="58">
        <v>116</v>
      </c>
      <c r="C751" s="58">
        <v>116</v>
      </c>
      <c r="D751" s="58">
        <v>116</v>
      </c>
      <c r="E751" s="58">
        <v>107</v>
      </c>
      <c r="F751" s="58">
        <v>97</v>
      </c>
      <c r="G751" s="58">
        <v>87</v>
      </c>
      <c r="H751" s="58">
        <v>78</v>
      </c>
      <c r="I751" s="58">
        <v>57</v>
      </c>
      <c r="J751" s="58">
        <v>53</v>
      </c>
      <c r="K751" s="58">
        <v>50</v>
      </c>
      <c r="L751" s="58">
        <v>50</v>
      </c>
      <c r="M751" s="58">
        <v>50</v>
      </c>
      <c r="N751" s="58">
        <v>50</v>
      </c>
      <c r="O751" s="58">
        <v>50</v>
      </c>
      <c r="P751" s="58">
        <v>50</v>
      </c>
      <c r="Q751" s="58">
        <v>50</v>
      </c>
      <c r="R751" s="58">
        <v>50</v>
      </c>
      <c r="S751" s="58">
        <v>50</v>
      </c>
      <c r="T751" s="58">
        <v>50</v>
      </c>
      <c r="U751" s="58">
        <v>50</v>
      </c>
      <c r="V751" s="58">
        <v>50</v>
      </c>
      <c r="W751" s="58">
        <v>50</v>
      </c>
    </row>
    <row r="752" spans="1:23" ht="12.75">
      <c r="A752" s="262" t="s">
        <v>147</v>
      </c>
      <c r="B752" s="58">
        <v>114</v>
      </c>
      <c r="C752" s="58">
        <v>114</v>
      </c>
      <c r="D752" s="58">
        <v>114</v>
      </c>
      <c r="E752" s="58">
        <v>104</v>
      </c>
      <c r="F752" s="58">
        <v>94</v>
      </c>
      <c r="G752" s="58">
        <v>85</v>
      </c>
      <c r="H752" s="58">
        <v>75</v>
      </c>
      <c r="I752" s="58">
        <v>55</v>
      </c>
      <c r="J752" s="58">
        <v>53</v>
      </c>
      <c r="K752" s="58">
        <v>49</v>
      </c>
      <c r="L752" s="58">
        <v>49</v>
      </c>
      <c r="M752" s="58">
        <v>49</v>
      </c>
      <c r="N752" s="58">
        <v>49</v>
      </c>
      <c r="O752" s="58">
        <v>49</v>
      </c>
      <c r="P752" s="58">
        <v>49</v>
      </c>
      <c r="Q752" s="58">
        <v>49</v>
      </c>
      <c r="R752" s="58">
        <v>49</v>
      </c>
      <c r="S752" s="58">
        <v>49</v>
      </c>
      <c r="T752" s="58">
        <v>49</v>
      </c>
      <c r="U752" s="58">
        <v>49</v>
      </c>
      <c r="V752" s="58">
        <v>49</v>
      </c>
      <c r="W752" s="58">
        <v>49</v>
      </c>
    </row>
    <row r="753" spans="1:23" ht="12.75">
      <c r="A753" s="262" t="s">
        <v>149</v>
      </c>
      <c r="B753" s="58">
        <v>107</v>
      </c>
      <c r="C753" s="58">
        <v>107</v>
      </c>
      <c r="D753" s="58">
        <v>107</v>
      </c>
      <c r="E753" s="58">
        <v>98</v>
      </c>
      <c r="F753" s="58">
        <v>89</v>
      </c>
      <c r="G753" s="58">
        <v>80</v>
      </c>
      <c r="H753" s="58">
        <v>71</v>
      </c>
      <c r="I753" s="58">
        <v>53</v>
      </c>
      <c r="J753" s="58">
        <v>49</v>
      </c>
      <c r="K753" s="58">
        <v>46</v>
      </c>
      <c r="L753" s="58">
        <v>46</v>
      </c>
      <c r="M753" s="58">
        <v>46</v>
      </c>
      <c r="N753" s="58">
        <v>46</v>
      </c>
      <c r="O753" s="58">
        <v>46</v>
      </c>
      <c r="P753" s="58">
        <v>46</v>
      </c>
      <c r="Q753" s="58">
        <v>46</v>
      </c>
      <c r="R753" s="58">
        <v>46</v>
      </c>
      <c r="S753" s="58">
        <v>46</v>
      </c>
      <c r="T753" s="58">
        <v>46</v>
      </c>
      <c r="U753" s="58">
        <v>46</v>
      </c>
      <c r="V753" s="58">
        <v>46</v>
      </c>
      <c r="W753" s="58">
        <v>46</v>
      </c>
    </row>
    <row r="754" spans="1:23" ht="12.75">
      <c r="A754" s="5"/>
      <c r="B754" s="2" t="b">
        <f t="array" aca="1" ref="B754" ca="1">IF(COUNTA(B747:B748)=COUNTA(UNIQUE(B747:B748)), "no duplicate numbers")</f>
        <v>0</v>
      </c>
      <c r="F754" s="13"/>
    </row>
    <row r="755" spans="1:23" ht="12.75">
      <c r="A755" s="253" t="s">
        <v>119</v>
      </c>
      <c r="E755" s="2">
        <f t="array" ref="E755:W761">E747:W753/D747:D753</f>
        <v>0.91970802919708028</v>
      </c>
      <c r="F755" s="2">
        <v>0.83211678832116787</v>
      </c>
      <c r="G755" s="2">
        <v>0.74452554744525545</v>
      </c>
      <c r="H755" s="2">
        <v>0.66423357664233573</v>
      </c>
      <c r="I755" s="2">
        <v>0.48905109489051096</v>
      </c>
      <c r="J755" s="2">
        <v>0.45985401459854014</v>
      </c>
      <c r="K755" s="2">
        <v>0.43065693430656932</v>
      </c>
      <c r="L755" s="2">
        <v>0.43065693430656932</v>
      </c>
      <c r="M755" s="2">
        <v>0.43065693430656932</v>
      </c>
      <c r="N755" s="2">
        <v>0.43065693430656932</v>
      </c>
      <c r="O755" s="2">
        <v>0.43065693430656932</v>
      </c>
      <c r="P755" s="2">
        <v>0.43065693430656932</v>
      </c>
      <c r="Q755" s="2">
        <v>0.43065693430656932</v>
      </c>
      <c r="R755" s="2">
        <v>0.43065693430656932</v>
      </c>
      <c r="S755" s="2">
        <v>0.43065693430656932</v>
      </c>
      <c r="T755" s="2">
        <v>0.43065693430656932</v>
      </c>
      <c r="U755" s="2">
        <v>0.43065693430656932</v>
      </c>
      <c r="V755" s="2">
        <v>0.43065693430656932</v>
      </c>
      <c r="W755" s="2">
        <v>0.43065693430656932</v>
      </c>
    </row>
    <row r="756" spans="1:23" ht="12.75">
      <c r="A756" s="257" t="s">
        <v>136</v>
      </c>
      <c r="E756" s="2">
        <v>0.91176470588235292</v>
      </c>
      <c r="F756" s="2">
        <v>0.83823529411764708</v>
      </c>
      <c r="G756" s="2">
        <v>0.75</v>
      </c>
      <c r="H756" s="2">
        <v>0.66911764705882348</v>
      </c>
      <c r="I756" s="2">
        <v>0.49264705882352944</v>
      </c>
      <c r="J756" s="2">
        <v>0.45588235294117646</v>
      </c>
      <c r="K756" s="2">
        <v>0.43382352941176472</v>
      </c>
      <c r="L756" s="2">
        <v>0.43382352941176472</v>
      </c>
      <c r="M756" s="2">
        <v>0.43382352941176472</v>
      </c>
      <c r="N756" s="2">
        <v>0.43382352941176472</v>
      </c>
      <c r="O756" s="2">
        <v>0.43382352941176472</v>
      </c>
      <c r="P756" s="2">
        <v>0.43382352941176472</v>
      </c>
      <c r="Q756" s="2">
        <v>0.43382352941176472</v>
      </c>
      <c r="R756" s="2">
        <v>0.43382352941176472</v>
      </c>
      <c r="S756" s="2">
        <v>0.43382352941176472</v>
      </c>
      <c r="T756" s="2">
        <v>0.43382352941176472</v>
      </c>
      <c r="U756" s="2">
        <v>0.43382352941176472</v>
      </c>
      <c r="V756" s="2">
        <v>0.43382352941176472</v>
      </c>
      <c r="W756" s="2">
        <v>0.43382352941176472</v>
      </c>
    </row>
    <row r="757" spans="1:23" ht="12.75">
      <c r="A757" s="261" t="s">
        <v>139</v>
      </c>
      <c r="E757" s="2">
        <v>0.921875</v>
      </c>
      <c r="F757" s="2">
        <v>0.8359375</v>
      </c>
      <c r="G757" s="2">
        <v>0.75</v>
      </c>
      <c r="H757" s="2">
        <v>0.6640625</v>
      </c>
      <c r="I757" s="2">
        <v>0.4921875</v>
      </c>
      <c r="J757" s="2">
        <v>0.4609375</v>
      </c>
      <c r="K757" s="2">
        <v>0.4296875</v>
      </c>
      <c r="L757" s="2">
        <v>0.4296875</v>
      </c>
      <c r="M757" s="2">
        <v>0.4296875</v>
      </c>
      <c r="N757" s="2">
        <v>0.4296875</v>
      </c>
      <c r="O757" s="2">
        <v>0.4296875</v>
      </c>
      <c r="P757" s="2">
        <v>0.4296875</v>
      </c>
      <c r="Q757" s="2">
        <v>0.4296875</v>
      </c>
      <c r="R757" s="2">
        <v>0.4296875</v>
      </c>
      <c r="S757" s="2">
        <v>0.4296875</v>
      </c>
      <c r="T757" s="2">
        <v>0.4296875</v>
      </c>
      <c r="U757" s="2">
        <v>0.4296875</v>
      </c>
      <c r="V757" s="2">
        <v>0.4296875</v>
      </c>
      <c r="W757" s="2">
        <v>0.4296875</v>
      </c>
    </row>
    <row r="758" spans="1:23" ht="12.75">
      <c r="A758" s="109" t="s">
        <v>142</v>
      </c>
      <c r="E758" s="2">
        <v>0.91869918699186992</v>
      </c>
      <c r="F758" s="2">
        <v>0.82926829268292679</v>
      </c>
      <c r="G758" s="2">
        <v>0.74796747967479671</v>
      </c>
      <c r="H758" s="2">
        <v>0.65853658536585369</v>
      </c>
      <c r="I758" s="2">
        <v>0.49593495934959347</v>
      </c>
      <c r="J758" s="2">
        <v>0.46341463414634149</v>
      </c>
      <c r="K758" s="2">
        <v>0.43089430894308944</v>
      </c>
      <c r="L758" s="2">
        <v>0.43089430894308944</v>
      </c>
      <c r="M758" s="2">
        <v>0.43089430894308944</v>
      </c>
      <c r="N758" s="2">
        <v>0.43089430894308944</v>
      </c>
      <c r="O758" s="2">
        <v>0.43089430894308944</v>
      </c>
      <c r="P758" s="2">
        <v>0.43089430894308944</v>
      </c>
      <c r="Q758" s="2">
        <v>0.43089430894308944</v>
      </c>
      <c r="R758" s="2">
        <v>0.43089430894308944</v>
      </c>
      <c r="S758" s="2">
        <v>0.43089430894308944</v>
      </c>
      <c r="T758" s="2">
        <v>0.43089430894308944</v>
      </c>
      <c r="U758" s="2">
        <v>0.43089430894308944</v>
      </c>
      <c r="V758" s="2">
        <v>0.43089430894308944</v>
      </c>
      <c r="W758" s="2">
        <v>0.43089430894308944</v>
      </c>
    </row>
    <row r="759" spans="1:23" ht="12.75">
      <c r="A759" s="109" t="s">
        <v>145</v>
      </c>
      <c r="E759" s="2">
        <v>0.92241379310344829</v>
      </c>
      <c r="F759" s="2">
        <v>0.83620689655172409</v>
      </c>
      <c r="G759" s="2">
        <v>0.75</v>
      </c>
      <c r="H759" s="2">
        <v>0.67241379310344829</v>
      </c>
      <c r="I759" s="2">
        <v>0.49137931034482757</v>
      </c>
      <c r="J759" s="2">
        <v>0.45689655172413796</v>
      </c>
      <c r="K759" s="2">
        <v>0.43103448275862066</v>
      </c>
      <c r="L759" s="2">
        <v>0.43103448275862066</v>
      </c>
      <c r="M759" s="2">
        <v>0.43103448275862066</v>
      </c>
      <c r="N759" s="2">
        <v>0.43103448275862066</v>
      </c>
      <c r="O759" s="2">
        <v>0.43103448275862066</v>
      </c>
      <c r="P759" s="2">
        <v>0.43103448275862066</v>
      </c>
      <c r="Q759" s="2">
        <v>0.43103448275862066</v>
      </c>
      <c r="R759" s="2">
        <v>0.43103448275862066</v>
      </c>
      <c r="S759" s="2">
        <v>0.43103448275862066</v>
      </c>
      <c r="T759" s="2">
        <v>0.43103448275862066</v>
      </c>
      <c r="U759" s="2">
        <v>0.43103448275862066</v>
      </c>
      <c r="V759" s="2">
        <v>0.43103448275862066</v>
      </c>
      <c r="W759" s="2">
        <v>0.43103448275862066</v>
      </c>
    </row>
    <row r="760" spans="1:23" ht="12.75">
      <c r="A760" s="262" t="s">
        <v>147</v>
      </c>
      <c r="E760" s="2">
        <v>0.91228070175438591</v>
      </c>
      <c r="F760" s="2">
        <v>0.82456140350877194</v>
      </c>
      <c r="G760" s="2">
        <v>0.74561403508771928</v>
      </c>
      <c r="H760" s="2">
        <v>0.65789473684210531</v>
      </c>
      <c r="I760" s="2">
        <v>0.48245614035087719</v>
      </c>
      <c r="J760" s="2">
        <v>0.46491228070175439</v>
      </c>
      <c r="K760" s="2">
        <v>0.42982456140350878</v>
      </c>
      <c r="L760" s="2">
        <v>0.42982456140350878</v>
      </c>
      <c r="M760" s="2">
        <v>0.42982456140350878</v>
      </c>
      <c r="N760" s="2">
        <v>0.42982456140350878</v>
      </c>
      <c r="O760" s="2">
        <v>0.42982456140350878</v>
      </c>
      <c r="P760" s="2">
        <v>0.42982456140350878</v>
      </c>
      <c r="Q760" s="2">
        <v>0.42982456140350878</v>
      </c>
      <c r="R760" s="2">
        <v>0.42982456140350878</v>
      </c>
      <c r="S760" s="2">
        <v>0.42982456140350878</v>
      </c>
      <c r="T760" s="2">
        <v>0.42982456140350878</v>
      </c>
      <c r="U760" s="2">
        <v>0.42982456140350878</v>
      </c>
      <c r="V760" s="2">
        <v>0.42982456140350878</v>
      </c>
      <c r="W760" s="2">
        <v>0.42982456140350878</v>
      </c>
    </row>
    <row r="761" spans="1:23" ht="12.75">
      <c r="A761" s="262" t="s">
        <v>149</v>
      </c>
      <c r="E761" s="2">
        <v>0.91588785046728971</v>
      </c>
      <c r="F761" s="2">
        <v>0.83177570093457942</v>
      </c>
      <c r="G761" s="2">
        <v>0.74766355140186913</v>
      </c>
      <c r="H761" s="2">
        <v>0.66355140186915884</v>
      </c>
      <c r="I761" s="2">
        <v>0.49532710280373832</v>
      </c>
      <c r="J761" s="2">
        <v>0.45794392523364486</v>
      </c>
      <c r="K761" s="2">
        <v>0.42990654205607476</v>
      </c>
      <c r="L761" s="2">
        <v>0.42990654205607476</v>
      </c>
      <c r="M761" s="2">
        <v>0.42990654205607476</v>
      </c>
      <c r="N761" s="2">
        <v>0.42990654205607476</v>
      </c>
      <c r="O761" s="2">
        <v>0.42990654205607476</v>
      </c>
      <c r="P761" s="2">
        <v>0.42990654205607476</v>
      </c>
      <c r="Q761" s="2">
        <v>0.42990654205607476</v>
      </c>
      <c r="R761" s="2">
        <v>0.42990654205607476</v>
      </c>
      <c r="S761" s="2">
        <v>0.42990654205607476</v>
      </c>
      <c r="T761" s="2">
        <v>0.42990654205607476</v>
      </c>
      <c r="U761" s="2">
        <v>0.42990654205607476</v>
      </c>
      <c r="V761" s="2">
        <v>0.42990654205607476</v>
      </c>
      <c r="W761" s="2">
        <v>0.42990654205607476</v>
      </c>
    </row>
    <row r="762" spans="1:23" ht="15">
      <c r="A762" s="5"/>
      <c r="B762" s="15" t="s">
        <v>24</v>
      </c>
      <c r="C762" s="15" t="s">
        <v>25</v>
      </c>
      <c r="D762" s="15" t="s">
        <v>26</v>
      </c>
      <c r="E762" s="15" t="s">
        <v>27</v>
      </c>
      <c r="F762" s="43" t="s">
        <v>28</v>
      </c>
      <c r="G762" s="43" t="s">
        <v>74</v>
      </c>
      <c r="H762" s="43" t="s">
        <v>75</v>
      </c>
      <c r="I762" s="43" t="s">
        <v>76</v>
      </c>
      <c r="J762" s="43" t="s">
        <v>77</v>
      </c>
      <c r="K762" s="43" t="s">
        <v>78</v>
      </c>
      <c r="L762" s="43" t="s">
        <v>79</v>
      </c>
      <c r="M762" s="43" t="s">
        <v>80</v>
      </c>
      <c r="N762" s="15" t="s">
        <v>81</v>
      </c>
      <c r="O762" s="15" t="s">
        <v>82</v>
      </c>
      <c r="P762" s="15" t="s">
        <v>83</v>
      </c>
      <c r="Q762" s="15" t="s">
        <v>84</v>
      </c>
      <c r="R762" s="15" t="s">
        <v>85</v>
      </c>
      <c r="S762" s="15" t="s">
        <v>86</v>
      </c>
      <c r="T762" s="15" t="s">
        <v>87</v>
      </c>
      <c r="U762" s="15" t="s">
        <v>88</v>
      </c>
      <c r="V762" s="15" t="s">
        <v>89</v>
      </c>
      <c r="W762" s="15" t="s">
        <v>90</v>
      </c>
    </row>
    <row r="763" spans="1:23" ht="12.75">
      <c r="A763" s="42" t="s">
        <v>5</v>
      </c>
      <c r="B763" s="18">
        <v>1</v>
      </c>
      <c r="C763" s="18">
        <v>1</v>
      </c>
      <c r="D763" s="18">
        <v>1</v>
      </c>
      <c r="E763" s="18">
        <v>1</v>
      </c>
      <c r="F763" s="19">
        <v>1</v>
      </c>
      <c r="G763" s="20">
        <f t="shared" ref="G763:W763" si="29">AVERAGE(G774:G782)</f>
        <v>0.95958295232663915</v>
      </c>
      <c r="H763" s="20">
        <f t="shared" si="29"/>
        <v>0.9218692109166895</v>
      </c>
      <c r="I763" s="20">
        <f t="shared" si="29"/>
        <v>0.8454252066822312</v>
      </c>
      <c r="J763" s="20">
        <f t="shared" si="29"/>
        <v>0.76889257848744907</v>
      </c>
      <c r="K763" s="20">
        <f t="shared" si="29"/>
        <v>0.69485218104256263</v>
      </c>
      <c r="L763" s="20">
        <f t="shared" si="29"/>
        <v>0.61681204204990214</v>
      </c>
      <c r="M763" s="20">
        <f t="shared" si="29"/>
        <v>0.60767395568370086</v>
      </c>
      <c r="N763" s="20">
        <f t="shared" si="29"/>
        <v>0.59704536346900394</v>
      </c>
      <c r="O763" s="20">
        <f t="shared" si="29"/>
        <v>0.58883852739528786</v>
      </c>
      <c r="P763" s="20">
        <f t="shared" si="29"/>
        <v>0.58145778050572428</v>
      </c>
      <c r="Q763" s="20">
        <f t="shared" si="29"/>
        <v>0.57243809256075573</v>
      </c>
      <c r="R763" s="20">
        <f t="shared" si="29"/>
        <v>0.56418691413286859</v>
      </c>
      <c r="S763" s="20">
        <f t="shared" si="29"/>
        <v>0.55756379836729331</v>
      </c>
      <c r="T763" s="20">
        <f t="shared" si="29"/>
        <v>0.54765131115769661</v>
      </c>
      <c r="U763" s="20">
        <f t="shared" si="29"/>
        <v>0.54114494877738606</v>
      </c>
      <c r="V763" s="20">
        <f t="shared" si="29"/>
        <v>0.53040736786309639</v>
      </c>
      <c r="W763" s="20">
        <f t="shared" si="29"/>
        <v>0.52388362878497707</v>
      </c>
    </row>
    <row r="764" spans="1:23" ht="12.75">
      <c r="A764" s="246" t="s">
        <v>46</v>
      </c>
      <c r="B764" s="13">
        <v>149</v>
      </c>
      <c r="C764" s="13">
        <v>149</v>
      </c>
      <c r="D764" s="13">
        <v>149</v>
      </c>
      <c r="E764" s="13">
        <v>149</v>
      </c>
      <c r="F764" s="13">
        <v>149</v>
      </c>
      <c r="G764" s="13">
        <v>144</v>
      </c>
      <c r="H764" s="13">
        <v>137</v>
      </c>
      <c r="I764" s="13">
        <v>126</v>
      </c>
      <c r="J764" s="13">
        <v>115</v>
      </c>
      <c r="K764" s="13">
        <v>104</v>
      </c>
      <c r="L764" s="13">
        <v>92</v>
      </c>
      <c r="M764" s="13">
        <v>91</v>
      </c>
      <c r="N764" s="13">
        <v>89</v>
      </c>
      <c r="O764" s="13">
        <v>88</v>
      </c>
      <c r="P764" s="13">
        <v>87</v>
      </c>
      <c r="Q764" s="13">
        <v>85</v>
      </c>
      <c r="R764" s="13">
        <v>84</v>
      </c>
      <c r="S764" s="13">
        <v>83</v>
      </c>
      <c r="T764" s="13">
        <v>81</v>
      </c>
      <c r="U764" s="13">
        <v>80</v>
      </c>
      <c r="V764" s="13">
        <v>79</v>
      </c>
      <c r="W764" s="13">
        <v>78</v>
      </c>
    </row>
    <row r="765" spans="1:23" ht="12.75">
      <c r="A765" s="246" t="s">
        <v>49</v>
      </c>
      <c r="B765" s="13">
        <v>143</v>
      </c>
      <c r="C765" s="13">
        <v>143</v>
      </c>
      <c r="D765" s="13">
        <v>143</v>
      </c>
      <c r="E765" s="13">
        <v>143</v>
      </c>
      <c r="F765" s="13">
        <v>143</v>
      </c>
      <c r="G765" s="13">
        <v>137</v>
      </c>
      <c r="H765" s="13">
        <v>132</v>
      </c>
      <c r="I765" s="13">
        <v>120</v>
      </c>
      <c r="J765" s="13">
        <v>110</v>
      </c>
      <c r="K765" s="13">
        <v>100</v>
      </c>
      <c r="L765" s="13">
        <v>88</v>
      </c>
      <c r="M765" s="13">
        <v>87</v>
      </c>
      <c r="N765" s="13">
        <v>85</v>
      </c>
      <c r="O765" s="13">
        <v>84</v>
      </c>
      <c r="P765" s="13">
        <v>83</v>
      </c>
      <c r="Q765" s="13">
        <v>81</v>
      </c>
      <c r="R765" s="13">
        <v>80</v>
      </c>
      <c r="S765" s="13">
        <v>79</v>
      </c>
      <c r="T765" s="13">
        <v>79</v>
      </c>
      <c r="U765" s="13">
        <v>78</v>
      </c>
      <c r="V765" s="13">
        <v>76</v>
      </c>
      <c r="W765" s="13">
        <v>75</v>
      </c>
    </row>
    <row r="766" spans="1:23" ht="12.75">
      <c r="A766" s="246" t="s">
        <v>324</v>
      </c>
      <c r="B766" s="13">
        <v>139</v>
      </c>
      <c r="C766" s="13">
        <v>139</v>
      </c>
      <c r="D766" s="13">
        <v>139</v>
      </c>
      <c r="E766" s="13">
        <v>139</v>
      </c>
      <c r="F766" s="13">
        <v>139</v>
      </c>
      <c r="G766" s="13">
        <v>133</v>
      </c>
      <c r="H766" s="13">
        <v>128</v>
      </c>
      <c r="I766" s="13">
        <v>118</v>
      </c>
      <c r="J766" s="13">
        <v>106</v>
      </c>
      <c r="K766" s="13">
        <v>96</v>
      </c>
      <c r="L766" s="13">
        <v>85</v>
      </c>
      <c r="M766" s="13">
        <v>84</v>
      </c>
      <c r="N766" s="13">
        <v>83</v>
      </c>
      <c r="O766" s="13">
        <v>81</v>
      </c>
      <c r="P766" s="13">
        <v>80</v>
      </c>
      <c r="Q766" s="13">
        <v>80</v>
      </c>
      <c r="R766" s="13">
        <v>79</v>
      </c>
      <c r="S766" s="13">
        <v>78</v>
      </c>
      <c r="T766" s="13">
        <v>76</v>
      </c>
      <c r="U766" s="13">
        <v>75</v>
      </c>
      <c r="V766" s="13">
        <v>74</v>
      </c>
      <c r="W766" s="13">
        <v>72</v>
      </c>
    </row>
    <row r="767" spans="1:23" ht="12.75">
      <c r="A767" s="260" t="s">
        <v>325</v>
      </c>
      <c r="B767" s="13">
        <v>136</v>
      </c>
      <c r="C767" s="13">
        <v>136</v>
      </c>
      <c r="D767" s="13">
        <v>136</v>
      </c>
      <c r="E767" s="13">
        <v>136</v>
      </c>
      <c r="F767" s="13">
        <v>136</v>
      </c>
      <c r="G767" s="13">
        <v>131</v>
      </c>
      <c r="H767" s="13">
        <v>126</v>
      </c>
      <c r="I767" s="13">
        <v>115</v>
      </c>
      <c r="J767" s="13">
        <v>105</v>
      </c>
      <c r="K767" s="13">
        <v>94</v>
      </c>
      <c r="L767" s="13">
        <v>84</v>
      </c>
      <c r="M767" s="13">
        <v>83</v>
      </c>
      <c r="N767" s="13">
        <v>81</v>
      </c>
      <c r="O767" s="13">
        <v>80</v>
      </c>
      <c r="P767" s="13">
        <v>79</v>
      </c>
      <c r="Q767" s="13">
        <v>78</v>
      </c>
      <c r="R767" s="13">
        <v>76</v>
      </c>
      <c r="S767" s="13">
        <v>76</v>
      </c>
      <c r="T767" s="13">
        <v>75</v>
      </c>
      <c r="U767" s="13">
        <v>74</v>
      </c>
      <c r="V767" s="13">
        <v>72</v>
      </c>
      <c r="W767" s="13">
        <v>71</v>
      </c>
    </row>
    <row r="768" spans="1:23" ht="12.75">
      <c r="A768" s="263" t="s">
        <v>58</v>
      </c>
      <c r="B768" s="58">
        <v>133</v>
      </c>
      <c r="C768" s="58">
        <v>133</v>
      </c>
      <c r="D768" s="58">
        <v>133</v>
      </c>
      <c r="E768" s="58">
        <v>133</v>
      </c>
      <c r="F768" s="58">
        <v>133</v>
      </c>
      <c r="G768" s="58">
        <v>128</v>
      </c>
      <c r="H768" s="58">
        <v>123</v>
      </c>
      <c r="I768" s="58">
        <v>113</v>
      </c>
      <c r="J768" s="58">
        <v>102</v>
      </c>
      <c r="K768" s="58">
        <v>93</v>
      </c>
      <c r="L768" s="58">
        <v>83</v>
      </c>
      <c r="M768" s="58">
        <v>81</v>
      </c>
      <c r="N768" s="58">
        <v>80</v>
      </c>
      <c r="O768" s="58">
        <v>79</v>
      </c>
      <c r="P768" s="58">
        <v>78</v>
      </c>
      <c r="Q768" s="58">
        <v>76</v>
      </c>
      <c r="R768" s="58">
        <v>75</v>
      </c>
      <c r="S768" s="58">
        <v>75</v>
      </c>
      <c r="T768" s="58">
        <v>74</v>
      </c>
      <c r="U768" s="58">
        <v>72</v>
      </c>
      <c r="V768" s="58">
        <v>71</v>
      </c>
      <c r="W768" s="58">
        <v>70</v>
      </c>
    </row>
    <row r="769" spans="1:24" ht="12.75">
      <c r="A769" s="246" t="s">
        <v>61</v>
      </c>
      <c r="B769" s="13">
        <v>132</v>
      </c>
      <c r="C769" s="13">
        <v>132</v>
      </c>
      <c r="D769" s="13">
        <v>132</v>
      </c>
      <c r="E769" s="13">
        <v>132</v>
      </c>
      <c r="F769" s="13">
        <v>132</v>
      </c>
      <c r="G769" s="13">
        <v>127</v>
      </c>
      <c r="H769" s="13">
        <v>122</v>
      </c>
      <c r="I769" s="13">
        <v>111</v>
      </c>
      <c r="J769" s="13">
        <v>102</v>
      </c>
      <c r="K769" s="13">
        <v>92</v>
      </c>
      <c r="L769" s="13">
        <v>81</v>
      </c>
      <c r="M769" s="13">
        <v>80</v>
      </c>
      <c r="N769" s="13">
        <v>79</v>
      </c>
      <c r="O769" s="13">
        <v>78</v>
      </c>
      <c r="P769" s="13">
        <v>76</v>
      </c>
      <c r="Q769" s="13">
        <v>76</v>
      </c>
      <c r="R769" s="13">
        <v>75</v>
      </c>
      <c r="S769" s="13">
        <v>74</v>
      </c>
      <c r="T769" s="13">
        <v>72</v>
      </c>
      <c r="U769" s="13">
        <v>71</v>
      </c>
      <c r="V769" s="13">
        <v>70</v>
      </c>
      <c r="W769" s="13">
        <v>70</v>
      </c>
    </row>
    <row r="770" spans="1:24" ht="12.75">
      <c r="A770" s="246" t="s">
        <v>326</v>
      </c>
      <c r="B770" s="13">
        <v>130</v>
      </c>
      <c r="C770" s="13">
        <v>130</v>
      </c>
      <c r="D770" s="13">
        <v>130</v>
      </c>
      <c r="E770" s="13">
        <v>130</v>
      </c>
      <c r="F770" s="13">
        <v>130</v>
      </c>
      <c r="G770" s="13">
        <v>124</v>
      </c>
      <c r="H770" s="13">
        <v>119</v>
      </c>
      <c r="I770" s="13">
        <v>110</v>
      </c>
      <c r="J770" s="13">
        <v>100</v>
      </c>
      <c r="K770" s="13">
        <v>89</v>
      </c>
      <c r="L770" s="13">
        <v>80</v>
      </c>
      <c r="M770" s="13">
        <v>79</v>
      </c>
      <c r="N770" s="13">
        <v>78</v>
      </c>
      <c r="O770" s="13">
        <v>76</v>
      </c>
      <c r="P770" s="13">
        <v>75</v>
      </c>
      <c r="Q770" s="13">
        <v>74</v>
      </c>
      <c r="R770" s="13">
        <v>74</v>
      </c>
      <c r="S770" s="13">
        <v>72</v>
      </c>
      <c r="T770" s="13">
        <v>71</v>
      </c>
      <c r="U770" s="13">
        <v>70</v>
      </c>
      <c r="V770" s="13">
        <v>68</v>
      </c>
      <c r="W770" s="13">
        <v>68</v>
      </c>
      <c r="X770" s="13" t="s">
        <v>420</v>
      </c>
    </row>
    <row r="771" spans="1:24" ht="12.75">
      <c r="A771" s="246" t="s">
        <v>66</v>
      </c>
      <c r="B771" s="13">
        <v>128</v>
      </c>
      <c r="C771" s="13">
        <v>128</v>
      </c>
      <c r="D771" s="13">
        <v>128</v>
      </c>
      <c r="E771" s="13">
        <v>128</v>
      </c>
      <c r="F771" s="13">
        <v>128</v>
      </c>
      <c r="G771" s="13">
        <v>123</v>
      </c>
      <c r="H771" s="13">
        <v>118</v>
      </c>
      <c r="I771" s="13">
        <v>109</v>
      </c>
      <c r="J771" s="13">
        <v>98</v>
      </c>
      <c r="K771" s="13">
        <v>89</v>
      </c>
      <c r="L771" s="13">
        <v>79</v>
      </c>
      <c r="M771" s="13">
        <v>78</v>
      </c>
      <c r="N771" s="13">
        <v>76</v>
      </c>
      <c r="O771" s="13">
        <v>76</v>
      </c>
      <c r="P771" s="13">
        <v>75</v>
      </c>
      <c r="Q771" s="13">
        <v>74</v>
      </c>
      <c r="R771" s="13">
        <v>72</v>
      </c>
      <c r="S771" s="13">
        <v>71</v>
      </c>
      <c r="T771" s="13">
        <v>70</v>
      </c>
      <c r="U771" s="13">
        <v>70</v>
      </c>
      <c r="V771" s="13">
        <v>68</v>
      </c>
      <c r="W771" s="13">
        <v>67</v>
      </c>
    </row>
    <row r="772" spans="1:24" ht="12.75">
      <c r="A772" s="246" t="s">
        <v>327</v>
      </c>
      <c r="B772" s="13">
        <v>126</v>
      </c>
      <c r="C772" s="13">
        <v>126</v>
      </c>
      <c r="D772" s="13">
        <v>126</v>
      </c>
      <c r="E772" s="13">
        <v>126</v>
      </c>
      <c r="F772" s="13">
        <v>126</v>
      </c>
      <c r="G772" s="13">
        <v>120</v>
      </c>
      <c r="H772" s="13">
        <v>116</v>
      </c>
      <c r="I772" s="13">
        <v>106</v>
      </c>
      <c r="J772" s="13">
        <v>97</v>
      </c>
      <c r="K772" s="13">
        <v>88</v>
      </c>
      <c r="L772" s="13">
        <v>78</v>
      </c>
      <c r="M772" s="13">
        <v>76</v>
      </c>
      <c r="N772" s="13">
        <v>75</v>
      </c>
      <c r="O772" s="13">
        <v>74</v>
      </c>
      <c r="P772" s="13">
        <v>74</v>
      </c>
      <c r="Q772" s="13">
        <v>72</v>
      </c>
      <c r="R772" s="13">
        <v>71</v>
      </c>
      <c r="S772" s="13">
        <v>70</v>
      </c>
      <c r="T772" s="13">
        <v>68</v>
      </c>
      <c r="U772" s="13">
        <v>68</v>
      </c>
      <c r="V772" s="13">
        <v>67</v>
      </c>
      <c r="W772" s="13">
        <v>66</v>
      </c>
    </row>
    <row r="773" spans="1:24" ht="12.75">
      <c r="A773" s="246"/>
      <c r="B773" s="2" t="b">
        <f t="array" aca="1" ref="B773" ca="1">IF(COUNTA(B766:B771)=COUNTA(UNIQUE(B766:B771)), "no duplicate numbers")</f>
        <v>0</v>
      </c>
    </row>
    <row r="774" spans="1:24" ht="12.75">
      <c r="A774" s="246" t="s">
        <v>46</v>
      </c>
      <c r="G774" s="2">
        <f t="array" ref="G774:W782">G764:W772/F764:F772</f>
        <v>0.96644295302013428</v>
      </c>
      <c r="H774" s="2">
        <v>0.91946308724832215</v>
      </c>
      <c r="I774" s="2">
        <v>0.84563758389261745</v>
      </c>
      <c r="J774" s="2">
        <v>0.77181208053691275</v>
      </c>
      <c r="K774" s="2">
        <v>0.69798657718120805</v>
      </c>
      <c r="L774" s="2">
        <v>0.6174496644295302</v>
      </c>
      <c r="M774" s="2">
        <v>0.61073825503355705</v>
      </c>
      <c r="N774" s="2">
        <v>0.59731543624161076</v>
      </c>
      <c r="O774" s="2">
        <v>0.59060402684563762</v>
      </c>
      <c r="P774" s="2">
        <v>0.58389261744966447</v>
      </c>
      <c r="Q774" s="2">
        <v>0.57046979865771807</v>
      </c>
      <c r="R774" s="2">
        <v>0.56375838926174493</v>
      </c>
      <c r="S774" s="2">
        <v>0.55704697986577179</v>
      </c>
      <c r="T774" s="2">
        <v>0.5436241610738255</v>
      </c>
      <c r="U774" s="2">
        <v>0.53691275167785235</v>
      </c>
      <c r="V774" s="2">
        <v>0.53020134228187921</v>
      </c>
      <c r="W774" s="2">
        <v>0.52348993288590606</v>
      </c>
    </row>
    <row r="775" spans="1:24" ht="12.75">
      <c r="A775" s="246" t="s">
        <v>49</v>
      </c>
      <c r="G775" s="2">
        <v>0.95804195804195802</v>
      </c>
      <c r="H775" s="2">
        <v>0.92307692307692313</v>
      </c>
      <c r="I775" s="2">
        <v>0.83916083916083917</v>
      </c>
      <c r="J775" s="2">
        <v>0.76923076923076927</v>
      </c>
      <c r="K775" s="2">
        <v>0.69930069930069927</v>
      </c>
      <c r="L775" s="2">
        <v>0.61538461538461542</v>
      </c>
      <c r="M775" s="2">
        <v>0.60839160839160844</v>
      </c>
      <c r="N775" s="2">
        <v>0.59440559440559437</v>
      </c>
      <c r="O775" s="2">
        <v>0.58741258741258739</v>
      </c>
      <c r="P775" s="2">
        <v>0.58041958041958042</v>
      </c>
      <c r="Q775" s="2">
        <v>0.56643356643356646</v>
      </c>
      <c r="R775" s="2">
        <v>0.55944055944055948</v>
      </c>
      <c r="S775" s="2">
        <v>0.55244755244755239</v>
      </c>
      <c r="T775" s="2">
        <v>0.55244755244755239</v>
      </c>
      <c r="U775" s="2">
        <v>0.54545454545454541</v>
      </c>
      <c r="V775" s="2">
        <v>0.53146853146853146</v>
      </c>
      <c r="W775" s="2">
        <v>0.52447552447552448</v>
      </c>
    </row>
    <row r="776" spans="1:24" ht="12.75">
      <c r="A776" s="246" t="s">
        <v>324</v>
      </c>
      <c r="G776" s="2">
        <v>0.95683453237410077</v>
      </c>
      <c r="H776" s="2">
        <v>0.92086330935251803</v>
      </c>
      <c r="I776" s="2">
        <v>0.84892086330935257</v>
      </c>
      <c r="J776" s="2">
        <v>0.76258992805755399</v>
      </c>
      <c r="K776" s="2">
        <v>0.69064748201438853</v>
      </c>
      <c r="L776" s="2">
        <v>0.61151079136690645</v>
      </c>
      <c r="M776" s="2">
        <v>0.60431654676258995</v>
      </c>
      <c r="N776" s="2">
        <v>0.59712230215827333</v>
      </c>
      <c r="O776" s="2">
        <v>0.58273381294964033</v>
      </c>
      <c r="P776" s="2">
        <v>0.57553956834532372</v>
      </c>
      <c r="Q776" s="2">
        <v>0.57553956834532372</v>
      </c>
      <c r="R776" s="2">
        <v>0.56834532374100721</v>
      </c>
      <c r="S776" s="2">
        <v>0.5611510791366906</v>
      </c>
      <c r="T776" s="2">
        <v>0.5467625899280576</v>
      </c>
      <c r="U776" s="2">
        <v>0.53956834532374098</v>
      </c>
      <c r="V776" s="2">
        <v>0.53237410071942448</v>
      </c>
      <c r="W776" s="2">
        <v>0.51798561151079137</v>
      </c>
    </row>
    <row r="777" spans="1:24" ht="12.75">
      <c r="A777" s="260" t="s">
        <v>325</v>
      </c>
      <c r="G777" s="2">
        <v>0.96323529411764708</v>
      </c>
      <c r="H777" s="2">
        <v>0.92647058823529416</v>
      </c>
      <c r="I777" s="2">
        <v>0.84558823529411764</v>
      </c>
      <c r="J777" s="2">
        <v>0.7720588235294118</v>
      </c>
      <c r="K777" s="2">
        <v>0.69117647058823528</v>
      </c>
      <c r="L777" s="2">
        <v>0.61764705882352944</v>
      </c>
      <c r="M777" s="2">
        <v>0.61029411764705888</v>
      </c>
      <c r="N777" s="2">
        <v>0.59558823529411764</v>
      </c>
      <c r="O777" s="2">
        <v>0.58823529411764708</v>
      </c>
      <c r="P777" s="2">
        <v>0.58088235294117652</v>
      </c>
      <c r="Q777" s="2">
        <v>0.57352941176470584</v>
      </c>
      <c r="R777" s="2">
        <v>0.55882352941176472</v>
      </c>
      <c r="S777" s="2">
        <v>0.55882352941176472</v>
      </c>
      <c r="T777" s="2">
        <v>0.55147058823529416</v>
      </c>
      <c r="U777" s="2">
        <v>0.54411764705882348</v>
      </c>
      <c r="V777" s="2">
        <v>0.52941176470588236</v>
      </c>
      <c r="W777" s="2">
        <v>0.5220588235294118</v>
      </c>
    </row>
    <row r="778" spans="1:24" ht="12.75">
      <c r="A778" s="263" t="s">
        <v>58</v>
      </c>
      <c r="G778" s="2">
        <v>0.96240601503759393</v>
      </c>
      <c r="H778" s="2">
        <v>0.92481203007518797</v>
      </c>
      <c r="I778" s="2">
        <v>0.84962406015037595</v>
      </c>
      <c r="J778" s="2">
        <v>0.76691729323308266</v>
      </c>
      <c r="K778" s="2">
        <v>0.6992481203007519</v>
      </c>
      <c r="L778" s="2">
        <v>0.62406015037593987</v>
      </c>
      <c r="M778" s="2">
        <v>0.60902255639097747</v>
      </c>
      <c r="N778" s="2">
        <v>0.60150375939849621</v>
      </c>
      <c r="O778" s="2">
        <v>0.59398496240601506</v>
      </c>
      <c r="P778" s="2">
        <v>0.5864661654135338</v>
      </c>
      <c r="Q778" s="2">
        <v>0.5714285714285714</v>
      </c>
      <c r="R778" s="2">
        <v>0.56390977443609025</v>
      </c>
      <c r="S778" s="2">
        <v>0.56390977443609025</v>
      </c>
      <c r="T778" s="2">
        <v>0.55639097744360899</v>
      </c>
      <c r="U778" s="2">
        <v>0.54135338345864659</v>
      </c>
      <c r="V778" s="2">
        <v>0.53383458646616544</v>
      </c>
      <c r="W778" s="2">
        <v>0.52631578947368418</v>
      </c>
    </row>
    <row r="779" spans="1:24" ht="12.75">
      <c r="A779" s="246" t="s">
        <v>61</v>
      </c>
      <c r="G779" s="2">
        <v>0.96212121212121215</v>
      </c>
      <c r="H779" s="2">
        <v>0.9242424242424242</v>
      </c>
      <c r="I779" s="2">
        <v>0.84090909090909094</v>
      </c>
      <c r="J779" s="2">
        <v>0.77272727272727271</v>
      </c>
      <c r="K779" s="2">
        <v>0.69696969696969702</v>
      </c>
      <c r="L779" s="2">
        <v>0.61363636363636365</v>
      </c>
      <c r="M779" s="2">
        <v>0.60606060606060608</v>
      </c>
      <c r="N779" s="2">
        <v>0.59848484848484851</v>
      </c>
      <c r="O779" s="2">
        <v>0.59090909090909094</v>
      </c>
      <c r="P779" s="2">
        <v>0.5757575757575758</v>
      </c>
      <c r="Q779" s="2">
        <v>0.5757575757575758</v>
      </c>
      <c r="R779" s="2">
        <v>0.56818181818181823</v>
      </c>
      <c r="S779" s="2">
        <v>0.56060606060606055</v>
      </c>
      <c r="T779" s="2">
        <v>0.54545454545454541</v>
      </c>
      <c r="U779" s="2">
        <v>0.53787878787878785</v>
      </c>
      <c r="V779" s="2">
        <v>0.53030303030303028</v>
      </c>
      <c r="W779" s="2">
        <v>0.53030303030303028</v>
      </c>
    </row>
    <row r="780" spans="1:24" ht="12.75">
      <c r="A780" s="246" t="s">
        <v>326</v>
      </c>
      <c r="G780" s="2">
        <v>0.9538461538461539</v>
      </c>
      <c r="H780" s="2">
        <v>0.91538461538461535</v>
      </c>
      <c r="I780" s="2">
        <v>0.84615384615384615</v>
      </c>
      <c r="J780" s="2">
        <v>0.76923076923076927</v>
      </c>
      <c r="K780" s="2">
        <v>0.68461538461538463</v>
      </c>
      <c r="L780" s="2">
        <v>0.61538461538461542</v>
      </c>
      <c r="M780" s="2">
        <v>0.60769230769230764</v>
      </c>
      <c r="N780" s="2">
        <v>0.6</v>
      </c>
      <c r="O780" s="2">
        <v>0.58461538461538465</v>
      </c>
      <c r="P780" s="2">
        <v>0.57692307692307687</v>
      </c>
      <c r="Q780" s="2">
        <v>0.56923076923076921</v>
      </c>
      <c r="R780" s="2">
        <v>0.56923076923076921</v>
      </c>
      <c r="S780" s="2">
        <v>0.55384615384615388</v>
      </c>
      <c r="T780" s="2">
        <v>0.5461538461538461</v>
      </c>
      <c r="U780" s="2">
        <v>0.53846153846153844</v>
      </c>
      <c r="V780" s="2">
        <v>0.52307692307692311</v>
      </c>
      <c r="W780" s="2">
        <v>0.52307692307692311</v>
      </c>
    </row>
    <row r="781" spans="1:24" ht="12.75">
      <c r="A781" s="246" t="s">
        <v>66</v>
      </c>
      <c r="G781" s="2">
        <v>0.9609375</v>
      </c>
      <c r="H781" s="2">
        <v>0.921875</v>
      </c>
      <c r="I781" s="2">
        <v>0.8515625</v>
      </c>
      <c r="J781" s="2">
        <v>0.765625</v>
      </c>
      <c r="K781" s="2">
        <v>0.6953125</v>
      </c>
      <c r="L781" s="2">
        <v>0.6171875</v>
      </c>
      <c r="M781" s="2">
        <v>0.609375</v>
      </c>
      <c r="N781" s="2">
        <v>0.59375</v>
      </c>
      <c r="O781" s="2">
        <v>0.59375</v>
      </c>
      <c r="P781" s="2">
        <v>0.5859375</v>
      </c>
      <c r="Q781" s="2">
        <v>0.578125</v>
      </c>
      <c r="R781" s="2">
        <v>0.5625</v>
      </c>
      <c r="S781" s="2">
        <v>0.5546875</v>
      </c>
      <c r="T781" s="2">
        <v>0.546875</v>
      </c>
      <c r="U781" s="2">
        <v>0.546875</v>
      </c>
      <c r="V781" s="2">
        <v>0.53125</v>
      </c>
      <c r="W781" s="2">
        <v>0.5234375</v>
      </c>
    </row>
    <row r="782" spans="1:24" ht="12.75">
      <c r="A782" s="246" t="s">
        <v>327</v>
      </c>
      <c r="G782" s="2">
        <v>0.95238095238095233</v>
      </c>
      <c r="H782" s="2">
        <v>0.92063492063492058</v>
      </c>
      <c r="I782" s="2">
        <v>0.84126984126984128</v>
      </c>
      <c r="J782" s="2">
        <v>0.76984126984126988</v>
      </c>
      <c r="K782" s="2">
        <v>0.69841269841269837</v>
      </c>
      <c r="L782" s="2">
        <v>0.61904761904761907</v>
      </c>
      <c r="M782" s="2">
        <v>0.60317460317460314</v>
      </c>
      <c r="N782" s="2">
        <v>0.59523809523809523</v>
      </c>
      <c r="O782" s="2">
        <v>0.58730158730158732</v>
      </c>
      <c r="P782" s="2">
        <v>0.58730158730158732</v>
      </c>
      <c r="Q782" s="2">
        <v>0.5714285714285714</v>
      </c>
      <c r="R782" s="2">
        <v>0.56349206349206349</v>
      </c>
      <c r="S782" s="2">
        <v>0.55555555555555558</v>
      </c>
      <c r="T782" s="2">
        <v>0.53968253968253965</v>
      </c>
      <c r="U782" s="2">
        <v>0.53968253968253965</v>
      </c>
      <c r="V782" s="2">
        <v>0.53174603174603174</v>
      </c>
      <c r="W782" s="2">
        <v>0.52380952380952384</v>
      </c>
    </row>
    <row r="783" spans="1:24" ht="15">
      <c r="A783" s="5"/>
      <c r="B783" s="56" t="s">
        <v>24</v>
      </c>
      <c r="C783" s="15" t="s">
        <v>25</v>
      </c>
      <c r="D783" s="15" t="s">
        <v>26</v>
      </c>
      <c r="E783" s="15" t="s">
        <v>27</v>
      </c>
      <c r="F783" s="43" t="s">
        <v>28</v>
      </c>
      <c r="G783" s="43" t="s">
        <v>74</v>
      </c>
      <c r="H783" s="43" t="s">
        <v>75</v>
      </c>
      <c r="I783" s="43" t="s">
        <v>76</v>
      </c>
      <c r="J783" s="43" t="s">
        <v>77</v>
      </c>
      <c r="K783" s="43" t="s">
        <v>78</v>
      </c>
      <c r="L783" s="43" t="s">
        <v>79</v>
      </c>
      <c r="M783" s="43" t="s">
        <v>80</v>
      </c>
      <c r="N783" s="15" t="s">
        <v>81</v>
      </c>
      <c r="O783" s="15" t="s">
        <v>82</v>
      </c>
      <c r="P783" s="15" t="s">
        <v>83</v>
      </c>
      <c r="Q783" s="15" t="s">
        <v>84</v>
      </c>
      <c r="R783" s="15" t="s">
        <v>85</v>
      </c>
      <c r="S783" s="15" t="s">
        <v>86</v>
      </c>
      <c r="T783" s="15" t="s">
        <v>87</v>
      </c>
      <c r="U783" s="15" t="s">
        <v>88</v>
      </c>
      <c r="V783" s="15" t="s">
        <v>89</v>
      </c>
      <c r="W783" s="15" t="s">
        <v>90</v>
      </c>
    </row>
    <row r="784" spans="1:24" ht="12.75">
      <c r="A784" s="42" t="s">
        <v>45</v>
      </c>
      <c r="B784" s="18">
        <v>1</v>
      </c>
      <c r="C784" s="18">
        <v>1</v>
      </c>
      <c r="D784" s="18">
        <v>1</v>
      </c>
      <c r="E784" s="18">
        <v>1</v>
      </c>
      <c r="F784" s="19">
        <v>1</v>
      </c>
      <c r="G784" s="20">
        <f t="shared" ref="G784:W784" si="30">AVERAGE(G790:G793)</f>
        <v>0.93469485541247443</v>
      </c>
      <c r="H784" s="20">
        <f t="shared" si="30"/>
        <v>0.86500173553674298</v>
      </c>
      <c r="I784" s="20">
        <f t="shared" si="30"/>
        <v>0.72329206167751281</v>
      </c>
      <c r="J784" s="20">
        <f t="shared" si="30"/>
        <v>0.58630967023012892</v>
      </c>
      <c r="K784" s="20">
        <f t="shared" si="30"/>
        <v>0.53282990628186777</v>
      </c>
      <c r="L784" s="20">
        <f t="shared" si="30"/>
        <v>0.47292964672019755</v>
      </c>
      <c r="M784" s="20">
        <f t="shared" si="30"/>
        <v>0.47292964672019755</v>
      </c>
      <c r="N784" s="20">
        <f t="shared" si="30"/>
        <v>0.47292964672019755</v>
      </c>
      <c r="O784" s="20">
        <f t="shared" si="30"/>
        <v>0.47292964672019755</v>
      </c>
      <c r="P784" s="20">
        <f t="shared" si="30"/>
        <v>0.47292964672019755</v>
      </c>
      <c r="Q784" s="20">
        <f t="shared" si="30"/>
        <v>0.47292964672019755</v>
      </c>
      <c r="R784" s="20">
        <f t="shared" si="30"/>
        <v>0.47292964672019755</v>
      </c>
      <c r="S784" s="20">
        <f t="shared" si="30"/>
        <v>0.47292964672019755</v>
      </c>
      <c r="T784" s="20">
        <f t="shared" si="30"/>
        <v>0.47292964672019755</v>
      </c>
      <c r="U784" s="20">
        <f t="shared" si="30"/>
        <v>0.47292964672019755</v>
      </c>
      <c r="V784" s="20">
        <f t="shared" si="30"/>
        <v>0.47292964672019755</v>
      </c>
      <c r="W784" s="20">
        <f t="shared" si="30"/>
        <v>0.47292964672019755</v>
      </c>
    </row>
    <row r="785" spans="1:23" ht="12.75">
      <c r="A785" s="246" t="s">
        <v>329</v>
      </c>
      <c r="B785" s="13">
        <v>149</v>
      </c>
      <c r="C785" s="13">
        <v>149</v>
      </c>
      <c r="D785" s="13">
        <v>149</v>
      </c>
      <c r="E785" s="13">
        <v>149</v>
      </c>
      <c r="F785" s="13">
        <v>149</v>
      </c>
      <c r="G785" s="13">
        <v>139</v>
      </c>
      <c r="H785" s="13">
        <v>130</v>
      </c>
      <c r="I785" s="13">
        <v>107</v>
      </c>
      <c r="J785" s="13">
        <v>88</v>
      </c>
      <c r="K785" s="13">
        <v>79</v>
      </c>
      <c r="L785" s="13">
        <v>71</v>
      </c>
      <c r="M785" s="13">
        <v>71</v>
      </c>
      <c r="N785" s="13">
        <v>71</v>
      </c>
      <c r="O785" s="13">
        <v>71</v>
      </c>
      <c r="P785" s="13">
        <v>71</v>
      </c>
      <c r="Q785" s="13">
        <v>71</v>
      </c>
      <c r="R785" s="13">
        <v>71</v>
      </c>
      <c r="S785" s="13">
        <v>71</v>
      </c>
      <c r="T785" s="13">
        <v>71</v>
      </c>
      <c r="U785" s="13">
        <v>71</v>
      </c>
      <c r="V785" s="13">
        <v>71</v>
      </c>
      <c r="W785" s="13">
        <v>71</v>
      </c>
    </row>
    <row r="786" spans="1:23" ht="12.75">
      <c r="A786" s="246" t="s">
        <v>330</v>
      </c>
      <c r="B786" s="13">
        <v>126</v>
      </c>
      <c r="C786" s="13">
        <v>126</v>
      </c>
      <c r="D786" s="13">
        <v>126</v>
      </c>
      <c r="E786" s="13">
        <v>126</v>
      </c>
      <c r="F786" s="13">
        <v>126</v>
      </c>
      <c r="G786" s="13">
        <v>118</v>
      </c>
      <c r="H786" s="13">
        <v>109</v>
      </c>
      <c r="I786" s="13">
        <v>92</v>
      </c>
      <c r="J786" s="13">
        <v>74</v>
      </c>
      <c r="K786" s="13">
        <v>67</v>
      </c>
      <c r="L786" s="13">
        <v>59</v>
      </c>
      <c r="M786" s="13">
        <v>59</v>
      </c>
      <c r="N786" s="13">
        <v>59</v>
      </c>
      <c r="O786" s="13">
        <v>59</v>
      </c>
      <c r="P786" s="13">
        <v>59</v>
      </c>
      <c r="Q786" s="13">
        <v>59</v>
      </c>
      <c r="R786" s="13">
        <v>59</v>
      </c>
      <c r="S786" s="13">
        <v>59</v>
      </c>
      <c r="T786" s="13">
        <v>59</v>
      </c>
      <c r="U786" s="13">
        <v>59</v>
      </c>
      <c r="V786" s="13">
        <v>59</v>
      </c>
      <c r="W786" s="13">
        <v>59</v>
      </c>
    </row>
    <row r="787" spans="1:23" ht="12.75">
      <c r="A787" s="264" t="s">
        <v>331</v>
      </c>
      <c r="B787" s="58">
        <v>123</v>
      </c>
      <c r="C787" s="58">
        <v>123</v>
      </c>
      <c r="D787" s="58">
        <v>123</v>
      </c>
      <c r="E787" s="58">
        <v>123</v>
      </c>
      <c r="F787" s="58">
        <v>123</v>
      </c>
      <c r="G787" s="58">
        <v>115</v>
      </c>
      <c r="H787" s="58">
        <v>106</v>
      </c>
      <c r="I787" s="58">
        <v>89</v>
      </c>
      <c r="J787" s="58">
        <v>72</v>
      </c>
      <c r="K787" s="58">
        <v>66</v>
      </c>
      <c r="L787" s="58">
        <v>58</v>
      </c>
      <c r="M787" s="58">
        <v>58</v>
      </c>
      <c r="N787" s="58">
        <v>58</v>
      </c>
      <c r="O787" s="58">
        <v>58</v>
      </c>
      <c r="P787" s="58">
        <v>58</v>
      </c>
      <c r="Q787" s="58">
        <v>58</v>
      </c>
      <c r="R787" s="58">
        <v>58</v>
      </c>
      <c r="S787" s="58">
        <v>58</v>
      </c>
      <c r="T787" s="58">
        <v>58</v>
      </c>
      <c r="U787" s="58">
        <v>58</v>
      </c>
      <c r="V787" s="58">
        <v>58</v>
      </c>
      <c r="W787" s="58">
        <v>58</v>
      </c>
    </row>
    <row r="788" spans="1:23" ht="12.75">
      <c r="A788" s="246" t="s">
        <v>332</v>
      </c>
      <c r="B788" s="13">
        <v>122</v>
      </c>
      <c r="C788" s="13">
        <v>122</v>
      </c>
      <c r="D788" s="13">
        <v>122</v>
      </c>
      <c r="E788" s="13">
        <v>122</v>
      </c>
      <c r="F788" s="13">
        <v>122</v>
      </c>
      <c r="G788" s="13">
        <v>114</v>
      </c>
      <c r="H788" s="13">
        <v>105</v>
      </c>
      <c r="I788" s="13">
        <v>88</v>
      </c>
      <c r="J788" s="13">
        <v>71</v>
      </c>
      <c r="K788" s="13">
        <v>65</v>
      </c>
      <c r="L788" s="13">
        <v>58</v>
      </c>
      <c r="M788" s="13">
        <v>58</v>
      </c>
      <c r="N788" s="13">
        <v>58</v>
      </c>
      <c r="O788" s="13">
        <v>58</v>
      </c>
      <c r="P788" s="13">
        <v>58</v>
      </c>
      <c r="Q788" s="13">
        <v>58</v>
      </c>
      <c r="R788" s="13">
        <v>58</v>
      </c>
      <c r="S788" s="13">
        <v>58</v>
      </c>
      <c r="T788" s="13">
        <v>58</v>
      </c>
      <c r="U788" s="13">
        <v>58</v>
      </c>
      <c r="V788" s="13">
        <v>58</v>
      </c>
      <c r="W788" s="13">
        <v>58</v>
      </c>
    </row>
    <row r="789" spans="1:23" ht="12.75">
      <c r="A789" s="5"/>
      <c r="B789" s="2" t="b">
        <f t="array" aca="1" ref="B789" ca="1">IF(COUNTA(B785:B788)=COUNTA(UNIQUE(B785:B788)), "no duplicate numbers")</f>
        <v>0</v>
      </c>
    </row>
    <row r="790" spans="1:23" ht="12.75">
      <c r="A790" s="246" t="s">
        <v>329</v>
      </c>
      <c r="G790" s="2">
        <f t="array" ref="G790:W793">G785:W788/F785:F788</f>
        <v>0.93288590604026844</v>
      </c>
      <c r="H790" s="2">
        <v>0.87248322147651003</v>
      </c>
      <c r="I790" s="2">
        <v>0.71812080536912748</v>
      </c>
      <c r="J790" s="2">
        <v>0.59060402684563762</v>
      </c>
      <c r="K790" s="2">
        <v>0.53020134228187921</v>
      </c>
      <c r="L790" s="2">
        <v>0.47651006711409394</v>
      </c>
      <c r="M790" s="2">
        <v>0.47651006711409394</v>
      </c>
      <c r="N790" s="2">
        <v>0.47651006711409394</v>
      </c>
      <c r="O790" s="2">
        <v>0.47651006711409394</v>
      </c>
      <c r="P790" s="2">
        <v>0.47651006711409394</v>
      </c>
      <c r="Q790" s="2">
        <v>0.47651006711409394</v>
      </c>
      <c r="R790" s="2">
        <v>0.47651006711409394</v>
      </c>
      <c r="S790" s="2">
        <v>0.47651006711409394</v>
      </c>
      <c r="T790" s="2">
        <v>0.47651006711409394</v>
      </c>
      <c r="U790" s="2">
        <v>0.47651006711409394</v>
      </c>
      <c r="V790" s="2">
        <v>0.47651006711409394</v>
      </c>
      <c r="W790" s="2">
        <v>0.47651006711409394</v>
      </c>
    </row>
    <row r="791" spans="1:23" ht="12.75">
      <c r="A791" s="246" t="s">
        <v>330</v>
      </c>
      <c r="G791" s="2">
        <v>0.93650793650793651</v>
      </c>
      <c r="H791" s="2">
        <v>0.86507936507936511</v>
      </c>
      <c r="I791" s="2">
        <v>0.73015873015873012</v>
      </c>
      <c r="J791" s="2">
        <v>0.58730158730158732</v>
      </c>
      <c r="K791" s="2">
        <v>0.53174603174603174</v>
      </c>
      <c r="L791" s="2">
        <v>0.46825396825396826</v>
      </c>
      <c r="M791" s="2">
        <v>0.46825396825396826</v>
      </c>
      <c r="N791" s="2">
        <v>0.46825396825396826</v>
      </c>
      <c r="O791" s="2">
        <v>0.46825396825396826</v>
      </c>
      <c r="P791" s="2">
        <v>0.46825396825396826</v>
      </c>
      <c r="Q791" s="2">
        <v>0.46825396825396826</v>
      </c>
      <c r="R791" s="2">
        <v>0.46825396825396826</v>
      </c>
      <c r="S791" s="2">
        <v>0.46825396825396826</v>
      </c>
      <c r="T791" s="2">
        <v>0.46825396825396826</v>
      </c>
      <c r="U791" s="2">
        <v>0.46825396825396826</v>
      </c>
      <c r="V791" s="2">
        <v>0.46825396825396826</v>
      </c>
      <c r="W791" s="2">
        <v>0.46825396825396826</v>
      </c>
    </row>
    <row r="792" spans="1:23" ht="12.75">
      <c r="A792" s="264" t="s">
        <v>331</v>
      </c>
      <c r="G792" s="2">
        <v>0.93495934959349591</v>
      </c>
      <c r="H792" s="2">
        <v>0.86178861788617889</v>
      </c>
      <c r="I792" s="2">
        <v>0.72357723577235777</v>
      </c>
      <c r="J792" s="2">
        <v>0.58536585365853655</v>
      </c>
      <c r="K792" s="2">
        <v>0.53658536585365857</v>
      </c>
      <c r="L792" s="2">
        <v>0.47154471544715448</v>
      </c>
      <c r="M792" s="2">
        <v>0.47154471544715448</v>
      </c>
      <c r="N792" s="2">
        <v>0.47154471544715448</v>
      </c>
      <c r="O792" s="2">
        <v>0.47154471544715448</v>
      </c>
      <c r="P792" s="2">
        <v>0.47154471544715448</v>
      </c>
      <c r="Q792" s="2">
        <v>0.47154471544715448</v>
      </c>
      <c r="R792" s="2">
        <v>0.47154471544715448</v>
      </c>
      <c r="S792" s="2">
        <v>0.47154471544715448</v>
      </c>
      <c r="T792" s="2">
        <v>0.47154471544715448</v>
      </c>
      <c r="U792" s="2">
        <v>0.47154471544715448</v>
      </c>
      <c r="V792" s="2">
        <v>0.47154471544715448</v>
      </c>
      <c r="W792" s="2">
        <v>0.47154471544715448</v>
      </c>
    </row>
    <row r="793" spans="1:23" ht="12.75">
      <c r="A793" s="246" t="s">
        <v>332</v>
      </c>
      <c r="G793" s="2">
        <v>0.93442622950819676</v>
      </c>
      <c r="H793" s="2">
        <v>0.86065573770491799</v>
      </c>
      <c r="I793" s="2">
        <v>0.72131147540983609</v>
      </c>
      <c r="J793" s="2">
        <v>0.58196721311475408</v>
      </c>
      <c r="K793" s="2">
        <v>0.53278688524590168</v>
      </c>
      <c r="L793" s="2">
        <v>0.47540983606557374</v>
      </c>
      <c r="M793" s="2">
        <v>0.47540983606557374</v>
      </c>
      <c r="N793" s="2">
        <v>0.47540983606557374</v>
      </c>
      <c r="O793" s="2">
        <v>0.47540983606557374</v>
      </c>
      <c r="P793" s="2">
        <v>0.47540983606557374</v>
      </c>
      <c r="Q793" s="2">
        <v>0.47540983606557374</v>
      </c>
      <c r="R793" s="2">
        <v>0.47540983606557374</v>
      </c>
      <c r="S793" s="2">
        <v>0.47540983606557374</v>
      </c>
      <c r="T793" s="2">
        <v>0.47540983606557374</v>
      </c>
      <c r="U793" s="2">
        <v>0.47540983606557374</v>
      </c>
      <c r="V793" s="2">
        <v>0.47540983606557374</v>
      </c>
      <c r="W793" s="2">
        <v>0.47540983606557374</v>
      </c>
    </row>
    <row r="794" spans="1:23" ht="15">
      <c r="A794" s="5"/>
      <c r="B794" s="56" t="s">
        <v>24</v>
      </c>
      <c r="C794" s="15" t="s">
        <v>25</v>
      </c>
      <c r="D794" s="15" t="s">
        <v>26</v>
      </c>
      <c r="E794" s="15" t="s">
        <v>27</v>
      </c>
      <c r="F794" s="43" t="s">
        <v>28</v>
      </c>
      <c r="G794" s="43" t="s">
        <v>74</v>
      </c>
      <c r="H794" s="43" t="s">
        <v>75</v>
      </c>
      <c r="I794" s="43" t="s">
        <v>76</v>
      </c>
      <c r="J794" s="43" t="s">
        <v>77</v>
      </c>
      <c r="K794" s="43" t="s">
        <v>78</v>
      </c>
      <c r="L794" s="43" t="s">
        <v>79</v>
      </c>
      <c r="M794" s="43" t="s">
        <v>80</v>
      </c>
      <c r="N794" s="15" t="s">
        <v>81</v>
      </c>
      <c r="O794" s="15" t="s">
        <v>82</v>
      </c>
      <c r="P794" s="15" t="s">
        <v>83</v>
      </c>
      <c r="Q794" s="15" t="s">
        <v>84</v>
      </c>
      <c r="R794" s="15" t="s">
        <v>85</v>
      </c>
      <c r="S794" s="15" t="s">
        <v>86</v>
      </c>
      <c r="T794" s="15" t="s">
        <v>87</v>
      </c>
      <c r="U794" s="15" t="s">
        <v>88</v>
      </c>
      <c r="V794" s="15" t="s">
        <v>89</v>
      </c>
      <c r="W794" s="15" t="s">
        <v>90</v>
      </c>
    </row>
    <row r="795" spans="1:23" ht="12.75">
      <c r="A795" s="42" t="s">
        <v>48</v>
      </c>
      <c r="B795" s="18">
        <v>1</v>
      </c>
      <c r="C795" s="18">
        <v>1</v>
      </c>
      <c r="D795" s="18">
        <v>1</v>
      </c>
      <c r="E795" s="18">
        <v>1</v>
      </c>
      <c r="F795" s="19">
        <v>1</v>
      </c>
      <c r="G795" s="20">
        <f t="shared" ref="G795:W795" si="31">AVERAGE(G800:G801)</f>
        <v>0.92258300618803646</v>
      </c>
      <c r="H795" s="30">
        <f t="shared" si="31"/>
        <v>0.82879765786146775</v>
      </c>
      <c r="I795" s="265">
        <f t="shared" si="31"/>
        <v>0.66268547474881889</v>
      </c>
      <c r="J795" s="31">
        <f t="shared" si="31"/>
        <v>0.49148313261028675</v>
      </c>
      <c r="K795" s="266">
        <f t="shared" si="31"/>
        <v>0.46317120234213849</v>
      </c>
      <c r="L795" s="267">
        <f t="shared" si="31"/>
        <v>0.43485927207399028</v>
      </c>
      <c r="M795" s="78">
        <f t="shared" si="31"/>
        <v>0.43485927207399028</v>
      </c>
      <c r="N795" s="79">
        <f t="shared" si="31"/>
        <v>0.43485927207399028</v>
      </c>
      <c r="O795" s="86">
        <f t="shared" si="31"/>
        <v>0.43485927207399028</v>
      </c>
      <c r="P795" s="80">
        <f t="shared" si="31"/>
        <v>0.43485927207399028</v>
      </c>
      <c r="Q795" s="88">
        <f t="shared" si="31"/>
        <v>0.43485927207399028</v>
      </c>
      <c r="R795" s="81">
        <f t="shared" si="31"/>
        <v>0.43485927207399028</v>
      </c>
      <c r="S795" s="81">
        <f t="shared" si="31"/>
        <v>0.43485927207399028</v>
      </c>
      <c r="T795" s="81">
        <f t="shared" si="31"/>
        <v>0.43485927207399028</v>
      </c>
      <c r="U795" s="81">
        <f t="shared" si="31"/>
        <v>0.43485927207399028</v>
      </c>
      <c r="V795" s="81">
        <f t="shared" si="31"/>
        <v>0.43485927207399028</v>
      </c>
      <c r="W795" s="81">
        <f t="shared" si="31"/>
        <v>0.43485927207399028</v>
      </c>
    </row>
    <row r="796" spans="1:23" ht="12.75">
      <c r="A796" s="246" t="s">
        <v>334</v>
      </c>
      <c r="B796" s="13">
        <v>133</v>
      </c>
      <c r="C796" s="13">
        <v>133</v>
      </c>
      <c r="D796" s="13">
        <v>133</v>
      </c>
      <c r="E796" s="13">
        <v>133</v>
      </c>
      <c r="F796" s="13">
        <v>133</v>
      </c>
      <c r="G796" s="13">
        <v>123</v>
      </c>
      <c r="H796" s="13">
        <v>111</v>
      </c>
      <c r="I796" s="13">
        <v>88</v>
      </c>
      <c r="J796" s="13">
        <v>66</v>
      </c>
      <c r="K796" s="13">
        <v>62</v>
      </c>
      <c r="L796" s="248">
        <v>58</v>
      </c>
      <c r="M796" s="248">
        <v>58</v>
      </c>
      <c r="N796" s="13">
        <v>58</v>
      </c>
      <c r="O796" s="13">
        <v>58</v>
      </c>
      <c r="P796" s="13">
        <v>58</v>
      </c>
      <c r="Q796" s="13">
        <v>58</v>
      </c>
      <c r="R796" s="13">
        <v>58</v>
      </c>
      <c r="S796" s="13">
        <v>58</v>
      </c>
      <c r="T796" s="13">
        <v>58</v>
      </c>
      <c r="U796" s="13">
        <v>58</v>
      </c>
      <c r="V796" s="13">
        <v>58</v>
      </c>
      <c r="W796" s="13">
        <v>58</v>
      </c>
    </row>
    <row r="797" spans="1:23" ht="12.75">
      <c r="A797" s="246" t="s">
        <v>335</v>
      </c>
      <c r="B797" s="13">
        <v>113</v>
      </c>
      <c r="C797" s="13">
        <v>113</v>
      </c>
      <c r="D797" s="13">
        <v>113</v>
      </c>
      <c r="E797" s="13">
        <v>113</v>
      </c>
      <c r="F797" s="13">
        <v>113</v>
      </c>
      <c r="G797" s="13">
        <v>104</v>
      </c>
      <c r="H797" s="13">
        <v>93</v>
      </c>
      <c r="I797" s="13">
        <v>75</v>
      </c>
      <c r="J797" s="13">
        <v>55</v>
      </c>
      <c r="K797" s="13">
        <v>52</v>
      </c>
      <c r="L797" s="13">
        <v>49</v>
      </c>
      <c r="M797" s="13">
        <v>49</v>
      </c>
      <c r="N797" s="13">
        <v>49</v>
      </c>
      <c r="O797" s="13">
        <v>49</v>
      </c>
      <c r="P797" s="13">
        <v>49</v>
      </c>
      <c r="Q797" s="13">
        <v>49</v>
      </c>
      <c r="R797" s="13">
        <v>49</v>
      </c>
      <c r="S797" s="13">
        <v>49</v>
      </c>
      <c r="T797" s="13">
        <v>49</v>
      </c>
      <c r="U797" s="13">
        <v>49</v>
      </c>
      <c r="V797" s="13">
        <v>49</v>
      </c>
      <c r="W797" s="13">
        <v>49</v>
      </c>
    </row>
    <row r="798" spans="1:23" ht="12.75">
      <c r="A798" s="5"/>
    </row>
    <row r="799" spans="1:23" ht="12.75">
      <c r="A799" s="5"/>
    </row>
    <row r="800" spans="1:23" ht="12.75">
      <c r="A800" s="5"/>
      <c r="G800" s="2">
        <f t="array" ref="G800:W801">G796:W797/F796:F797</f>
        <v>0.92481203007518797</v>
      </c>
      <c r="H800" s="2">
        <v>0.83458646616541354</v>
      </c>
      <c r="I800" s="2">
        <v>0.66165413533834583</v>
      </c>
      <c r="J800" s="2">
        <v>0.49624060150375937</v>
      </c>
      <c r="K800" s="2">
        <v>0.46616541353383456</v>
      </c>
      <c r="L800" s="2">
        <v>0.43609022556390975</v>
      </c>
      <c r="M800" s="2">
        <v>0.43609022556390975</v>
      </c>
      <c r="N800" s="2">
        <v>0.43609022556390975</v>
      </c>
      <c r="O800" s="2">
        <v>0.43609022556390975</v>
      </c>
      <c r="P800" s="2">
        <v>0.43609022556390975</v>
      </c>
      <c r="Q800" s="2">
        <v>0.43609022556390975</v>
      </c>
      <c r="R800" s="2">
        <v>0.43609022556390975</v>
      </c>
      <c r="S800" s="2">
        <v>0.43609022556390975</v>
      </c>
      <c r="T800" s="2">
        <v>0.43609022556390975</v>
      </c>
      <c r="U800" s="2">
        <v>0.43609022556390975</v>
      </c>
      <c r="V800" s="2">
        <v>0.43609022556390975</v>
      </c>
      <c r="W800" s="2">
        <v>0.43609022556390975</v>
      </c>
    </row>
    <row r="801" spans="1:23" ht="12.75">
      <c r="A801" s="5"/>
      <c r="G801" s="2">
        <v>0.92035398230088494</v>
      </c>
      <c r="H801" s="2">
        <v>0.82300884955752207</v>
      </c>
      <c r="I801" s="2">
        <v>0.66371681415929207</v>
      </c>
      <c r="J801" s="2">
        <v>0.48672566371681414</v>
      </c>
      <c r="K801" s="2">
        <v>0.46017699115044247</v>
      </c>
      <c r="L801" s="2">
        <v>0.4336283185840708</v>
      </c>
      <c r="M801" s="2">
        <v>0.4336283185840708</v>
      </c>
      <c r="N801" s="2">
        <v>0.4336283185840708</v>
      </c>
      <c r="O801" s="2">
        <v>0.4336283185840708</v>
      </c>
      <c r="P801" s="2">
        <v>0.4336283185840708</v>
      </c>
      <c r="Q801" s="2">
        <v>0.4336283185840708</v>
      </c>
      <c r="R801" s="2">
        <v>0.4336283185840708</v>
      </c>
      <c r="S801" s="2">
        <v>0.4336283185840708</v>
      </c>
      <c r="T801" s="2">
        <v>0.4336283185840708</v>
      </c>
      <c r="U801" s="2">
        <v>0.4336283185840708</v>
      </c>
      <c r="V801" s="2">
        <v>0.4336283185840708</v>
      </c>
      <c r="W801" s="2">
        <v>0.4336283185840708</v>
      </c>
    </row>
    <row r="802" spans="1:23" ht="12.75">
      <c r="A802" s="5"/>
    </row>
    <row r="803" spans="1:23" ht="15">
      <c r="A803" s="5"/>
      <c r="B803" s="56" t="s">
        <v>24</v>
      </c>
      <c r="C803" s="15" t="s">
        <v>25</v>
      </c>
      <c r="D803" s="15" t="s">
        <v>26</v>
      </c>
      <c r="E803" s="15" t="s">
        <v>27</v>
      </c>
      <c r="F803" s="43" t="s">
        <v>28</v>
      </c>
      <c r="G803" s="43" t="s">
        <v>74</v>
      </c>
      <c r="H803" s="43" t="s">
        <v>75</v>
      </c>
      <c r="I803" s="43" t="s">
        <v>76</v>
      </c>
      <c r="J803" s="43" t="s">
        <v>77</v>
      </c>
      <c r="K803" s="43" t="s">
        <v>78</v>
      </c>
      <c r="L803" s="43" t="s">
        <v>79</v>
      </c>
      <c r="M803" s="43" t="s">
        <v>80</v>
      </c>
      <c r="N803" s="15" t="s">
        <v>81</v>
      </c>
      <c r="O803" s="15" t="s">
        <v>82</v>
      </c>
      <c r="P803" s="15" t="s">
        <v>83</v>
      </c>
      <c r="Q803" s="15" t="s">
        <v>84</v>
      </c>
      <c r="R803" s="15" t="s">
        <v>85</v>
      </c>
      <c r="S803" s="15" t="s">
        <v>86</v>
      </c>
      <c r="T803" s="15" t="s">
        <v>87</v>
      </c>
      <c r="U803" s="15" t="s">
        <v>88</v>
      </c>
      <c r="V803" s="15" t="s">
        <v>89</v>
      </c>
      <c r="W803" s="15" t="s">
        <v>90</v>
      </c>
    </row>
    <row r="804" spans="1:23" ht="12.75">
      <c r="A804" s="42" t="s">
        <v>421</v>
      </c>
      <c r="B804" s="18">
        <v>1</v>
      </c>
      <c r="C804" s="18">
        <v>1</v>
      </c>
      <c r="D804" s="18">
        <v>1</v>
      </c>
      <c r="E804" s="18">
        <v>1</v>
      </c>
      <c r="F804" s="19">
        <v>1</v>
      </c>
      <c r="G804" s="20">
        <f t="shared" ref="G804:W804" si="32">AVERAGE(G807)</f>
        <v>0.91729323308270672</v>
      </c>
      <c r="H804" s="30">
        <f t="shared" si="32"/>
        <v>0.82706766917293228</v>
      </c>
      <c r="I804" s="265">
        <f t="shared" si="32"/>
        <v>0.65413533834586468</v>
      </c>
      <c r="J804" s="31">
        <f t="shared" si="32"/>
        <v>0.47368421052631576</v>
      </c>
      <c r="K804" s="266">
        <f t="shared" si="32"/>
        <v>0.44360902255639095</v>
      </c>
      <c r="L804" s="267">
        <f t="shared" si="32"/>
        <v>0.41353383458646614</v>
      </c>
      <c r="M804" s="78">
        <f t="shared" si="32"/>
        <v>0.41353383458646614</v>
      </c>
      <c r="N804" s="79">
        <f t="shared" si="32"/>
        <v>0.41353383458646614</v>
      </c>
      <c r="O804" s="86">
        <f t="shared" si="32"/>
        <v>0.41353383458646614</v>
      </c>
      <c r="P804" s="80">
        <f t="shared" si="32"/>
        <v>0.41353383458646614</v>
      </c>
      <c r="Q804" s="88">
        <f t="shared" si="32"/>
        <v>0.41353383458646614</v>
      </c>
      <c r="R804" s="81">
        <f t="shared" si="32"/>
        <v>0.41353383458646614</v>
      </c>
      <c r="S804" s="81">
        <f t="shared" si="32"/>
        <v>0.41353383458646614</v>
      </c>
      <c r="T804" s="81">
        <f t="shared" si="32"/>
        <v>0.41353383458646614</v>
      </c>
      <c r="U804" s="81">
        <f t="shared" si="32"/>
        <v>0.41353383458646614</v>
      </c>
      <c r="V804" s="81">
        <f t="shared" si="32"/>
        <v>0.41353383458646614</v>
      </c>
      <c r="W804" s="81">
        <f t="shared" si="32"/>
        <v>0.41353383458646614</v>
      </c>
    </row>
    <row r="805" spans="1:23" ht="12.75">
      <c r="A805" s="246" t="s">
        <v>422</v>
      </c>
      <c r="B805" s="13">
        <v>133</v>
      </c>
      <c r="C805" s="13">
        <v>133</v>
      </c>
      <c r="D805" s="13">
        <v>133</v>
      </c>
      <c r="E805" s="13">
        <v>133</v>
      </c>
      <c r="F805" s="13">
        <v>133</v>
      </c>
      <c r="G805" s="13">
        <v>122</v>
      </c>
      <c r="H805" s="13">
        <v>110</v>
      </c>
      <c r="I805" s="13">
        <v>87</v>
      </c>
      <c r="J805" s="13">
        <v>63</v>
      </c>
      <c r="K805" s="13">
        <v>59</v>
      </c>
      <c r="L805" s="13">
        <v>55</v>
      </c>
      <c r="M805" s="13">
        <v>55</v>
      </c>
      <c r="N805" s="13">
        <v>55</v>
      </c>
      <c r="O805" s="13">
        <v>55</v>
      </c>
      <c r="P805" s="13">
        <v>55</v>
      </c>
      <c r="Q805" s="13">
        <v>55</v>
      </c>
      <c r="R805" s="13">
        <v>55</v>
      </c>
      <c r="S805" s="13">
        <v>55</v>
      </c>
      <c r="T805" s="13">
        <v>55</v>
      </c>
      <c r="U805" s="13">
        <v>55</v>
      </c>
      <c r="V805" s="13">
        <v>55</v>
      </c>
      <c r="W805" s="13">
        <v>55</v>
      </c>
    </row>
    <row r="806" spans="1:23" ht="12.75">
      <c r="A806" s="5"/>
    </row>
    <row r="807" spans="1:23" ht="12.75">
      <c r="A807" s="5"/>
      <c r="G807" s="2">
        <f t="array" ref="G807:W807">G805:W805/F805</f>
        <v>0.91729323308270672</v>
      </c>
      <c r="H807" s="2">
        <v>0.82706766917293228</v>
      </c>
      <c r="I807" s="2">
        <v>0.65413533834586468</v>
      </c>
      <c r="J807" s="2">
        <v>0.47368421052631576</v>
      </c>
      <c r="K807" s="2">
        <v>0.44360902255639095</v>
      </c>
      <c r="L807" s="2">
        <v>0.41353383458646614</v>
      </c>
      <c r="M807" s="2">
        <v>0.41353383458646614</v>
      </c>
      <c r="N807" s="2">
        <v>0.41353383458646614</v>
      </c>
      <c r="O807" s="2">
        <v>0.41353383458646614</v>
      </c>
      <c r="P807" s="2">
        <v>0.41353383458646614</v>
      </c>
      <c r="Q807" s="2">
        <v>0.41353383458646614</v>
      </c>
      <c r="R807" s="2">
        <v>0.41353383458646614</v>
      </c>
      <c r="S807" s="2">
        <v>0.41353383458646614</v>
      </c>
      <c r="T807" s="2">
        <v>0.41353383458646614</v>
      </c>
      <c r="U807" s="2">
        <v>0.41353383458646614</v>
      </c>
      <c r="V807" s="2">
        <v>0.41353383458646614</v>
      </c>
      <c r="W807" s="2">
        <v>0.41353383458646614</v>
      </c>
    </row>
    <row r="808" spans="1:23" ht="12.75">
      <c r="A808" s="5"/>
    </row>
    <row r="809" spans="1:23" ht="12.75">
      <c r="A809" s="5"/>
    </row>
    <row r="810" spans="1:23" ht="15">
      <c r="A810" s="5"/>
      <c r="B810" s="56" t="s">
        <v>121</v>
      </c>
      <c r="C810" s="56" t="s">
        <v>126</v>
      </c>
      <c r="D810" s="56" t="s">
        <v>132</v>
      </c>
      <c r="E810" s="57" t="s">
        <v>24</v>
      </c>
      <c r="F810" s="43" t="s">
        <v>25</v>
      </c>
      <c r="G810" s="43" t="s">
        <v>26</v>
      </c>
      <c r="H810" s="43" t="s">
        <v>27</v>
      </c>
      <c r="I810" s="43" t="s">
        <v>28</v>
      </c>
      <c r="J810" s="43" t="s">
        <v>74</v>
      </c>
      <c r="K810" s="43" t="s">
        <v>75</v>
      </c>
      <c r="L810" s="43" t="s">
        <v>76</v>
      </c>
      <c r="M810" s="43" t="s">
        <v>77</v>
      </c>
      <c r="N810" s="43" t="s">
        <v>78</v>
      </c>
      <c r="O810" s="43" t="s">
        <v>79</v>
      </c>
      <c r="P810" s="43" t="s">
        <v>80</v>
      </c>
      <c r="Q810" s="43" t="s">
        <v>81</v>
      </c>
      <c r="R810" s="43" t="s">
        <v>82</v>
      </c>
      <c r="S810" s="43" t="s">
        <v>83</v>
      </c>
      <c r="T810" s="43" t="s">
        <v>84</v>
      </c>
      <c r="U810" s="43" t="s">
        <v>85</v>
      </c>
      <c r="V810" s="43" t="s">
        <v>86</v>
      </c>
      <c r="W810" s="43" t="s">
        <v>87</v>
      </c>
    </row>
    <row r="811" spans="1:23" ht="15">
      <c r="A811" s="38" t="s">
        <v>153</v>
      </c>
      <c r="B811" s="18">
        <v>1</v>
      </c>
      <c r="C811" s="18">
        <v>1</v>
      </c>
      <c r="D811" s="18">
        <f>D812/C812</f>
        <v>0.89115646268681314</v>
      </c>
      <c r="E811" s="18">
        <f>E812/C812</f>
        <v>0.76190476199175816</v>
      </c>
      <c r="F811" s="19">
        <f>F812/C812</f>
        <v>0.65306122456456039</v>
      </c>
      <c r="G811" s="20">
        <f>G812/C812</f>
        <v>0.57823129258296702</v>
      </c>
      <c r="H811" s="30">
        <f>H812/C812</f>
        <v>0.50340136060164842</v>
      </c>
      <c r="I811" s="265">
        <f>I812/C812</f>
        <v>0.42857142857142855</v>
      </c>
      <c r="J811" s="31">
        <f>J812/C812</f>
        <v>0.40109890109890112</v>
      </c>
      <c r="K811" s="266">
        <f>K812/C812</f>
        <v>0.37087912087912089</v>
      </c>
      <c r="L811" s="267">
        <f>L812/C812</f>
        <v>0.31043956043956045</v>
      </c>
      <c r="M811" s="78">
        <f>M812/C812</f>
        <v>0.25</v>
      </c>
      <c r="N811" s="79">
        <f>N812/C812</f>
        <v>0.23351648351648352</v>
      </c>
      <c r="O811" s="86">
        <f>O812/C812</f>
        <v>0.21703296703296704</v>
      </c>
      <c r="P811" s="80">
        <f>P812/C812</f>
        <v>0.19780219780219779</v>
      </c>
      <c r="Q811" s="88">
        <f>P812/C812</f>
        <v>0.19780219780219779</v>
      </c>
      <c r="R811" s="81">
        <f>P812/C812</f>
        <v>0.19780219780219779</v>
      </c>
      <c r="S811" s="81">
        <f>P812/C812</f>
        <v>0.19780219780219779</v>
      </c>
      <c r="T811" s="81">
        <f>P812/C812</f>
        <v>0.19780219780219779</v>
      </c>
      <c r="U811" s="81">
        <f>P812/C812</f>
        <v>0.19780219780219779</v>
      </c>
      <c r="V811" s="81">
        <f>P812/C812</f>
        <v>0.19780219780219779</v>
      </c>
      <c r="W811" s="81">
        <f>P812/C812</f>
        <v>0.19780219780219779</v>
      </c>
    </row>
    <row r="812" spans="1:23" ht="12.75">
      <c r="A812" s="5"/>
      <c r="B812" s="13">
        <v>364</v>
      </c>
      <c r="C812" s="13">
        <v>364</v>
      </c>
      <c r="D812" s="13">
        <v>324.38095241799999</v>
      </c>
      <c r="E812" s="13">
        <v>277.33333336499999</v>
      </c>
      <c r="F812" s="13">
        <v>237.71428574149999</v>
      </c>
      <c r="G812" s="13">
        <v>210.4761905002</v>
      </c>
      <c r="H812" s="13">
        <v>183.238095259</v>
      </c>
      <c r="I812" s="13">
        <v>156</v>
      </c>
      <c r="J812" s="13">
        <v>146</v>
      </c>
      <c r="K812" s="13">
        <v>135</v>
      </c>
      <c r="L812" s="13">
        <v>113</v>
      </c>
      <c r="M812" s="13">
        <v>91</v>
      </c>
      <c r="N812" s="13">
        <v>85</v>
      </c>
      <c r="O812" s="13">
        <v>79</v>
      </c>
      <c r="P812" s="13">
        <v>72</v>
      </c>
      <c r="Q812" s="13">
        <v>72</v>
      </c>
      <c r="R812" s="13">
        <v>72</v>
      </c>
      <c r="S812" s="13">
        <v>72</v>
      </c>
      <c r="T812" s="13">
        <v>72</v>
      </c>
      <c r="U812" s="13">
        <v>72</v>
      </c>
      <c r="V812" s="13">
        <v>72</v>
      </c>
      <c r="W812" s="13">
        <v>72</v>
      </c>
    </row>
    <row r="813" spans="1:23" ht="15">
      <c r="A813" s="5"/>
      <c r="B813" s="56" t="s">
        <v>121</v>
      </c>
      <c r="C813" s="56" t="s">
        <v>126</v>
      </c>
      <c r="D813" s="56" t="s">
        <v>132</v>
      </c>
      <c r="E813" s="57" t="s">
        <v>24</v>
      </c>
      <c r="F813" s="43" t="s">
        <v>25</v>
      </c>
      <c r="G813" s="43" t="s">
        <v>26</v>
      </c>
      <c r="H813" s="43" t="s">
        <v>27</v>
      </c>
      <c r="I813" s="43" t="s">
        <v>28</v>
      </c>
      <c r="J813" s="43" t="s">
        <v>74</v>
      </c>
      <c r="K813" s="43" t="s">
        <v>75</v>
      </c>
      <c r="L813" s="43" t="s">
        <v>76</v>
      </c>
      <c r="M813" s="43" t="s">
        <v>77</v>
      </c>
      <c r="N813" s="43" t="s">
        <v>78</v>
      </c>
      <c r="O813" s="43" t="s">
        <v>79</v>
      </c>
      <c r="P813" s="43" t="s">
        <v>80</v>
      </c>
      <c r="Q813" s="43" t="s">
        <v>81</v>
      </c>
      <c r="R813" s="43" t="s">
        <v>82</v>
      </c>
      <c r="S813" s="43" t="s">
        <v>83</v>
      </c>
      <c r="T813" s="43" t="s">
        <v>84</v>
      </c>
      <c r="U813" s="43" t="s">
        <v>85</v>
      </c>
      <c r="V813" s="43" t="s">
        <v>86</v>
      </c>
      <c r="W813" s="43" t="s">
        <v>87</v>
      </c>
    </row>
    <row r="814" spans="1:23" ht="15">
      <c r="A814" s="8" t="s">
        <v>157</v>
      </c>
      <c r="B814" s="18">
        <f>B815/C815</f>
        <v>1.056910569105691</v>
      </c>
      <c r="C814" s="18">
        <v>1</v>
      </c>
      <c r="D814" s="18">
        <f t="array" ref="D814:W814">D815:W815/C815</f>
        <v>0.93292682926829273</v>
      </c>
      <c r="E814" s="18">
        <v>0.86666666666666659</v>
      </c>
      <c r="F814" s="19">
        <v>0.79268292682926833</v>
      </c>
      <c r="G814" s="20">
        <v>0.70731707317073167</v>
      </c>
      <c r="H814" s="30">
        <v>0.6097560975609756</v>
      </c>
      <c r="I814" s="265">
        <v>0.52845528455284552</v>
      </c>
      <c r="J814" s="31">
        <v>0.50406504065040647</v>
      </c>
      <c r="K814" s="266">
        <v>0.48373983739837401</v>
      </c>
      <c r="L814" s="267">
        <v>0.44308943089430897</v>
      </c>
      <c r="M814" s="78">
        <v>0.3902439024390244</v>
      </c>
      <c r="N814" s="79">
        <v>0.32926829268292684</v>
      </c>
      <c r="O814" s="86">
        <v>0.27235772357723576</v>
      </c>
      <c r="P814" s="80">
        <v>0.21138211382113822</v>
      </c>
      <c r="Q814" s="88">
        <v>0.21138211382113822</v>
      </c>
      <c r="R814" s="81">
        <v>0.21138211382113822</v>
      </c>
      <c r="S814" s="81">
        <v>0.21138211382113822</v>
      </c>
      <c r="T814" s="81">
        <v>0.21138211382113822</v>
      </c>
      <c r="U814" s="81">
        <v>0.21138211382113822</v>
      </c>
      <c r="V814" s="81">
        <v>0.21138211382113822</v>
      </c>
      <c r="W814" s="81">
        <v>0.21138211382113822</v>
      </c>
    </row>
    <row r="815" spans="1:23" ht="12.75">
      <c r="A815" s="5"/>
      <c r="B815" s="13">
        <v>260</v>
      </c>
      <c r="C815" s="13">
        <v>246</v>
      </c>
      <c r="D815" s="13">
        <v>229.5</v>
      </c>
      <c r="E815" s="13">
        <v>213.2</v>
      </c>
      <c r="F815" s="13">
        <v>195</v>
      </c>
      <c r="G815" s="13">
        <v>174</v>
      </c>
      <c r="H815" s="13">
        <v>150</v>
      </c>
      <c r="I815" s="13">
        <v>130</v>
      </c>
      <c r="J815" s="13">
        <v>124</v>
      </c>
      <c r="K815" s="13">
        <v>119</v>
      </c>
      <c r="L815" s="13">
        <v>109</v>
      </c>
      <c r="M815" s="13">
        <v>96</v>
      </c>
      <c r="N815" s="13">
        <v>81</v>
      </c>
      <c r="O815" s="13">
        <v>67</v>
      </c>
      <c r="P815" s="13">
        <v>52</v>
      </c>
      <c r="Q815" s="13">
        <v>52</v>
      </c>
      <c r="R815" s="13">
        <v>52</v>
      </c>
      <c r="S815" s="13">
        <v>52</v>
      </c>
      <c r="T815" s="13">
        <v>52</v>
      </c>
      <c r="U815" s="13">
        <v>52</v>
      </c>
      <c r="V815" s="13">
        <v>52</v>
      </c>
      <c r="W815" s="13">
        <v>52</v>
      </c>
    </row>
    <row r="816" spans="1:23" ht="15">
      <c r="A816" s="5"/>
      <c r="B816" s="56" t="s">
        <v>121</v>
      </c>
      <c r="C816" s="56" t="s">
        <v>126</v>
      </c>
      <c r="D816" s="56" t="s">
        <v>132</v>
      </c>
      <c r="E816" s="57" t="s">
        <v>24</v>
      </c>
      <c r="F816" s="43" t="s">
        <v>25</v>
      </c>
      <c r="G816" s="43" t="s">
        <v>26</v>
      </c>
      <c r="H816" s="43" t="s">
        <v>27</v>
      </c>
      <c r="I816" s="43" t="s">
        <v>28</v>
      </c>
      <c r="J816" s="43" t="s">
        <v>74</v>
      </c>
      <c r="K816" s="43" t="s">
        <v>75</v>
      </c>
      <c r="L816" s="43" t="s">
        <v>76</v>
      </c>
      <c r="M816" s="43" t="s">
        <v>77</v>
      </c>
      <c r="N816" s="43" t="s">
        <v>78</v>
      </c>
      <c r="O816" s="43" t="s">
        <v>79</v>
      </c>
      <c r="P816" s="43" t="s">
        <v>80</v>
      </c>
      <c r="Q816" s="43" t="s">
        <v>81</v>
      </c>
      <c r="R816" s="43" t="s">
        <v>82</v>
      </c>
      <c r="S816" s="43" t="s">
        <v>83</v>
      </c>
      <c r="T816" s="43" t="s">
        <v>84</v>
      </c>
      <c r="U816" s="43" t="s">
        <v>85</v>
      </c>
      <c r="V816" s="43" t="s">
        <v>86</v>
      </c>
      <c r="W816" s="43" t="s">
        <v>87</v>
      </c>
    </row>
    <row r="817" spans="1:23" ht="15">
      <c r="A817" s="8" t="s">
        <v>158</v>
      </c>
      <c r="B817" s="18">
        <v>1</v>
      </c>
      <c r="C817" s="18">
        <v>1</v>
      </c>
      <c r="D817" s="18">
        <f t="array" ref="D817:N817">D818:N818/C818</f>
        <v>0.88717948717948714</v>
      </c>
      <c r="E817" s="18">
        <v>0.74871794871794872</v>
      </c>
      <c r="F817" s="19">
        <v>0.67179487179487174</v>
      </c>
      <c r="G817" s="20">
        <v>0.58461538461538465</v>
      </c>
      <c r="H817" s="30">
        <v>0.50256410256410255</v>
      </c>
      <c r="I817" s="265">
        <v>0.47179487179487178</v>
      </c>
      <c r="J817" s="31">
        <v>0.44615384615384618</v>
      </c>
      <c r="K817" s="266">
        <v>0.42564102564102563</v>
      </c>
      <c r="L817" s="267">
        <v>0.36923076923076925</v>
      </c>
      <c r="M817" s="78">
        <v>0.33333333333333331</v>
      </c>
      <c r="N817" s="79">
        <v>0.28205128205128205</v>
      </c>
      <c r="O817" s="86"/>
      <c r="P817" s="80"/>
      <c r="Q817" s="88"/>
      <c r="R817" s="81"/>
      <c r="S817" s="81"/>
      <c r="T817" s="81"/>
      <c r="U817" s="81"/>
      <c r="V817" s="81"/>
      <c r="W817" s="81"/>
    </row>
    <row r="818" spans="1:23" ht="12.75">
      <c r="A818" s="5"/>
      <c r="B818" s="13">
        <v>195</v>
      </c>
      <c r="C818" s="13">
        <v>195</v>
      </c>
      <c r="D818" s="13">
        <v>173</v>
      </c>
      <c r="E818" s="13">
        <v>146</v>
      </c>
      <c r="F818" s="13">
        <v>131</v>
      </c>
      <c r="G818" s="13">
        <v>114</v>
      </c>
      <c r="H818" s="13">
        <v>98</v>
      </c>
      <c r="I818" s="13">
        <v>92</v>
      </c>
      <c r="J818" s="13">
        <v>87</v>
      </c>
      <c r="K818" s="13">
        <v>83</v>
      </c>
      <c r="L818" s="13">
        <v>72</v>
      </c>
      <c r="M818" s="13">
        <v>65</v>
      </c>
      <c r="N818" s="13">
        <v>55</v>
      </c>
      <c r="O818" s="13" t="s">
        <v>159</v>
      </c>
    </row>
    <row r="819" spans="1:23" ht="15">
      <c r="A819" s="5"/>
      <c r="B819" s="56" t="s">
        <v>121</v>
      </c>
      <c r="C819" s="56" t="s">
        <v>126</v>
      </c>
      <c r="D819" s="56" t="s">
        <v>132</v>
      </c>
      <c r="E819" s="57" t="s">
        <v>24</v>
      </c>
      <c r="F819" s="43" t="s">
        <v>25</v>
      </c>
      <c r="G819" s="43" t="s">
        <v>26</v>
      </c>
      <c r="H819" s="43" t="s">
        <v>27</v>
      </c>
      <c r="I819" s="43" t="s">
        <v>28</v>
      </c>
      <c r="J819" s="43" t="s">
        <v>74</v>
      </c>
      <c r="K819" s="43" t="s">
        <v>75</v>
      </c>
      <c r="L819" s="43" t="s">
        <v>76</v>
      </c>
      <c r="M819" s="43" t="s">
        <v>77</v>
      </c>
      <c r="N819" s="43" t="s">
        <v>78</v>
      </c>
      <c r="O819" s="43" t="s">
        <v>79</v>
      </c>
      <c r="P819" s="43" t="s">
        <v>80</v>
      </c>
      <c r="Q819" s="43" t="s">
        <v>81</v>
      </c>
      <c r="R819" s="43" t="s">
        <v>82</v>
      </c>
      <c r="S819" s="43" t="s">
        <v>83</v>
      </c>
      <c r="T819" s="43" t="s">
        <v>84</v>
      </c>
      <c r="U819" s="43" t="s">
        <v>85</v>
      </c>
      <c r="V819" s="43" t="s">
        <v>86</v>
      </c>
      <c r="W819" s="43" t="s">
        <v>87</v>
      </c>
    </row>
    <row r="820" spans="1:23" ht="15">
      <c r="A820" s="50" t="s">
        <v>156</v>
      </c>
      <c r="B820" s="18">
        <v>1</v>
      </c>
      <c r="C820" s="18">
        <v>0.8828125</v>
      </c>
      <c r="D820" s="18">
        <v>0.7578125</v>
      </c>
      <c r="E820" s="18">
        <v>0.6640625</v>
      </c>
      <c r="F820" s="19">
        <v>0.59375</v>
      </c>
      <c r="G820" s="20">
        <v>0.5078125</v>
      </c>
      <c r="H820" s="30">
        <v>0.4765625</v>
      </c>
      <c r="I820" s="265">
        <v>0.4453125</v>
      </c>
      <c r="J820" s="31">
        <v>0.421875</v>
      </c>
      <c r="K820" s="266">
        <v>0.39538842103554067</v>
      </c>
      <c r="L820" s="267">
        <v>0.3537685872423259</v>
      </c>
      <c r="M820" s="78">
        <v>0.31561707293187896</v>
      </c>
      <c r="N820" s="79">
        <v>0.27746555862143207</v>
      </c>
      <c r="O820" s="86">
        <v>0.23584572482821725</v>
      </c>
      <c r="P820" s="80">
        <v>0.19769421051777034</v>
      </c>
      <c r="Q820" s="88">
        <v>0.19769421051777034</v>
      </c>
      <c r="R820" s="81">
        <v>0.19769421051777034</v>
      </c>
      <c r="S820" s="81">
        <v>0.19769421051777034</v>
      </c>
      <c r="T820" s="81">
        <v>0.19769421051777034</v>
      </c>
      <c r="U820" s="81">
        <v>0.19769421051777034</v>
      </c>
      <c r="V820" s="81">
        <v>0.19769421051777034</v>
      </c>
      <c r="W820" s="81">
        <v>0.19769421051777034</v>
      </c>
    </row>
    <row r="821" spans="1:23" ht="15">
      <c r="A821" s="50" t="s">
        <v>155</v>
      </c>
      <c r="B821" s="18">
        <v>1.1439999999999999</v>
      </c>
      <c r="C821" s="18">
        <v>1</v>
      </c>
      <c r="D821" s="18">
        <v>0.87398234651119955</v>
      </c>
      <c r="E821" s="18">
        <v>0.76586081910775228</v>
      </c>
      <c r="F821" s="19">
        <v>0.68476967355516671</v>
      </c>
      <c r="G821" s="20">
        <v>0.57599999999999996</v>
      </c>
      <c r="H821" s="30">
        <v>0.54</v>
      </c>
      <c r="I821" s="265">
        <v>0.51200000000000001</v>
      </c>
      <c r="J821" s="31">
        <v>0.48799999999999999</v>
      </c>
      <c r="K821" s="266">
        <v>0.45600000000000002</v>
      </c>
      <c r="L821" s="267">
        <v>0.40799999999999997</v>
      </c>
      <c r="M821" s="78">
        <v>0.36399999999999999</v>
      </c>
      <c r="N821" s="79">
        <v>0.32</v>
      </c>
      <c r="O821" s="86">
        <v>0.27200000000000002</v>
      </c>
      <c r="P821" s="80">
        <v>0.22800000000000001</v>
      </c>
      <c r="Q821" s="88">
        <v>0.22800000000000001</v>
      </c>
      <c r="R821" s="81">
        <v>0.22800000000000001</v>
      </c>
      <c r="S821" s="81">
        <v>0.22800000000000001</v>
      </c>
      <c r="T821" s="81">
        <v>0.22800000000000001</v>
      </c>
      <c r="U821" s="81">
        <v>0.22800000000000001</v>
      </c>
      <c r="V821" s="81">
        <v>0.22800000000000001</v>
      </c>
      <c r="W821" s="81">
        <v>0.22800000000000001</v>
      </c>
    </row>
    <row r="822" spans="1:23" ht="12.75">
      <c r="A822" s="5" t="s">
        <v>423</v>
      </c>
      <c r="B822" s="2">
        <v>128</v>
      </c>
      <c r="C822" s="2">
        <v>113</v>
      </c>
      <c r="D822" s="2">
        <v>97</v>
      </c>
      <c r="E822" s="2">
        <v>85</v>
      </c>
      <c r="F822" s="2">
        <v>76</v>
      </c>
      <c r="G822" s="2">
        <v>65</v>
      </c>
      <c r="H822" s="2">
        <v>61</v>
      </c>
      <c r="I822" s="2">
        <v>57</v>
      </c>
      <c r="J822" s="13">
        <v>54</v>
      </c>
      <c r="K822" s="2">
        <f t="array" ref="K822:W822">K823:W823*A824</f>
        <v>50.609717892549206</v>
      </c>
      <c r="L822" s="2">
        <v>45.282379167017716</v>
      </c>
      <c r="M822" s="2">
        <v>40.398985335280507</v>
      </c>
      <c r="N822" s="2">
        <v>35.515591503543305</v>
      </c>
      <c r="O822" s="2">
        <v>30.188252778011808</v>
      </c>
      <c r="P822" s="2">
        <v>25.304858946274603</v>
      </c>
      <c r="Q822" s="2">
        <v>25.304858946274603</v>
      </c>
      <c r="R822" s="2">
        <v>25.304858946274603</v>
      </c>
      <c r="S822" s="2">
        <v>25.304858946274603</v>
      </c>
      <c r="T822" s="2">
        <v>25.304858946274603</v>
      </c>
      <c r="U822" s="2">
        <v>25.304858946274603</v>
      </c>
      <c r="V822" s="2">
        <v>25.304858946274603</v>
      </c>
      <c r="W822" s="2">
        <v>25.304858946274603</v>
      </c>
    </row>
    <row r="823" spans="1:23" ht="12.75">
      <c r="A823" s="5" t="s">
        <v>424</v>
      </c>
      <c r="B823" s="13">
        <v>286</v>
      </c>
      <c r="C823" s="13">
        <v>250</v>
      </c>
      <c r="D823" s="2">
        <f t="array" ref="D823:F823">D822:F822/A824</f>
        <v>218.4955866277999</v>
      </c>
      <c r="E823" s="2">
        <v>191.46520477693807</v>
      </c>
      <c r="F823" s="2">
        <v>171.19241838879168</v>
      </c>
      <c r="G823" s="2">
        <v>144</v>
      </c>
      <c r="H823" s="2">
        <v>135</v>
      </c>
      <c r="I823" s="2">
        <v>128</v>
      </c>
      <c r="J823" s="2">
        <v>122</v>
      </c>
      <c r="K823" s="2">
        <v>114</v>
      </c>
      <c r="L823" s="2">
        <v>102</v>
      </c>
      <c r="M823" s="2">
        <v>91</v>
      </c>
      <c r="N823" s="2">
        <v>80</v>
      </c>
      <c r="O823" s="2">
        <v>68</v>
      </c>
      <c r="P823" s="2">
        <v>57</v>
      </c>
      <c r="Q823" s="2">
        <v>57</v>
      </c>
      <c r="R823" s="2">
        <v>57</v>
      </c>
      <c r="S823" s="2">
        <v>57</v>
      </c>
      <c r="T823" s="2">
        <v>57</v>
      </c>
      <c r="U823" s="2">
        <v>57</v>
      </c>
      <c r="V823" s="2">
        <v>57</v>
      </c>
      <c r="W823" s="2">
        <v>57</v>
      </c>
    </row>
    <row r="824" spans="1:23" ht="12.75">
      <c r="A824" s="5">
        <v>0.44394489379429131</v>
      </c>
      <c r="B824" s="13">
        <v>1</v>
      </c>
      <c r="C824" s="2">
        <f t="array" ref="C824:W824">C822:W822/B822</f>
        <v>0.8828125</v>
      </c>
      <c r="D824" s="2">
        <v>0.7578125</v>
      </c>
      <c r="E824" s="2">
        <v>0.6640625</v>
      </c>
      <c r="F824" s="2">
        <v>0.59375</v>
      </c>
      <c r="G824" s="2">
        <v>0.5078125</v>
      </c>
      <c r="H824" s="2">
        <v>0.4765625</v>
      </c>
      <c r="I824" s="2">
        <v>0.4453125</v>
      </c>
      <c r="J824" s="2">
        <v>0.421875</v>
      </c>
      <c r="K824" s="2">
        <v>0.39538842103554067</v>
      </c>
      <c r="L824" s="2">
        <v>0.3537685872423259</v>
      </c>
      <c r="M824" s="2">
        <v>0.31561707293187896</v>
      </c>
      <c r="N824" s="2">
        <v>0.27746555862143207</v>
      </c>
      <c r="O824" s="2">
        <v>0.23584572482821725</v>
      </c>
      <c r="P824" s="2">
        <v>0.19769421051777034</v>
      </c>
      <c r="Q824" s="2">
        <v>0.19769421051777034</v>
      </c>
      <c r="R824" s="2">
        <v>0.19769421051777034</v>
      </c>
      <c r="S824" s="2">
        <v>0.19769421051777034</v>
      </c>
      <c r="T824" s="2">
        <v>0.19769421051777034</v>
      </c>
      <c r="U824" s="2">
        <v>0.19769421051777034</v>
      </c>
      <c r="V824" s="2">
        <v>0.19769421051777034</v>
      </c>
      <c r="W824" s="2">
        <v>0.19769421051777034</v>
      </c>
    </row>
    <row r="825" spans="1:23" ht="12.75">
      <c r="A825" s="5" t="s">
        <v>425</v>
      </c>
      <c r="B825" s="2">
        <f t="array" ref="B825:W825">B823:W823/C823</f>
        <v>1.1439999999999999</v>
      </c>
      <c r="C825" s="2">
        <v>1</v>
      </c>
      <c r="D825" s="2">
        <v>0.87398234651119955</v>
      </c>
      <c r="E825" s="2">
        <v>0.76586081910775228</v>
      </c>
      <c r="F825" s="2">
        <v>0.68476967355516671</v>
      </c>
      <c r="G825" s="2">
        <v>0.57599999999999996</v>
      </c>
      <c r="H825" s="2">
        <v>0.54</v>
      </c>
      <c r="I825" s="2">
        <v>0.51200000000000001</v>
      </c>
      <c r="J825" s="2">
        <v>0.48799999999999999</v>
      </c>
      <c r="K825" s="2">
        <v>0.45600000000000002</v>
      </c>
      <c r="L825" s="2">
        <v>0.40799999999999997</v>
      </c>
      <c r="M825" s="2">
        <v>0.36399999999999999</v>
      </c>
      <c r="N825" s="2">
        <v>0.32</v>
      </c>
      <c r="O825" s="2">
        <v>0.27200000000000002</v>
      </c>
      <c r="P825" s="2">
        <v>0.22800000000000001</v>
      </c>
      <c r="Q825" s="2">
        <v>0.22800000000000001</v>
      </c>
      <c r="R825" s="2">
        <v>0.22800000000000001</v>
      </c>
      <c r="S825" s="2">
        <v>0.22800000000000001</v>
      </c>
      <c r="T825" s="2">
        <v>0.22800000000000001</v>
      </c>
      <c r="U825" s="2">
        <v>0.22800000000000001</v>
      </c>
      <c r="V825" s="2">
        <v>0.22800000000000001</v>
      </c>
      <c r="W825" s="2">
        <v>0.22800000000000001</v>
      </c>
    </row>
    <row r="826" spans="1:23" ht="15">
      <c r="A826" s="5"/>
      <c r="B826" s="56" t="s">
        <v>121</v>
      </c>
      <c r="C826" s="56" t="s">
        <v>126</v>
      </c>
      <c r="D826" s="56" t="s">
        <v>132</v>
      </c>
      <c r="E826" s="57" t="s">
        <v>24</v>
      </c>
      <c r="F826" s="43" t="s">
        <v>25</v>
      </c>
      <c r="G826" s="43" t="s">
        <v>26</v>
      </c>
      <c r="H826" s="43" t="s">
        <v>27</v>
      </c>
      <c r="I826" s="43" t="s">
        <v>28</v>
      </c>
      <c r="J826" s="43" t="s">
        <v>74</v>
      </c>
      <c r="K826" s="43" t="s">
        <v>75</v>
      </c>
      <c r="L826" s="43" t="s">
        <v>76</v>
      </c>
      <c r="M826" s="43" t="s">
        <v>77</v>
      </c>
      <c r="N826" s="43" t="s">
        <v>78</v>
      </c>
      <c r="O826" s="43" t="s">
        <v>79</v>
      </c>
      <c r="P826" s="43" t="s">
        <v>80</v>
      </c>
      <c r="Q826" s="43" t="s">
        <v>81</v>
      </c>
      <c r="R826" s="43" t="s">
        <v>82</v>
      </c>
      <c r="S826" s="43" t="s">
        <v>83</v>
      </c>
      <c r="T826" s="43" t="s">
        <v>84</v>
      </c>
      <c r="U826" s="43" t="s">
        <v>85</v>
      </c>
      <c r="V826" s="43" t="s">
        <v>86</v>
      </c>
      <c r="W826" s="43" t="s">
        <v>87</v>
      </c>
    </row>
    <row r="827" spans="1:23" ht="15">
      <c r="A827" s="8" t="s">
        <v>160</v>
      </c>
      <c r="B827" s="18">
        <v>1</v>
      </c>
      <c r="C827" s="18">
        <f t="array" ref="C827:W827">C828:W828/B828</f>
        <v>1</v>
      </c>
      <c r="D827" s="18">
        <v>1</v>
      </c>
      <c r="E827" s="18">
        <v>1</v>
      </c>
      <c r="F827" s="19">
        <v>0.91752577319587625</v>
      </c>
      <c r="G827" s="20">
        <v>0.85567010309278346</v>
      </c>
      <c r="H827" s="30">
        <v>0.77319587628865982</v>
      </c>
      <c r="I827" s="265">
        <v>0.7010309278350515</v>
      </c>
      <c r="J827" s="31">
        <v>0.62886597938144329</v>
      </c>
      <c r="K827" s="266">
        <v>0.54639175257731953</v>
      </c>
      <c r="L827" s="267">
        <v>0.51546391752577314</v>
      </c>
      <c r="M827" s="78">
        <v>0.49484536082474229</v>
      </c>
      <c r="N827" s="79">
        <v>0.47422680412371132</v>
      </c>
      <c r="O827" s="86">
        <v>0.47422680412371132</v>
      </c>
      <c r="P827" s="80">
        <v>0.47422680412371132</v>
      </c>
      <c r="Q827" s="88">
        <v>0.47422680412371132</v>
      </c>
      <c r="R827" s="81">
        <v>0.47422680412371132</v>
      </c>
      <c r="S827" s="81">
        <v>0.47422680412371132</v>
      </c>
      <c r="T827" s="81">
        <v>0.47422680412371132</v>
      </c>
      <c r="U827" s="81">
        <v>0.47422680412371132</v>
      </c>
      <c r="V827" s="81">
        <v>0.47422680412371132</v>
      </c>
      <c r="W827" s="81">
        <v>0.47422680412371132</v>
      </c>
    </row>
    <row r="828" spans="1:23" ht="12.75">
      <c r="A828" s="246" t="s">
        <v>160</v>
      </c>
      <c r="B828" s="13">
        <v>97</v>
      </c>
      <c r="C828" s="13">
        <v>97</v>
      </c>
      <c r="D828" s="13">
        <v>97</v>
      </c>
      <c r="E828" s="13">
        <v>97</v>
      </c>
      <c r="F828" s="13">
        <v>89</v>
      </c>
      <c r="G828" s="13">
        <v>83</v>
      </c>
      <c r="H828" s="13">
        <v>75</v>
      </c>
      <c r="I828" s="13">
        <v>68</v>
      </c>
      <c r="J828" s="13">
        <v>61</v>
      </c>
      <c r="K828" s="13">
        <v>53</v>
      </c>
      <c r="L828" s="13">
        <v>50</v>
      </c>
      <c r="M828" s="13">
        <v>48</v>
      </c>
      <c r="N828" s="13">
        <v>46</v>
      </c>
      <c r="O828" s="13">
        <v>46</v>
      </c>
      <c r="P828" s="13">
        <v>46</v>
      </c>
      <c r="Q828" s="13">
        <v>46</v>
      </c>
      <c r="R828" s="13">
        <v>46</v>
      </c>
      <c r="S828" s="13">
        <v>46</v>
      </c>
      <c r="T828" s="13">
        <v>46</v>
      </c>
      <c r="U828" s="13">
        <v>46</v>
      </c>
      <c r="V828" s="13">
        <v>46</v>
      </c>
      <c r="W828" s="13">
        <v>46</v>
      </c>
    </row>
    <row r="829" spans="1:23" ht="12.75">
      <c r="A829" s="5"/>
    </row>
    <row r="830" spans="1:23" ht="15">
      <c r="A830" s="8" t="s">
        <v>161</v>
      </c>
      <c r="B830" s="18">
        <v>1</v>
      </c>
      <c r="C830" s="18">
        <v>1</v>
      </c>
      <c r="D830" s="18">
        <f t="array" ref="D830:W830">D831:W831/C831</f>
        <v>1</v>
      </c>
      <c r="E830" s="18">
        <v>1</v>
      </c>
      <c r="F830" s="19">
        <v>0.8783783783783784</v>
      </c>
      <c r="G830" s="20">
        <v>0.7432432432432432</v>
      </c>
      <c r="H830" s="30">
        <v>0.70270270270270274</v>
      </c>
      <c r="I830" s="265">
        <v>0.64864864864864868</v>
      </c>
      <c r="J830" s="31">
        <v>0.59459459459459463</v>
      </c>
      <c r="K830" s="266">
        <v>0.54054054054054057</v>
      </c>
      <c r="L830" s="267">
        <v>0.41891891891891891</v>
      </c>
      <c r="M830" s="78">
        <v>0.3108108108108108</v>
      </c>
      <c r="N830" s="79">
        <v>0.1891891891891892</v>
      </c>
      <c r="O830" s="86">
        <v>0.1891891891891892</v>
      </c>
      <c r="P830" s="80">
        <v>0.1891891891891892</v>
      </c>
      <c r="Q830" s="88">
        <v>0.1891891891891892</v>
      </c>
      <c r="R830" s="81">
        <v>0.1891891891891892</v>
      </c>
      <c r="S830" s="81">
        <v>0.1891891891891892</v>
      </c>
      <c r="T830" s="81">
        <v>0.1891891891891892</v>
      </c>
      <c r="U830" s="81">
        <v>0.1891891891891892</v>
      </c>
      <c r="V830" s="81">
        <v>0.1891891891891892</v>
      </c>
      <c r="W830" s="81">
        <v>0.1891891891891892</v>
      </c>
    </row>
    <row r="831" spans="1:23" ht="12.75">
      <c r="A831" s="5"/>
      <c r="B831" s="13">
        <v>74</v>
      </c>
      <c r="C831" s="13">
        <v>74</v>
      </c>
      <c r="D831" s="13">
        <v>74</v>
      </c>
      <c r="E831" s="13">
        <v>74</v>
      </c>
      <c r="F831" s="13">
        <v>65</v>
      </c>
      <c r="G831" s="13">
        <v>55</v>
      </c>
      <c r="H831" s="13">
        <v>52</v>
      </c>
      <c r="I831" s="13">
        <v>48</v>
      </c>
      <c r="J831" s="13">
        <v>44</v>
      </c>
      <c r="K831" s="13">
        <v>40</v>
      </c>
      <c r="L831" s="13">
        <v>31</v>
      </c>
      <c r="M831" s="13">
        <v>23</v>
      </c>
      <c r="N831" s="13">
        <v>14</v>
      </c>
      <c r="O831" s="13">
        <v>14</v>
      </c>
      <c r="P831" s="13">
        <v>14</v>
      </c>
      <c r="Q831" s="13">
        <v>14</v>
      </c>
      <c r="R831" s="13">
        <v>14</v>
      </c>
      <c r="S831" s="13">
        <v>14</v>
      </c>
      <c r="T831" s="13">
        <v>14</v>
      </c>
      <c r="U831" s="13">
        <v>14</v>
      </c>
      <c r="V831" s="13">
        <v>14</v>
      </c>
      <c r="W831" s="13">
        <v>14</v>
      </c>
    </row>
    <row r="832" spans="1:23" ht="12.75">
      <c r="A832" s="246" t="s">
        <v>426</v>
      </c>
      <c r="F832" s="13" t="s">
        <v>427</v>
      </c>
    </row>
    <row r="833" spans="1:23" ht="12.75">
      <c r="A833" s="246"/>
      <c r="M833" s="13"/>
    </row>
    <row r="834" spans="1:23" ht="15">
      <c r="A834" s="52" t="s">
        <v>428</v>
      </c>
      <c r="B834" s="268" t="s">
        <v>126</v>
      </c>
      <c r="C834" s="56" t="s">
        <v>132</v>
      </c>
      <c r="D834" s="57" t="s">
        <v>24</v>
      </c>
      <c r="E834" s="43" t="s">
        <v>25</v>
      </c>
      <c r="F834" s="43" t="s">
        <v>26</v>
      </c>
      <c r="G834" s="43" t="s">
        <v>27</v>
      </c>
      <c r="H834" s="43" t="s">
        <v>28</v>
      </c>
      <c r="I834" s="43" t="s">
        <v>74</v>
      </c>
      <c r="J834" s="43" t="s">
        <v>75</v>
      </c>
      <c r="K834" s="43" t="s">
        <v>76</v>
      </c>
      <c r="L834" s="43" t="s">
        <v>77</v>
      </c>
      <c r="M834" s="43" t="s">
        <v>78</v>
      </c>
      <c r="N834" s="43" t="s">
        <v>79</v>
      </c>
      <c r="O834" s="43" t="s">
        <v>80</v>
      </c>
      <c r="P834" s="43" t="s">
        <v>81</v>
      </c>
      <c r="Q834" s="43" t="s">
        <v>82</v>
      </c>
      <c r="R834" s="43" t="s">
        <v>83</v>
      </c>
      <c r="S834" s="43" t="s">
        <v>84</v>
      </c>
      <c r="T834" s="43" t="s">
        <v>85</v>
      </c>
      <c r="U834" s="43" t="s">
        <v>86</v>
      </c>
      <c r="V834" s="43" t="s">
        <v>87</v>
      </c>
      <c r="W834" s="43" t="s">
        <v>88</v>
      </c>
    </row>
    <row r="835" spans="1:23" ht="12.75">
      <c r="A835" s="246">
        <v>0.4038461538</v>
      </c>
      <c r="B835" s="13">
        <v>147</v>
      </c>
      <c r="C835" s="13">
        <v>131</v>
      </c>
      <c r="D835" s="13">
        <v>112</v>
      </c>
      <c r="E835" s="13">
        <v>96</v>
      </c>
      <c r="F835" s="13">
        <v>85</v>
      </c>
      <c r="G835" s="13">
        <v>74</v>
      </c>
      <c r="H835" s="13">
        <v>63</v>
      </c>
      <c r="I835" s="13">
        <v>59</v>
      </c>
      <c r="J835" s="13">
        <v>54</v>
      </c>
      <c r="K835" s="13">
        <v>45</v>
      </c>
      <c r="L835" s="13">
        <v>36</v>
      </c>
      <c r="M835" s="13">
        <v>34</v>
      </c>
    </row>
    <row r="836" spans="1:23" ht="12.75">
      <c r="A836" s="246">
        <v>0.40500000000000003</v>
      </c>
    </row>
    <row r="837" spans="1:23" ht="12.75">
      <c r="A837" s="246" t="s">
        <v>429</v>
      </c>
      <c r="B837" s="13">
        <v>364</v>
      </c>
      <c r="C837" s="269">
        <f t="array" ref="C837:G837">INT(C835:G835*2.5)</f>
        <v>327</v>
      </c>
      <c r="D837" s="269">
        <v>280</v>
      </c>
      <c r="E837" s="269">
        <v>240</v>
      </c>
      <c r="F837" s="269">
        <v>212</v>
      </c>
      <c r="G837" s="269">
        <v>185</v>
      </c>
      <c r="H837" s="270">
        <v>156</v>
      </c>
      <c r="I837" s="13">
        <v>146</v>
      </c>
      <c r="J837" s="13">
        <v>135</v>
      </c>
      <c r="K837" s="13">
        <v>113</v>
      </c>
      <c r="L837" s="13">
        <v>91</v>
      </c>
      <c r="M837" s="13">
        <v>85</v>
      </c>
      <c r="N837" s="13">
        <v>79</v>
      </c>
      <c r="O837" s="13">
        <v>72</v>
      </c>
      <c r="P837" s="13">
        <v>72</v>
      </c>
      <c r="Q837" s="13">
        <v>72</v>
      </c>
      <c r="R837" s="13">
        <v>72</v>
      </c>
      <c r="S837" s="13">
        <v>72</v>
      </c>
      <c r="T837" s="13">
        <v>72</v>
      </c>
      <c r="U837" s="13">
        <v>72</v>
      </c>
      <c r="V837" s="13">
        <v>72</v>
      </c>
      <c r="W837" s="13">
        <v>72</v>
      </c>
    </row>
    <row r="838" spans="1:23" ht="12.75">
      <c r="A838" s="5">
        <f>AVERAGE(B838:M838)</f>
        <v>0.4002983711645367</v>
      </c>
      <c r="B838" s="2">
        <f>B835/B837</f>
        <v>0.40384615384615385</v>
      </c>
      <c r="I838" s="2">
        <f t="shared" ref="I838:M838" si="33">I835/I837</f>
        <v>0.4041095890410959</v>
      </c>
      <c r="J838" s="2">
        <f t="shared" si="33"/>
        <v>0.4</v>
      </c>
      <c r="K838" s="2">
        <f t="shared" si="33"/>
        <v>0.39823008849557523</v>
      </c>
      <c r="L838" s="2">
        <f t="shared" si="33"/>
        <v>0.39560439560439559</v>
      </c>
      <c r="M838" s="2">
        <f t="shared" si="33"/>
        <v>0.4</v>
      </c>
    </row>
    <row r="839" spans="1:23" ht="15">
      <c r="A839" s="52" t="s">
        <v>430</v>
      </c>
      <c r="B839" s="268" t="s">
        <v>126</v>
      </c>
      <c r="C839" s="56" t="s">
        <v>132</v>
      </c>
      <c r="D839" s="57" t="s">
        <v>24</v>
      </c>
      <c r="E839" s="43" t="s">
        <v>25</v>
      </c>
      <c r="F839" s="43" t="s">
        <v>26</v>
      </c>
      <c r="G839" s="43" t="s">
        <v>27</v>
      </c>
      <c r="H839" s="43" t="s">
        <v>28</v>
      </c>
      <c r="I839" s="43" t="s">
        <v>74</v>
      </c>
      <c r="J839" s="43" t="s">
        <v>75</v>
      </c>
      <c r="K839" s="43" t="s">
        <v>76</v>
      </c>
      <c r="L839" s="43" t="s">
        <v>77</v>
      </c>
      <c r="M839" s="43" t="s">
        <v>78</v>
      </c>
      <c r="N839" s="43" t="s">
        <v>79</v>
      </c>
      <c r="O839" s="43" t="s">
        <v>80</v>
      </c>
      <c r="P839" s="43" t="s">
        <v>81</v>
      </c>
      <c r="Q839" s="43" t="s">
        <v>82</v>
      </c>
      <c r="R839" s="43" t="s">
        <v>83</v>
      </c>
      <c r="S839" s="43" t="s">
        <v>84</v>
      </c>
      <c r="T839" s="43" t="s">
        <v>85</v>
      </c>
      <c r="U839" s="43" t="s">
        <v>86</v>
      </c>
      <c r="V839" s="43" t="s">
        <v>87</v>
      </c>
      <c r="W839" s="43" t="s">
        <v>88</v>
      </c>
    </row>
    <row r="840" spans="1:23" ht="12.75">
      <c r="A840" s="246">
        <v>0.3846153846</v>
      </c>
      <c r="B840" s="13">
        <v>140</v>
      </c>
      <c r="C840" s="13">
        <v>125</v>
      </c>
      <c r="D840" s="13">
        <v>108</v>
      </c>
      <c r="H840" s="13">
        <v>61</v>
      </c>
      <c r="I840" s="13">
        <v>56</v>
      </c>
      <c r="J840" s="13">
        <v>52</v>
      </c>
      <c r="K840" s="13">
        <v>43</v>
      </c>
      <c r="L840" s="13">
        <v>35</v>
      </c>
    </row>
    <row r="841" spans="1:23" ht="12.75">
      <c r="A841" s="246">
        <v>0.38500000000000001</v>
      </c>
    </row>
    <row r="842" spans="1:23" ht="12.75">
      <c r="A842" s="5">
        <f>AVERAGE(B842:M842)</f>
        <v>0.38370171434057959</v>
      </c>
      <c r="B842" s="2">
        <f>B840/B837</f>
        <v>0.38461538461538464</v>
      </c>
      <c r="I842" s="2">
        <f t="shared" ref="I842:L842" si="34">I840/I837</f>
        <v>0.38356164383561642</v>
      </c>
      <c r="J842" s="2">
        <f t="shared" si="34"/>
        <v>0.38518518518518519</v>
      </c>
      <c r="K842" s="2">
        <f t="shared" si="34"/>
        <v>0.38053097345132741</v>
      </c>
      <c r="L842" s="2">
        <f t="shared" si="34"/>
        <v>0.38461538461538464</v>
      </c>
    </row>
    <row r="843" spans="1:23" ht="15">
      <c r="A843" s="50" t="s">
        <v>431</v>
      </c>
      <c r="B843" s="56" t="s">
        <v>121</v>
      </c>
      <c r="C843" s="56" t="s">
        <v>126</v>
      </c>
      <c r="D843" s="56" t="s">
        <v>132</v>
      </c>
      <c r="E843" s="57" t="s">
        <v>24</v>
      </c>
      <c r="F843" s="43" t="s">
        <v>25</v>
      </c>
      <c r="G843" s="43" t="s">
        <v>26</v>
      </c>
      <c r="H843" s="43" t="s">
        <v>27</v>
      </c>
      <c r="I843" s="43" t="s">
        <v>28</v>
      </c>
      <c r="J843" s="43" t="s">
        <v>74</v>
      </c>
      <c r="K843" s="43" t="s">
        <v>75</v>
      </c>
      <c r="L843" s="43" t="s">
        <v>76</v>
      </c>
      <c r="M843" s="43" t="s">
        <v>77</v>
      </c>
      <c r="N843" s="43" t="s">
        <v>78</v>
      </c>
      <c r="O843" s="43" t="s">
        <v>79</v>
      </c>
      <c r="P843" s="43" t="s">
        <v>80</v>
      </c>
      <c r="Q843" s="43" t="s">
        <v>81</v>
      </c>
      <c r="R843" s="43" t="s">
        <v>82</v>
      </c>
      <c r="S843" s="43" t="s">
        <v>83</v>
      </c>
      <c r="T843" s="43" t="s">
        <v>84</v>
      </c>
      <c r="U843" s="43" t="s">
        <v>85</v>
      </c>
      <c r="V843" s="43" t="s">
        <v>86</v>
      </c>
      <c r="W843" s="43" t="s">
        <v>87</v>
      </c>
    </row>
    <row r="844" spans="1:23" ht="12.75">
      <c r="A844" s="246" t="s">
        <v>423</v>
      </c>
      <c r="B844" s="13">
        <v>99</v>
      </c>
      <c r="C844" s="13">
        <v>87</v>
      </c>
      <c r="D844" s="13">
        <v>75</v>
      </c>
      <c r="E844" s="13">
        <v>66</v>
      </c>
      <c r="G844" s="13">
        <v>50</v>
      </c>
      <c r="I844" s="13">
        <v>44</v>
      </c>
    </row>
    <row r="845" spans="1:23" ht="12.75">
      <c r="A845" s="5"/>
    </row>
    <row r="846" spans="1:23" ht="12.75">
      <c r="A846" s="246" t="s">
        <v>424</v>
      </c>
      <c r="B846" s="13">
        <v>223</v>
      </c>
      <c r="G846" s="13">
        <v>111</v>
      </c>
      <c r="H846" s="13">
        <v>104</v>
      </c>
      <c r="I846" s="13">
        <v>99</v>
      </c>
      <c r="L846" s="13">
        <v>79</v>
      </c>
    </row>
    <row r="847" spans="1:23" ht="12.75">
      <c r="A847" s="5"/>
      <c r="B847" s="13" t="s">
        <v>432</v>
      </c>
    </row>
    <row r="848" spans="1:23" ht="15">
      <c r="A848" s="50" t="s">
        <v>433</v>
      </c>
      <c r="B848" s="56" t="s">
        <v>121</v>
      </c>
      <c r="C848" s="56" t="s">
        <v>126</v>
      </c>
      <c r="D848" s="56" t="s">
        <v>132</v>
      </c>
      <c r="E848" s="57" t="s">
        <v>24</v>
      </c>
      <c r="F848" s="43" t="s">
        <v>25</v>
      </c>
      <c r="G848" s="43" t="s">
        <v>26</v>
      </c>
      <c r="H848" s="43" t="s">
        <v>27</v>
      </c>
      <c r="I848" s="43" t="s">
        <v>28</v>
      </c>
      <c r="J848" s="43" t="s">
        <v>74</v>
      </c>
      <c r="K848" s="43" t="s">
        <v>75</v>
      </c>
      <c r="L848" s="43" t="s">
        <v>76</v>
      </c>
      <c r="M848" s="43" t="s">
        <v>77</v>
      </c>
      <c r="N848" s="43" t="s">
        <v>78</v>
      </c>
      <c r="O848" s="43" t="s">
        <v>79</v>
      </c>
      <c r="P848" s="43" t="s">
        <v>80</v>
      </c>
      <c r="Q848" s="43" t="s">
        <v>81</v>
      </c>
      <c r="R848" s="43" t="s">
        <v>82</v>
      </c>
      <c r="S848" s="43" t="s">
        <v>83</v>
      </c>
      <c r="T848" s="43" t="s">
        <v>84</v>
      </c>
      <c r="U848" s="43" t="s">
        <v>85</v>
      </c>
      <c r="V848" s="43" t="s">
        <v>86</v>
      </c>
      <c r="W848" s="43" t="s">
        <v>87</v>
      </c>
    </row>
    <row r="849" spans="1:23" ht="12.75">
      <c r="A849" s="246" t="s">
        <v>423</v>
      </c>
      <c r="B849" s="13">
        <v>69</v>
      </c>
      <c r="C849" s="13">
        <v>60</v>
      </c>
    </row>
    <row r="850" spans="1:23" ht="12.75">
      <c r="A850" s="5"/>
    </row>
    <row r="851" spans="1:23" ht="12.75">
      <c r="A851" s="246" t="s">
        <v>424</v>
      </c>
      <c r="B851" s="13">
        <v>155.4246956405</v>
      </c>
      <c r="C851" s="13">
        <v>135</v>
      </c>
    </row>
    <row r="852" spans="1:23" ht="12.75">
      <c r="A852" s="5"/>
    </row>
    <row r="853" spans="1:23" ht="15">
      <c r="A853" s="50" t="s">
        <v>434</v>
      </c>
      <c r="B853" s="56" t="s">
        <v>121</v>
      </c>
      <c r="C853" s="56" t="s">
        <v>126</v>
      </c>
      <c r="D853" s="56" t="s">
        <v>132</v>
      </c>
      <c r="E853" s="57" t="s">
        <v>24</v>
      </c>
      <c r="F853" s="43" t="s">
        <v>25</v>
      </c>
      <c r="G853" s="43" t="s">
        <v>26</v>
      </c>
      <c r="H853" s="43" t="s">
        <v>27</v>
      </c>
      <c r="I853" s="43" t="s">
        <v>28</v>
      </c>
      <c r="J853" s="43" t="s">
        <v>74</v>
      </c>
      <c r="K853" s="43" t="s">
        <v>75</v>
      </c>
      <c r="L853" s="43" t="s">
        <v>76</v>
      </c>
      <c r="M853" s="43" t="s">
        <v>77</v>
      </c>
      <c r="N853" s="43" t="s">
        <v>78</v>
      </c>
      <c r="O853" s="43" t="s">
        <v>79</v>
      </c>
      <c r="P853" s="43" t="s">
        <v>80</v>
      </c>
      <c r="Q853" s="43" t="s">
        <v>81</v>
      </c>
      <c r="R853" s="43" t="s">
        <v>82</v>
      </c>
      <c r="S853" s="43" t="s">
        <v>83</v>
      </c>
      <c r="T853" s="43" t="s">
        <v>84</v>
      </c>
      <c r="U853" s="43" t="s">
        <v>85</v>
      </c>
      <c r="V853" s="43" t="s">
        <v>86</v>
      </c>
      <c r="W853" s="43" t="s">
        <v>87</v>
      </c>
    </row>
    <row r="854" spans="1:23" ht="12.75">
      <c r="A854" s="246" t="s">
        <v>423</v>
      </c>
      <c r="B854" s="13">
        <v>64</v>
      </c>
      <c r="C854" s="13">
        <v>56</v>
      </c>
      <c r="D854" s="13">
        <v>48</v>
      </c>
      <c r="E854" s="13">
        <v>42</v>
      </c>
      <c r="F854" s="13">
        <v>37</v>
      </c>
    </row>
    <row r="855" spans="1:23" ht="12.75">
      <c r="A855" s="5"/>
    </row>
    <row r="856" spans="1:23" ht="12.75">
      <c r="A856" s="246" t="s">
        <v>424</v>
      </c>
      <c r="B856" s="13">
        <v>143</v>
      </c>
      <c r="C856" s="13">
        <v>126</v>
      </c>
      <c r="D856" s="13">
        <v>108</v>
      </c>
      <c r="E856" s="13">
        <v>96</v>
      </c>
      <c r="F856" s="13">
        <v>83</v>
      </c>
    </row>
    <row r="857" spans="1:23" ht="12.75">
      <c r="A857" s="5"/>
    </row>
    <row r="858" spans="1:23" ht="12.75">
      <c r="A858" s="5"/>
      <c r="B858" s="2">
        <f t="array" ref="B858:F858">B854:F854/B856:F856</f>
        <v>0.44755244755244755</v>
      </c>
      <c r="C858" s="2">
        <v>0.44444444444444442</v>
      </c>
      <c r="D858" s="2">
        <v>0.44444444444444442</v>
      </c>
      <c r="E858" s="2">
        <v>0.4375</v>
      </c>
      <c r="F858" s="2">
        <v>0.44578313253012047</v>
      </c>
    </row>
    <row r="859" spans="1:23" ht="12.75">
      <c r="A859" s="5"/>
    </row>
    <row r="860" spans="1:23" ht="12.75">
      <c r="A860" s="5"/>
      <c r="D860" s="2">
        <f>AVERAGE(B858:F858)</f>
        <v>0.44394489379429131</v>
      </c>
      <c r="E860" s="13" t="s">
        <v>435</v>
      </c>
    </row>
    <row r="861" spans="1:23" ht="12.75">
      <c r="A861" s="5"/>
      <c r="I861" s="13">
        <v>130</v>
      </c>
      <c r="J861" s="13">
        <v>124</v>
      </c>
    </row>
    <row r="862" spans="1:23" ht="15">
      <c r="A862" s="50" t="s">
        <v>436</v>
      </c>
      <c r="B862" s="56" t="s">
        <v>121</v>
      </c>
      <c r="C862" s="56" t="s">
        <v>126</v>
      </c>
      <c r="D862" s="56" t="s">
        <v>132</v>
      </c>
      <c r="E862" s="57" t="s">
        <v>24</v>
      </c>
      <c r="F862" s="43" t="s">
        <v>25</v>
      </c>
      <c r="G862" s="43" t="s">
        <v>26</v>
      </c>
      <c r="H862" s="43" t="s">
        <v>27</v>
      </c>
      <c r="I862" s="43" t="s">
        <v>28</v>
      </c>
      <c r="J862" s="43" t="s">
        <v>74</v>
      </c>
      <c r="K862" s="43" t="s">
        <v>75</v>
      </c>
      <c r="L862" s="43" t="s">
        <v>76</v>
      </c>
      <c r="M862" s="43" t="s">
        <v>77</v>
      </c>
      <c r="N862" s="43" t="s">
        <v>78</v>
      </c>
      <c r="O862" s="43" t="s">
        <v>79</v>
      </c>
      <c r="P862" s="43" t="s">
        <v>80</v>
      </c>
      <c r="Q862" s="43" t="s">
        <v>81</v>
      </c>
      <c r="R862" s="43" t="s">
        <v>82</v>
      </c>
      <c r="S862" s="43" t="s">
        <v>83</v>
      </c>
      <c r="T862" s="43" t="s">
        <v>84</v>
      </c>
      <c r="U862" s="43" t="s">
        <v>85</v>
      </c>
      <c r="V862" s="43" t="s">
        <v>86</v>
      </c>
      <c r="W862" s="43" t="s">
        <v>87</v>
      </c>
    </row>
    <row r="863" spans="1:23" ht="12.75">
      <c r="A863" s="246" t="s">
        <v>437</v>
      </c>
      <c r="G863" s="13">
        <v>134</v>
      </c>
      <c r="H863" s="13">
        <v>118</v>
      </c>
      <c r="I863" s="13">
        <v>100</v>
      </c>
      <c r="J863" s="13">
        <v>96</v>
      </c>
    </row>
    <row r="864" spans="1:23" ht="12.75">
      <c r="A864" s="5"/>
    </row>
    <row r="865" spans="1:23" ht="15">
      <c r="A865" s="50" t="s">
        <v>438</v>
      </c>
      <c r="B865" s="56" t="s">
        <v>121</v>
      </c>
      <c r="C865" s="56" t="s">
        <v>126</v>
      </c>
      <c r="D865" s="56" t="s">
        <v>132</v>
      </c>
      <c r="E865" s="57" t="s">
        <v>24</v>
      </c>
      <c r="F865" s="43" t="s">
        <v>25</v>
      </c>
      <c r="G865" s="43" t="s">
        <v>26</v>
      </c>
      <c r="H865" s="43" t="s">
        <v>27</v>
      </c>
      <c r="I865" s="43" t="s">
        <v>28</v>
      </c>
      <c r="J865" s="43" t="s">
        <v>74</v>
      </c>
      <c r="K865" s="43" t="s">
        <v>75</v>
      </c>
      <c r="L865" s="43" t="s">
        <v>76</v>
      </c>
      <c r="M865" s="43" t="s">
        <v>77</v>
      </c>
      <c r="N865" s="43" t="s">
        <v>78</v>
      </c>
      <c r="O865" s="43" t="s">
        <v>79</v>
      </c>
      <c r="P865" s="43" t="s">
        <v>80</v>
      </c>
      <c r="Q865" s="43" t="s">
        <v>81</v>
      </c>
      <c r="R865" s="43" t="s">
        <v>82</v>
      </c>
      <c r="S865" s="43" t="s">
        <v>83</v>
      </c>
      <c r="T865" s="43" t="s">
        <v>84</v>
      </c>
      <c r="U865" s="43" t="s">
        <v>85</v>
      </c>
      <c r="V865" s="43" t="s">
        <v>86</v>
      </c>
      <c r="W865" s="43" t="s">
        <v>87</v>
      </c>
    </row>
    <row r="866" spans="1:23" ht="12.75">
      <c r="A866" s="246" t="s">
        <v>439</v>
      </c>
      <c r="C866" s="13">
        <v>142</v>
      </c>
      <c r="D866" s="13">
        <v>133</v>
      </c>
      <c r="E866" s="13">
        <v>123</v>
      </c>
      <c r="F866" s="13">
        <v>112</v>
      </c>
      <c r="G866" s="13">
        <v>101</v>
      </c>
      <c r="H866" s="13">
        <v>87</v>
      </c>
      <c r="I866" s="13">
        <v>75</v>
      </c>
    </row>
    <row r="867" spans="1:23" ht="12.75">
      <c r="A867" s="5"/>
    </row>
    <row r="868" spans="1:23" ht="15">
      <c r="A868" s="50" t="s">
        <v>440</v>
      </c>
      <c r="B868" s="56" t="s">
        <v>121</v>
      </c>
      <c r="C868" s="56" t="s">
        <v>126</v>
      </c>
      <c r="D868" s="56" t="s">
        <v>132</v>
      </c>
      <c r="E868" s="57" t="s">
        <v>24</v>
      </c>
      <c r="F868" s="43" t="s">
        <v>25</v>
      </c>
      <c r="G868" s="43" t="s">
        <v>26</v>
      </c>
      <c r="H868" s="43" t="s">
        <v>27</v>
      </c>
      <c r="I868" s="43" t="s">
        <v>28</v>
      </c>
      <c r="J868" s="43" t="s">
        <v>74</v>
      </c>
      <c r="K868" s="43" t="s">
        <v>75</v>
      </c>
      <c r="L868" s="43" t="s">
        <v>76</v>
      </c>
      <c r="M868" s="43" t="s">
        <v>77</v>
      </c>
      <c r="N868" s="43" t="s">
        <v>78</v>
      </c>
      <c r="O868" s="43" t="s">
        <v>79</v>
      </c>
      <c r="P868" s="43" t="s">
        <v>80</v>
      </c>
      <c r="Q868" s="43" t="s">
        <v>81</v>
      </c>
      <c r="R868" s="43" t="s">
        <v>82</v>
      </c>
      <c r="S868" s="43" t="s">
        <v>83</v>
      </c>
      <c r="T868" s="43" t="s">
        <v>84</v>
      </c>
      <c r="U868" s="43" t="s">
        <v>85</v>
      </c>
      <c r="V868" s="43" t="s">
        <v>86</v>
      </c>
      <c r="W868" s="43" t="s">
        <v>87</v>
      </c>
    </row>
    <row r="869" spans="1:23" ht="12.75">
      <c r="A869" s="5" t="s">
        <v>441</v>
      </c>
      <c r="B869" s="2">
        <v>140</v>
      </c>
      <c r="C869" s="2">
        <v>133</v>
      </c>
      <c r="D869" s="2">
        <v>123</v>
      </c>
      <c r="E869" s="2">
        <v>114</v>
      </c>
      <c r="F869" s="2">
        <v>105</v>
      </c>
      <c r="G869" s="2">
        <v>93</v>
      </c>
      <c r="H869" s="2">
        <v>81</v>
      </c>
      <c r="I869" s="2">
        <v>70</v>
      </c>
    </row>
    <row r="870" spans="1:23" ht="12.75">
      <c r="A870" s="253" t="s">
        <v>442</v>
      </c>
      <c r="B870" s="223">
        <v>195</v>
      </c>
      <c r="C870" s="223">
        <v>195</v>
      </c>
      <c r="D870" s="223">
        <v>173</v>
      </c>
      <c r="E870" s="223">
        <v>146</v>
      </c>
      <c r="F870" s="223">
        <v>131</v>
      </c>
      <c r="G870" s="223">
        <v>114</v>
      </c>
      <c r="H870" s="223">
        <v>98</v>
      </c>
      <c r="I870" s="223">
        <v>92</v>
      </c>
      <c r="J870" s="223">
        <v>87</v>
      </c>
      <c r="K870" s="223">
        <v>83</v>
      </c>
      <c r="L870" s="223">
        <v>72</v>
      </c>
      <c r="M870" s="223">
        <v>65</v>
      </c>
      <c r="N870" s="223">
        <v>55</v>
      </c>
      <c r="O870" s="13" t="s">
        <v>159</v>
      </c>
    </row>
    <row r="871" spans="1:23" ht="14.25">
      <c r="A871" s="42" t="s">
        <v>443</v>
      </c>
      <c r="B871" s="271">
        <v>208</v>
      </c>
      <c r="C871" s="271">
        <v>208</v>
      </c>
      <c r="D871" s="271">
        <v>184</v>
      </c>
      <c r="E871" s="271">
        <v>157</v>
      </c>
      <c r="F871" s="133">
        <v>140</v>
      </c>
      <c r="G871" s="133">
        <v>122</v>
      </c>
      <c r="H871" s="133">
        <v>105</v>
      </c>
      <c r="I871" s="133">
        <v>98</v>
      </c>
      <c r="J871" s="133">
        <v>93</v>
      </c>
      <c r="K871" s="13">
        <v>88</v>
      </c>
      <c r="L871" s="13">
        <v>78</v>
      </c>
      <c r="M871" s="13">
        <v>68</v>
      </c>
      <c r="N871" s="13">
        <v>59</v>
      </c>
      <c r="O871" s="13" t="s">
        <v>159</v>
      </c>
    </row>
    <row r="872" spans="1:23" ht="15">
      <c r="A872" s="42" t="s">
        <v>444</v>
      </c>
      <c r="B872" s="56" t="s">
        <v>121</v>
      </c>
      <c r="C872" s="56" t="s">
        <v>126</v>
      </c>
      <c r="D872" s="56" t="s">
        <v>132</v>
      </c>
      <c r="E872" s="57" t="s">
        <v>24</v>
      </c>
      <c r="F872" s="43" t="s">
        <v>25</v>
      </c>
      <c r="G872" s="43" t="s">
        <v>26</v>
      </c>
      <c r="H872" s="43" t="s">
        <v>27</v>
      </c>
      <c r="I872" s="43" t="s">
        <v>28</v>
      </c>
      <c r="J872" s="43" t="s">
        <v>74</v>
      </c>
      <c r="K872" s="43" t="s">
        <v>75</v>
      </c>
      <c r="L872" s="43" t="s">
        <v>76</v>
      </c>
      <c r="M872" s="43" t="s">
        <v>77</v>
      </c>
      <c r="N872" s="43" t="s">
        <v>78</v>
      </c>
      <c r="O872" s="43" t="s">
        <v>79</v>
      </c>
      <c r="P872" s="43" t="s">
        <v>80</v>
      </c>
      <c r="Q872" s="43" t="s">
        <v>81</v>
      </c>
      <c r="R872" s="43" t="s">
        <v>82</v>
      </c>
      <c r="S872" s="43" t="s">
        <v>83</v>
      </c>
      <c r="T872" s="43" t="s">
        <v>84</v>
      </c>
      <c r="U872" s="43" t="s">
        <v>85</v>
      </c>
      <c r="V872" s="43" t="s">
        <v>86</v>
      </c>
      <c r="W872" s="43" t="s">
        <v>87</v>
      </c>
    </row>
    <row r="873" spans="1:23" ht="12.75">
      <c r="A873" s="246" t="s">
        <v>437</v>
      </c>
      <c r="B873" s="13" t="s">
        <v>445</v>
      </c>
      <c r="D873" s="13">
        <v>133</v>
      </c>
      <c r="E873" s="13">
        <v>113</v>
      </c>
    </row>
    <row r="874" spans="1:23" ht="14.25">
      <c r="A874" s="246" t="s">
        <v>446</v>
      </c>
      <c r="B874" s="272">
        <v>160</v>
      </c>
      <c r="C874" s="272">
        <v>160</v>
      </c>
      <c r="D874" s="133">
        <v>142</v>
      </c>
      <c r="E874" s="133">
        <v>121</v>
      </c>
      <c r="F874" s="272">
        <v>108</v>
      </c>
      <c r="G874" s="272">
        <v>94</v>
      </c>
      <c r="H874" s="272">
        <v>81</v>
      </c>
      <c r="I874" s="272">
        <v>76</v>
      </c>
      <c r="J874" s="272">
        <v>72</v>
      </c>
      <c r="K874" s="272">
        <v>68</v>
      </c>
      <c r="L874" s="13">
        <v>60</v>
      </c>
      <c r="M874" s="13">
        <v>53</v>
      </c>
      <c r="N874" s="272">
        <v>46</v>
      </c>
    </row>
    <row r="875" spans="1:23" ht="15">
      <c r="A875" s="42" t="s">
        <v>447</v>
      </c>
      <c r="B875" s="56" t="s">
        <v>121</v>
      </c>
      <c r="C875" s="56" t="s">
        <v>126</v>
      </c>
      <c r="D875" s="56" t="s">
        <v>132</v>
      </c>
      <c r="E875" s="57" t="s">
        <v>24</v>
      </c>
      <c r="F875" s="43" t="s">
        <v>25</v>
      </c>
      <c r="G875" s="43" t="s">
        <v>26</v>
      </c>
      <c r="H875" s="43" t="s">
        <v>27</v>
      </c>
      <c r="I875" s="43" t="s">
        <v>28</v>
      </c>
      <c r="J875" s="43" t="s">
        <v>74</v>
      </c>
      <c r="K875" s="43" t="s">
        <v>75</v>
      </c>
      <c r="L875" s="43" t="s">
        <v>76</v>
      </c>
      <c r="M875" s="43" t="s">
        <v>77</v>
      </c>
      <c r="N875" s="43" t="s">
        <v>78</v>
      </c>
      <c r="O875" s="43" t="s">
        <v>79</v>
      </c>
      <c r="P875" s="43" t="s">
        <v>80</v>
      </c>
      <c r="Q875" s="43" t="s">
        <v>81</v>
      </c>
      <c r="R875" s="43" t="s">
        <v>82</v>
      </c>
      <c r="S875" s="43" t="s">
        <v>83</v>
      </c>
      <c r="T875" s="43" t="s">
        <v>84</v>
      </c>
      <c r="U875" s="43" t="s">
        <v>85</v>
      </c>
      <c r="V875" s="43" t="s">
        <v>86</v>
      </c>
      <c r="W875" s="43" t="s">
        <v>87</v>
      </c>
    </row>
    <row r="876" spans="1:23" ht="12.75">
      <c r="A876" s="246" t="s">
        <v>439</v>
      </c>
      <c r="B876" s="13">
        <v>112</v>
      </c>
      <c r="C876" s="13">
        <v>112</v>
      </c>
      <c r="D876" s="13">
        <v>99</v>
      </c>
      <c r="E876" s="13">
        <v>84</v>
      </c>
    </row>
    <row r="877" spans="1:23" ht="14.25">
      <c r="A877" s="254" t="s">
        <v>448</v>
      </c>
      <c r="B877" s="133">
        <v>120</v>
      </c>
      <c r="C877" s="133">
        <v>120</v>
      </c>
    </row>
    <row r="878" spans="1:23" ht="15">
      <c r="A878" s="50" t="s">
        <v>449</v>
      </c>
      <c r="B878" s="56" t="s">
        <v>121</v>
      </c>
      <c r="C878" s="56" t="s">
        <v>126</v>
      </c>
      <c r="D878" s="56" t="s">
        <v>132</v>
      </c>
      <c r="E878" s="57" t="s">
        <v>24</v>
      </c>
      <c r="F878" s="43" t="s">
        <v>25</v>
      </c>
      <c r="G878" s="43" t="s">
        <v>26</v>
      </c>
      <c r="H878" s="43" t="s">
        <v>27</v>
      </c>
      <c r="I878" s="43" t="s">
        <v>28</v>
      </c>
      <c r="J878" s="43" t="s">
        <v>74</v>
      </c>
      <c r="K878" s="43" t="s">
        <v>75</v>
      </c>
      <c r="L878" s="43" t="s">
        <v>76</v>
      </c>
      <c r="M878" s="43" t="s">
        <v>77</v>
      </c>
      <c r="N878" s="43" t="s">
        <v>78</v>
      </c>
      <c r="O878" s="43" t="s">
        <v>79</v>
      </c>
      <c r="P878" s="43" t="s">
        <v>80</v>
      </c>
      <c r="Q878" s="43" t="s">
        <v>81</v>
      </c>
      <c r="R878" s="43" t="s">
        <v>82</v>
      </c>
      <c r="S878" s="43" t="s">
        <v>83</v>
      </c>
      <c r="T878" s="43" t="s">
        <v>84</v>
      </c>
      <c r="U878" s="43" t="s">
        <v>85</v>
      </c>
      <c r="V878" s="43" t="s">
        <v>86</v>
      </c>
      <c r="W878" s="43" t="s">
        <v>87</v>
      </c>
    </row>
    <row r="879" spans="1:23" ht="12.75">
      <c r="A879" s="246" t="s">
        <v>441</v>
      </c>
      <c r="B879" s="13">
        <v>105</v>
      </c>
      <c r="C879" s="13">
        <v>105</v>
      </c>
      <c r="D879" s="13">
        <v>93</v>
      </c>
      <c r="E879" s="13">
        <v>79</v>
      </c>
    </row>
    <row r="880" spans="1:23" ht="14.25">
      <c r="A880" s="5"/>
      <c r="B880" s="133">
        <v>112</v>
      </c>
      <c r="K880" s="13"/>
    </row>
    <row r="881" spans="1:41" ht="12.75">
      <c r="A881" s="5"/>
    </row>
    <row r="882" spans="1:41" ht="15">
      <c r="A882" s="5"/>
      <c r="B882" s="56" t="s">
        <v>121</v>
      </c>
      <c r="C882" s="56" t="s">
        <v>126</v>
      </c>
      <c r="D882" s="56" t="s">
        <v>132</v>
      </c>
      <c r="E882" s="57" t="s">
        <v>24</v>
      </c>
      <c r="F882" s="43" t="s">
        <v>25</v>
      </c>
      <c r="G882" s="43" t="s">
        <v>26</v>
      </c>
      <c r="H882" s="43" t="s">
        <v>27</v>
      </c>
      <c r="I882" s="43" t="s">
        <v>28</v>
      </c>
      <c r="J882" s="43" t="s">
        <v>74</v>
      </c>
      <c r="K882" s="43" t="s">
        <v>75</v>
      </c>
      <c r="L882" s="43" t="s">
        <v>76</v>
      </c>
      <c r="M882" s="43" t="s">
        <v>77</v>
      </c>
      <c r="N882" s="43" t="s">
        <v>78</v>
      </c>
      <c r="O882" s="43" t="s">
        <v>79</v>
      </c>
      <c r="P882" s="43" t="s">
        <v>80</v>
      </c>
      <c r="Q882" s="43" t="s">
        <v>81</v>
      </c>
      <c r="R882" s="43" t="s">
        <v>82</v>
      </c>
      <c r="S882" s="43" t="s">
        <v>83</v>
      </c>
      <c r="T882" s="43" t="s">
        <v>84</v>
      </c>
      <c r="U882" s="43" t="s">
        <v>85</v>
      </c>
      <c r="V882" s="43" t="s">
        <v>86</v>
      </c>
      <c r="W882" s="43" t="s">
        <v>87</v>
      </c>
    </row>
    <row r="883" spans="1:41" ht="15">
      <c r="A883" s="50" t="s">
        <v>450</v>
      </c>
      <c r="B883" s="18">
        <f>B884/C884</f>
        <v>1.056910569105691</v>
      </c>
      <c r="C883" s="18">
        <v>1</v>
      </c>
      <c r="D883" s="18">
        <f t="array" ref="D883:W883">D884:W884/C884</f>
        <v>0.93292682926829273</v>
      </c>
      <c r="E883" s="18">
        <v>0.86666666666666659</v>
      </c>
      <c r="F883" s="19">
        <v>0.79268292682926833</v>
      </c>
      <c r="G883" s="20">
        <v>0.70731707317073167</v>
      </c>
      <c r="H883" s="30">
        <v>0.6097560975609756</v>
      </c>
      <c r="I883" s="265">
        <v>0.52845528455284552</v>
      </c>
      <c r="J883" s="31">
        <v>0.52032520325203258</v>
      </c>
      <c r="K883" s="266">
        <v>0.51626016260162599</v>
      </c>
      <c r="L883" s="267">
        <v>0.50406504065040647</v>
      </c>
      <c r="M883" s="78">
        <v>0.5</v>
      </c>
      <c r="N883" s="79">
        <v>0.48780487804878048</v>
      </c>
      <c r="O883" s="86">
        <v>0.47967479674796748</v>
      </c>
      <c r="P883" s="80">
        <v>0.47154471544715448</v>
      </c>
      <c r="Q883" s="88">
        <v>0.42276422764227645</v>
      </c>
      <c r="R883" s="81">
        <v>0.36991869918699188</v>
      </c>
      <c r="S883" s="81">
        <v>0.31707317073170732</v>
      </c>
      <c r="T883" s="81">
        <v>0.26422764227642276</v>
      </c>
      <c r="U883" s="81">
        <v>0.21138211382113822</v>
      </c>
      <c r="V883" s="81">
        <v>0.21138211382113822</v>
      </c>
      <c r="W883" s="81">
        <v>0.21138211382113822</v>
      </c>
    </row>
    <row r="884" spans="1:41" ht="15">
      <c r="A884" s="50" t="s">
        <v>451</v>
      </c>
      <c r="B884" s="273">
        <v>260</v>
      </c>
      <c r="C884" s="273">
        <v>246</v>
      </c>
      <c r="D884" s="273">
        <v>229.5</v>
      </c>
      <c r="E884" s="273">
        <v>213.2</v>
      </c>
      <c r="F884" s="273">
        <v>195</v>
      </c>
      <c r="G884" s="273">
        <v>174</v>
      </c>
      <c r="H884" s="273">
        <v>150</v>
      </c>
      <c r="I884" s="273">
        <v>130</v>
      </c>
      <c r="J884" s="273">
        <v>128</v>
      </c>
      <c r="K884" s="273">
        <v>127</v>
      </c>
      <c r="L884" s="273">
        <v>124</v>
      </c>
      <c r="M884" s="273">
        <v>123</v>
      </c>
      <c r="N884" s="273">
        <v>120</v>
      </c>
      <c r="O884" s="273">
        <v>118</v>
      </c>
      <c r="P884" s="273">
        <v>116</v>
      </c>
      <c r="Q884" s="274">
        <v>104</v>
      </c>
      <c r="R884" s="274">
        <v>91</v>
      </c>
      <c r="S884" s="274">
        <v>78</v>
      </c>
      <c r="T884" s="274">
        <v>65</v>
      </c>
      <c r="U884" s="274">
        <v>52</v>
      </c>
      <c r="V884" s="274">
        <v>52</v>
      </c>
      <c r="W884" s="274">
        <v>52</v>
      </c>
    </row>
    <row r="885" spans="1:41" ht="15">
      <c r="A885" s="50" t="s">
        <v>189</v>
      </c>
      <c r="B885" s="273">
        <f t="array" ref="B885:W885">B884:W884/1.3</f>
        <v>200</v>
      </c>
      <c r="C885" s="273">
        <v>189.23076923076923</v>
      </c>
      <c r="D885" s="273">
        <v>176.53846153846152</v>
      </c>
      <c r="E885" s="273">
        <v>163.99999999999997</v>
      </c>
      <c r="F885" s="273">
        <v>150</v>
      </c>
      <c r="G885" s="273">
        <v>133.84615384615384</v>
      </c>
      <c r="H885" s="273">
        <v>115.38461538461539</v>
      </c>
      <c r="I885" s="273">
        <v>100</v>
      </c>
      <c r="J885" s="273">
        <v>98.461538461538453</v>
      </c>
      <c r="K885" s="273">
        <v>97.692307692307693</v>
      </c>
      <c r="L885" s="273">
        <v>95.384615384615387</v>
      </c>
      <c r="M885" s="273">
        <v>94.615384615384613</v>
      </c>
      <c r="N885" s="273">
        <v>92.307692307692307</v>
      </c>
      <c r="O885" s="273">
        <v>90.769230769230759</v>
      </c>
      <c r="P885" s="273">
        <v>89.230769230769226</v>
      </c>
      <c r="Q885" s="274">
        <v>80</v>
      </c>
      <c r="R885" s="274">
        <v>70</v>
      </c>
      <c r="S885" s="274">
        <v>60</v>
      </c>
      <c r="T885" s="274">
        <v>50</v>
      </c>
      <c r="U885" s="274">
        <v>40</v>
      </c>
      <c r="V885" s="274">
        <v>40</v>
      </c>
      <c r="W885" s="274">
        <v>40</v>
      </c>
    </row>
    <row r="886" spans="1:41" ht="15">
      <c r="A886" s="50" t="s">
        <v>366</v>
      </c>
      <c r="B886" s="273">
        <f t="array" ref="B886:W886">B884:W884/1.3*0.75</f>
        <v>150</v>
      </c>
      <c r="C886" s="273">
        <v>141.92307692307691</v>
      </c>
      <c r="D886" s="273">
        <v>132.40384615384613</v>
      </c>
      <c r="E886" s="273">
        <v>122.99999999999997</v>
      </c>
      <c r="F886" s="273">
        <v>112.5</v>
      </c>
      <c r="G886" s="273">
        <v>100.38461538461539</v>
      </c>
      <c r="H886" s="273">
        <v>86.538461538461547</v>
      </c>
      <c r="I886" s="273">
        <v>75</v>
      </c>
      <c r="J886" s="273">
        <v>73.84615384615384</v>
      </c>
      <c r="K886" s="273">
        <v>73.269230769230774</v>
      </c>
      <c r="L886" s="273">
        <v>71.538461538461547</v>
      </c>
      <c r="M886" s="273">
        <v>70.961538461538453</v>
      </c>
      <c r="N886" s="273">
        <v>69.230769230769226</v>
      </c>
      <c r="O886" s="273">
        <v>68.076923076923066</v>
      </c>
      <c r="P886" s="273">
        <v>66.92307692307692</v>
      </c>
      <c r="Q886" s="274">
        <v>60</v>
      </c>
      <c r="R886" s="274">
        <v>52.5</v>
      </c>
      <c r="S886" s="274">
        <v>45</v>
      </c>
      <c r="T886" s="274">
        <v>37.5</v>
      </c>
      <c r="U886" s="274">
        <v>30</v>
      </c>
      <c r="V886" s="274">
        <v>30</v>
      </c>
      <c r="W886" s="274">
        <v>30</v>
      </c>
    </row>
    <row r="887" spans="1:41" ht="15">
      <c r="A887" s="50" t="s">
        <v>199</v>
      </c>
      <c r="B887" s="273">
        <f t="array" ref="B887:W887">B884:W884/1.3*0.7</f>
        <v>140</v>
      </c>
      <c r="C887" s="273">
        <v>132.46153846153845</v>
      </c>
      <c r="D887" s="273">
        <v>123.57692307692305</v>
      </c>
      <c r="E887" s="273">
        <v>114.79999999999997</v>
      </c>
      <c r="F887" s="273">
        <v>105</v>
      </c>
      <c r="G887" s="273">
        <v>93.692307692307679</v>
      </c>
      <c r="H887" s="273">
        <v>80.769230769230759</v>
      </c>
      <c r="I887" s="273">
        <v>70</v>
      </c>
      <c r="J887" s="273">
        <v>68.923076923076906</v>
      </c>
      <c r="K887" s="273">
        <v>68.384615384615387</v>
      </c>
      <c r="L887" s="273">
        <v>66.769230769230774</v>
      </c>
      <c r="M887" s="273">
        <v>66.230769230769226</v>
      </c>
      <c r="N887" s="273">
        <v>64.615384615384613</v>
      </c>
      <c r="O887" s="273">
        <v>63.538461538461526</v>
      </c>
      <c r="P887" s="273">
        <v>62.461538461538453</v>
      </c>
      <c r="Q887" s="274">
        <v>56</v>
      </c>
      <c r="R887" s="274">
        <v>49</v>
      </c>
      <c r="S887" s="274">
        <v>42</v>
      </c>
      <c r="T887" s="274">
        <v>35</v>
      </c>
      <c r="U887" s="274">
        <v>28</v>
      </c>
      <c r="V887" s="274">
        <v>28</v>
      </c>
      <c r="W887" s="274">
        <v>28</v>
      </c>
    </row>
    <row r="888" spans="1:41" ht="12.75">
      <c r="A888" s="246" t="s">
        <v>452</v>
      </c>
    </row>
    <row r="889" spans="1:41" ht="19.5">
      <c r="A889" s="222" t="s">
        <v>453</v>
      </c>
      <c r="B889" s="247" t="s">
        <v>341</v>
      </c>
      <c r="C889" s="13" t="s">
        <v>342</v>
      </c>
      <c r="D889" s="249" t="s">
        <v>343</v>
      </c>
      <c r="E889" s="211" t="s">
        <v>344</v>
      </c>
      <c r="F889" s="13" t="s">
        <v>345</v>
      </c>
      <c r="G889" s="250" t="s">
        <v>347</v>
      </c>
      <c r="I889" s="360" t="s">
        <v>454</v>
      </c>
      <c r="J889" s="346"/>
      <c r="K889" s="346"/>
      <c r="L889" s="346"/>
      <c r="M889" s="346"/>
      <c r="N889" s="346"/>
      <c r="O889" s="246" t="s">
        <v>348</v>
      </c>
      <c r="P889" s="260" t="s">
        <v>455</v>
      </c>
      <c r="Q889" s="109" t="s">
        <v>352</v>
      </c>
      <c r="R889" s="246" t="s">
        <v>354</v>
      </c>
      <c r="S889" s="246" t="s">
        <v>356</v>
      </c>
      <c r="T889" s="253" t="s">
        <v>357</v>
      </c>
      <c r="U889" s="109" t="s">
        <v>358</v>
      </c>
      <c r="V889" s="109" t="s">
        <v>359</v>
      </c>
      <c r="AD889" s="254" t="s">
        <v>364</v>
      </c>
      <c r="AE889" s="246" t="s">
        <v>365</v>
      </c>
      <c r="AL889" s="246" t="s">
        <v>368</v>
      </c>
      <c r="AM889" s="109" t="s">
        <v>369</v>
      </c>
      <c r="AN889" s="246" t="s">
        <v>370</v>
      </c>
      <c r="AO889" s="246" t="s">
        <v>371</v>
      </c>
    </row>
    <row r="890" spans="1:41" ht="14.25">
      <c r="A890" s="246">
        <v>20</v>
      </c>
      <c r="B890" s="13">
        <v>113</v>
      </c>
      <c r="C890" s="13">
        <v>110</v>
      </c>
      <c r="D890" s="58">
        <v>107</v>
      </c>
      <c r="E890" s="13">
        <v>104</v>
      </c>
      <c r="F890" s="13">
        <v>101</v>
      </c>
      <c r="G890" s="58">
        <v>98</v>
      </c>
      <c r="H890" s="13"/>
      <c r="I890" s="275"/>
      <c r="J890" s="13" t="s">
        <v>456</v>
      </c>
      <c r="K890" s="13"/>
      <c r="L890" s="275"/>
      <c r="M890" s="276"/>
      <c r="N890" s="275"/>
      <c r="O890" s="13">
        <v>104</v>
      </c>
      <c r="P890" s="13">
        <v>97</v>
      </c>
      <c r="Q890" s="58">
        <v>91</v>
      </c>
      <c r="R890" s="13">
        <v>87</v>
      </c>
      <c r="S890" s="13">
        <v>80</v>
      </c>
      <c r="T890" s="13">
        <v>76</v>
      </c>
      <c r="U890" s="58">
        <v>74</v>
      </c>
      <c r="V890" s="58">
        <v>70</v>
      </c>
      <c r="AD890" s="133">
        <v>104</v>
      </c>
      <c r="AE890" s="13">
        <v>98</v>
      </c>
      <c r="AL890" s="13">
        <v>85</v>
      </c>
      <c r="AM890" s="58">
        <v>81</v>
      </c>
      <c r="AN890" s="13">
        <v>70</v>
      </c>
      <c r="AO890" s="13">
        <v>66</v>
      </c>
    </row>
    <row r="891" spans="1:41" ht="14.25">
      <c r="A891" s="246">
        <v>25</v>
      </c>
      <c r="B891" s="13">
        <v>105</v>
      </c>
      <c r="C891" s="13">
        <v>102</v>
      </c>
      <c r="D891" s="58">
        <v>101</v>
      </c>
      <c r="E891" s="13">
        <v>97</v>
      </c>
      <c r="F891" s="13">
        <v>94</v>
      </c>
      <c r="G891" s="58">
        <v>92</v>
      </c>
      <c r="H891" s="13"/>
      <c r="I891" s="275"/>
      <c r="J891" s="13"/>
      <c r="K891" s="13"/>
      <c r="L891" s="275"/>
      <c r="M891" s="276"/>
      <c r="N891" s="275"/>
      <c r="O891" s="13">
        <v>96</v>
      </c>
      <c r="P891" s="13">
        <v>89</v>
      </c>
      <c r="Q891" s="58">
        <v>84</v>
      </c>
      <c r="R891" s="13">
        <v>80</v>
      </c>
      <c r="S891" s="13">
        <v>74</v>
      </c>
      <c r="T891" s="13">
        <v>71</v>
      </c>
      <c r="U891" s="58">
        <v>68</v>
      </c>
      <c r="V891" s="58">
        <v>65</v>
      </c>
      <c r="AD891" s="133">
        <v>94</v>
      </c>
      <c r="AE891" s="13">
        <v>91</v>
      </c>
      <c r="AL891" s="13">
        <v>78</v>
      </c>
      <c r="AM891" s="58">
        <v>74</v>
      </c>
      <c r="AN891" s="13">
        <v>63</v>
      </c>
      <c r="AO891" s="13">
        <v>59</v>
      </c>
    </row>
    <row r="892" spans="1:41" ht="12.75">
      <c r="A892" s="246">
        <v>30</v>
      </c>
      <c r="B892" s="13">
        <v>98</v>
      </c>
      <c r="C892" s="13">
        <v>96</v>
      </c>
      <c r="D892" s="58">
        <v>93</v>
      </c>
      <c r="E892" s="13">
        <v>91</v>
      </c>
      <c r="F892" s="13">
        <v>88</v>
      </c>
      <c r="G892" s="58">
        <v>85</v>
      </c>
      <c r="H892" s="13"/>
      <c r="I892" s="275"/>
      <c r="J892" s="13"/>
      <c r="K892" s="13"/>
      <c r="L892" s="275"/>
      <c r="M892" s="276"/>
      <c r="N892" s="275"/>
      <c r="O892" s="13">
        <v>88</v>
      </c>
      <c r="P892" s="13">
        <v>83</v>
      </c>
      <c r="Q892" s="58">
        <v>76</v>
      </c>
      <c r="R892" s="13">
        <v>74</v>
      </c>
      <c r="S892" s="13">
        <v>68</v>
      </c>
      <c r="T892" s="13">
        <v>65</v>
      </c>
      <c r="U892" s="58">
        <v>62</v>
      </c>
      <c r="V892" s="58">
        <v>59</v>
      </c>
      <c r="AD892" s="13">
        <v>85</v>
      </c>
      <c r="AE892" s="13">
        <v>81</v>
      </c>
      <c r="AL892" s="13">
        <v>70</v>
      </c>
      <c r="AM892" s="58">
        <v>67</v>
      </c>
      <c r="AN892" s="13">
        <v>57</v>
      </c>
      <c r="AO892" s="13">
        <v>54</v>
      </c>
    </row>
    <row r="893" spans="1:41" ht="12.75">
      <c r="A893" s="246">
        <v>35</v>
      </c>
      <c r="B893" s="13">
        <v>91</v>
      </c>
      <c r="C893" s="13">
        <v>88</v>
      </c>
      <c r="D893" s="58">
        <v>87</v>
      </c>
      <c r="E893" s="13">
        <v>84</v>
      </c>
      <c r="F893" s="13">
        <v>81</v>
      </c>
      <c r="G893" s="58">
        <v>79</v>
      </c>
      <c r="H893" s="13"/>
      <c r="I893" s="275"/>
      <c r="J893" s="13"/>
      <c r="K893" s="13"/>
      <c r="L893" s="275"/>
      <c r="M893" s="276"/>
      <c r="N893" s="275"/>
      <c r="O893" s="13">
        <v>80</v>
      </c>
      <c r="P893" s="13">
        <v>75</v>
      </c>
      <c r="Q893" s="58">
        <v>70</v>
      </c>
      <c r="R893" s="13">
        <v>67</v>
      </c>
      <c r="S893" s="13">
        <v>62</v>
      </c>
      <c r="T893" s="13">
        <v>59</v>
      </c>
      <c r="U893" s="58">
        <v>57</v>
      </c>
      <c r="V893" s="58">
        <v>54</v>
      </c>
      <c r="AD893" s="13">
        <v>76</v>
      </c>
      <c r="AE893" s="13">
        <v>74</v>
      </c>
      <c r="AL893" s="13">
        <v>62</v>
      </c>
      <c r="AM893" s="58">
        <v>59</v>
      </c>
      <c r="AN893" s="13">
        <v>50</v>
      </c>
      <c r="AO893" s="13">
        <v>48</v>
      </c>
    </row>
    <row r="894" spans="1:41" ht="12.75">
      <c r="A894" s="246">
        <v>40</v>
      </c>
      <c r="B894" s="13">
        <v>84</v>
      </c>
      <c r="C894" s="13">
        <v>81</v>
      </c>
      <c r="D894" s="58">
        <v>80</v>
      </c>
      <c r="E894" s="13">
        <v>78</v>
      </c>
      <c r="F894" s="13">
        <v>75</v>
      </c>
      <c r="G894" s="58">
        <v>74</v>
      </c>
      <c r="H894" s="13"/>
      <c r="I894" s="275"/>
      <c r="J894" s="13"/>
      <c r="K894" s="13"/>
      <c r="L894" s="275"/>
      <c r="M894" s="276"/>
      <c r="N894" s="275"/>
      <c r="O894" s="13">
        <v>72</v>
      </c>
      <c r="P894" s="13">
        <v>68</v>
      </c>
      <c r="Q894" s="58">
        <v>63</v>
      </c>
      <c r="R894" s="13">
        <v>61</v>
      </c>
      <c r="S894" s="13">
        <v>55</v>
      </c>
      <c r="T894" s="13">
        <v>53</v>
      </c>
      <c r="U894" s="58">
        <v>52</v>
      </c>
      <c r="V894" s="58">
        <v>49</v>
      </c>
      <c r="AD894" s="13">
        <v>68</v>
      </c>
      <c r="AE894" s="13">
        <v>65</v>
      </c>
      <c r="AL894" s="13">
        <v>54</v>
      </c>
      <c r="AM894" s="58">
        <v>50</v>
      </c>
      <c r="AN894" s="13">
        <v>45</v>
      </c>
      <c r="AO894" s="13">
        <v>42</v>
      </c>
    </row>
    <row r="895" spans="1:41" ht="12.75">
      <c r="A895" s="246">
        <v>45</v>
      </c>
      <c r="B895" s="13">
        <v>76</v>
      </c>
      <c r="C895" s="248">
        <v>75</v>
      </c>
      <c r="D895" s="58">
        <v>74</v>
      </c>
      <c r="E895" s="13">
        <v>71</v>
      </c>
      <c r="F895" s="13">
        <v>68</v>
      </c>
      <c r="G895" s="58">
        <v>67</v>
      </c>
      <c r="H895" s="13"/>
      <c r="I895" s="275"/>
      <c r="J895" s="13"/>
      <c r="K895" s="13"/>
      <c r="L895" s="275"/>
      <c r="M895" s="276"/>
      <c r="N895" s="275"/>
      <c r="O895" s="13">
        <v>65</v>
      </c>
      <c r="P895" s="13">
        <v>61</v>
      </c>
      <c r="Q895" s="58">
        <v>57</v>
      </c>
      <c r="R895" s="13">
        <v>54</v>
      </c>
      <c r="S895" s="13">
        <v>50</v>
      </c>
      <c r="T895" s="13">
        <v>48</v>
      </c>
      <c r="U895" s="58">
        <v>45</v>
      </c>
      <c r="V895" s="58">
        <v>44</v>
      </c>
      <c r="AD895" s="13">
        <v>59</v>
      </c>
      <c r="AE895" s="13">
        <v>57</v>
      </c>
      <c r="AL895" s="13">
        <v>46</v>
      </c>
      <c r="AM895" s="58">
        <v>45</v>
      </c>
      <c r="AN895" s="13">
        <v>39</v>
      </c>
      <c r="AO895" s="13">
        <v>36</v>
      </c>
    </row>
    <row r="896" spans="1:41" ht="12.75">
      <c r="A896" s="246">
        <v>50</v>
      </c>
      <c r="B896" s="13">
        <v>70</v>
      </c>
      <c r="C896" s="248">
        <v>68</v>
      </c>
      <c r="D896" s="58">
        <v>66</v>
      </c>
      <c r="E896" s="13">
        <v>65</v>
      </c>
      <c r="F896" s="13">
        <v>62</v>
      </c>
      <c r="G896" s="58">
        <v>61</v>
      </c>
      <c r="H896" s="13"/>
      <c r="I896" s="275"/>
      <c r="J896" s="13"/>
      <c r="K896" s="13"/>
      <c r="L896" s="275"/>
      <c r="M896" s="276"/>
      <c r="N896" s="275"/>
      <c r="O896" s="13">
        <v>57</v>
      </c>
      <c r="P896" s="13">
        <v>53</v>
      </c>
      <c r="Q896" s="58">
        <v>49</v>
      </c>
      <c r="R896" s="13">
        <v>48</v>
      </c>
      <c r="S896" s="13">
        <v>44</v>
      </c>
      <c r="T896" s="13">
        <v>41</v>
      </c>
      <c r="U896" s="58">
        <v>40</v>
      </c>
      <c r="V896" s="58">
        <v>39</v>
      </c>
      <c r="AD896" s="13">
        <v>50</v>
      </c>
      <c r="AE896" s="13">
        <v>48</v>
      </c>
      <c r="AL896" s="13">
        <v>40</v>
      </c>
      <c r="AM896" s="58">
        <v>39</v>
      </c>
      <c r="AN896" s="13">
        <v>32</v>
      </c>
      <c r="AO896" s="13">
        <v>31</v>
      </c>
    </row>
    <row r="897" spans="1:41" ht="12.75">
      <c r="A897" s="246">
        <v>60</v>
      </c>
      <c r="B897" s="13">
        <v>67</v>
      </c>
      <c r="C897" s="248">
        <v>65</v>
      </c>
      <c r="D897" s="58">
        <v>63</v>
      </c>
      <c r="E897" s="13">
        <v>61</v>
      </c>
      <c r="F897" s="13">
        <v>59</v>
      </c>
      <c r="G897" s="58">
        <v>58</v>
      </c>
      <c r="H897" s="13"/>
      <c r="I897" s="275"/>
      <c r="J897" s="13"/>
      <c r="K897" s="13"/>
      <c r="L897" s="275"/>
      <c r="M897" s="276"/>
      <c r="N897" s="275"/>
      <c r="O897" s="13">
        <v>49</v>
      </c>
      <c r="P897" s="13">
        <v>46</v>
      </c>
      <c r="Q897" s="58">
        <v>42</v>
      </c>
      <c r="R897" s="13">
        <v>41</v>
      </c>
      <c r="S897" s="13">
        <v>37</v>
      </c>
      <c r="T897" s="13">
        <v>36</v>
      </c>
      <c r="U897" s="58">
        <v>35</v>
      </c>
      <c r="V897" s="58">
        <v>33</v>
      </c>
      <c r="AD897" s="13">
        <v>45</v>
      </c>
      <c r="AE897" s="13">
        <v>42</v>
      </c>
      <c r="AL897" s="13">
        <v>35</v>
      </c>
      <c r="AM897" s="58">
        <v>33</v>
      </c>
      <c r="AN897" s="13">
        <v>28</v>
      </c>
      <c r="AO897" s="13">
        <v>27</v>
      </c>
    </row>
    <row r="898" spans="1:41" ht="12.75">
      <c r="A898" s="246">
        <v>70</v>
      </c>
      <c r="B898" s="13">
        <v>65</v>
      </c>
      <c r="C898" s="248">
        <v>63</v>
      </c>
      <c r="D898" s="58">
        <v>61</v>
      </c>
      <c r="E898" s="13">
        <v>59</v>
      </c>
      <c r="F898" s="13">
        <v>58</v>
      </c>
      <c r="G898" s="58">
        <v>55</v>
      </c>
      <c r="H898" s="13"/>
      <c r="I898" s="275"/>
      <c r="J898" s="13"/>
      <c r="K898" s="13"/>
      <c r="L898" s="275"/>
      <c r="M898" s="276"/>
      <c r="N898" s="275"/>
      <c r="O898" s="13">
        <v>49</v>
      </c>
      <c r="P898" s="13">
        <v>46</v>
      </c>
      <c r="Q898" s="58">
        <v>42</v>
      </c>
      <c r="R898" s="13">
        <v>41</v>
      </c>
      <c r="S898" s="13">
        <v>37</v>
      </c>
      <c r="T898" s="13">
        <v>36</v>
      </c>
      <c r="U898" s="58">
        <v>35</v>
      </c>
      <c r="V898" s="58">
        <v>32</v>
      </c>
      <c r="AD898" s="13">
        <v>45</v>
      </c>
      <c r="AE898" s="13">
        <v>42</v>
      </c>
      <c r="AL898" s="13">
        <v>35</v>
      </c>
      <c r="AM898" s="58">
        <v>33</v>
      </c>
      <c r="AN898" s="13">
        <v>28</v>
      </c>
      <c r="AO898" s="13">
        <v>27</v>
      </c>
    </row>
    <row r="899" spans="1:41" ht="12.75">
      <c r="A899" s="246">
        <v>80</v>
      </c>
      <c r="B899" s="13">
        <v>62</v>
      </c>
      <c r="C899" s="248">
        <v>61</v>
      </c>
      <c r="D899" s="58">
        <v>59</v>
      </c>
      <c r="E899" s="13">
        <v>57</v>
      </c>
      <c r="F899" s="13">
        <v>55</v>
      </c>
      <c r="G899" s="58">
        <v>54</v>
      </c>
      <c r="H899" s="13"/>
      <c r="I899" s="275"/>
      <c r="J899" s="13"/>
      <c r="K899" s="13"/>
      <c r="L899" s="275"/>
      <c r="M899" s="276"/>
      <c r="N899" s="275"/>
      <c r="O899" s="13">
        <v>49</v>
      </c>
      <c r="P899" s="13">
        <v>46</v>
      </c>
      <c r="Q899" s="58">
        <v>42</v>
      </c>
      <c r="R899" s="13">
        <v>41</v>
      </c>
      <c r="S899" s="13">
        <v>37</v>
      </c>
      <c r="T899" s="13">
        <v>36</v>
      </c>
      <c r="U899" s="58">
        <v>35</v>
      </c>
      <c r="V899" s="58">
        <v>32</v>
      </c>
      <c r="AD899" s="13">
        <v>45</v>
      </c>
      <c r="AE899" s="13">
        <v>42</v>
      </c>
      <c r="AL899" s="13">
        <v>35</v>
      </c>
      <c r="AM899" s="58">
        <v>33</v>
      </c>
      <c r="AN899" s="13">
        <v>28</v>
      </c>
      <c r="AO899" s="13">
        <v>27</v>
      </c>
    </row>
    <row r="900" spans="1:41" ht="12.75">
      <c r="A900" s="246">
        <v>90</v>
      </c>
      <c r="B900" s="13">
        <v>59</v>
      </c>
      <c r="C900" s="248">
        <v>58</v>
      </c>
      <c r="D900" s="58">
        <v>57</v>
      </c>
      <c r="E900" s="13">
        <v>54</v>
      </c>
      <c r="F900" s="13">
        <v>53</v>
      </c>
      <c r="G900" s="58">
        <v>52</v>
      </c>
      <c r="H900" s="13"/>
      <c r="I900" s="275"/>
      <c r="J900" s="13"/>
      <c r="K900" s="13"/>
      <c r="L900" s="275"/>
      <c r="M900" s="276"/>
      <c r="N900" s="275"/>
      <c r="O900" s="13">
        <v>49</v>
      </c>
      <c r="P900" s="13">
        <v>46</v>
      </c>
      <c r="Q900" s="58">
        <v>42</v>
      </c>
      <c r="R900" s="13">
        <v>41</v>
      </c>
      <c r="S900" s="13">
        <v>37</v>
      </c>
      <c r="T900" s="13">
        <v>36</v>
      </c>
      <c r="U900" s="58">
        <v>35</v>
      </c>
      <c r="V900" s="58">
        <v>32</v>
      </c>
      <c r="AD900" s="13">
        <v>45</v>
      </c>
      <c r="AE900" s="13">
        <v>42</v>
      </c>
      <c r="AL900" s="13">
        <v>35</v>
      </c>
      <c r="AM900" s="58">
        <v>33</v>
      </c>
      <c r="AN900" s="13">
        <v>28</v>
      </c>
      <c r="AO900" s="13">
        <v>27</v>
      </c>
    </row>
    <row r="901" spans="1:41" ht="12.75">
      <c r="A901" s="246">
        <v>100</v>
      </c>
      <c r="B901" s="13">
        <v>57</v>
      </c>
      <c r="C901" s="248">
        <v>55</v>
      </c>
      <c r="D901" s="58">
        <v>54</v>
      </c>
      <c r="E901" s="13">
        <v>52</v>
      </c>
      <c r="F901" s="13">
        <v>50</v>
      </c>
      <c r="G901" s="58">
        <v>49</v>
      </c>
      <c r="H901" s="13"/>
      <c r="I901" s="275"/>
      <c r="J901" s="13"/>
      <c r="K901" s="13"/>
      <c r="L901" s="275"/>
      <c r="M901" s="276"/>
      <c r="N901" s="275"/>
      <c r="O901" s="13">
        <v>49</v>
      </c>
      <c r="P901" s="13">
        <v>46</v>
      </c>
      <c r="Q901" s="58">
        <v>42</v>
      </c>
      <c r="R901" s="13">
        <v>41</v>
      </c>
      <c r="S901" s="13">
        <v>37</v>
      </c>
      <c r="T901" s="13">
        <v>36</v>
      </c>
      <c r="U901" s="58">
        <v>35</v>
      </c>
      <c r="V901" s="58">
        <v>32</v>
      </c>
      <c r="AD901" s="13">
        <v>45</v>
      </c>
      <c r="AE901" s="13">
        <v>42</v>
      </c>
      <c r="AL901" s="13">
        <v>35</v>
      </c>
      <c r="AM901" s="58">
        <v>33</v>
      </c>
      <c r="AN901" s="13">
        <v>28</v>
      </c>
      <c r="AO901" s="13">
        <v>27</v>
      </c>
    </row>
    <row r="902" spans="1:41" ht="12.75">
      <c r="A902" s="246">
        <v>110</v>
      </c>
      <c r="B902" s="13">
        <v>57</v>
      </c>
      <c r="C902" s="248">
        <v>55</v>
      </c>
      <c r="D902" s="58">
        <v>54</v>
      </c>
      <c r="E902" s="13">
        <v>52</v>
      </c>
      <c r="F902" s="13">
        <v>50</v>
      </c>
      <c r="G902" s="58">
        <v>49</v>
      </c>
      <c r="H902" s="13"/>
      <c r="I902" s="275"/>
      <c r="J902" s="13"/>
      <c r="K902" s="13"/>
      <c r="L902" s="275"/>
      <c r="M902" s="276"/>
      <c r="N902" s="275"/>
      <c r="O902" s="13">
        <v>49</v>
      </c>
      <c r="P902" s="13">
        <v>46</v>
      </c>
      <c r="Q902" s="58">
        <v>42</v>
      </c>
      <c r="R902" s="13">
        <v>41</v>
      </c>
      <c r="S902" s="13">
        <v>37</v>
      </c>
      <c r="T902" s="13">
        <v>36</v>
      </c>
      <c r="U902" s="58">
        <v>35</v>
      </c>
      <c r="V902" s="58">
        <v>32</v>
      </c>
      <c r="AD902" s="13">
        <v>45</v>
      </c>
      <c r="AE902" s="13">
        <v>42</v>
      </c>
      <c r="AL902" s="13">
        <v>35</v>
      </c>
      <c r="AM902" s="58">
        <v>33</v>
      </c>
      <c r="AN902" s="13">
        <v>28</v>
      </c>
      <c r="AO902" s="13">
        <v>27</v>
      </c>
    </row>
    <row r="903" spans="1:41" ht="12.75">
      <c r="A903" s="246">
        <v>120</v>
      </c>
      <c r="B903" s="13">
        <v>57</v>
      </c>
      <c r="C903" s="248">
        <v>55</v>
      </c>
      <c r="D903" s="58">
        <v>54</v>
      </c>
      <c r="E903" s="13">
        <v>52</v>
      </c>
      <c r="F903" s="13">
        <v>50</v>
      </c>
      <c r="G903" s="58">
        <v>49</v>
      </c>
      <c r="H903" s="13"/>
      <c r="I903" s="275"/>
      <c r="J903" s="13"/>
      <c r="K903" s="13"/>
      <c r="L903" s="275"/>
      <c r="M903" s="276"/>
      <c r="N903" s="275"/>
      <c r="O903" s="13">
        <v>49</v>
      </c>
      <c r="P903" s="13">
        <v>46</v>
      </c>
      <c r="Q903" s="58">
        <v>42</v>
      </c>
      <c r="R903" s="13">
        <v>41</v>
      </c>
      <c r="S903" s="13">
        <v>37</v>
      </c>
      <c r="T903" s="13">
        <v>36</v>
      </c>
      <c r="U903" s="58">
        <v>35</v>
      </c>
      <c r="V903" s="58">
        <v>32</v>
      </c>
      <c r="AD903" s="13">
        <v>45</v>
      </c>
      <c r="AE903" s="13">
        <v>42</v>
      </c>
      <c r="AL903" s="13">
        <v>35</v>
      </c>
      <c r="AM903" s="58">
        <v>33</v>
      </c>
      <c r="AN903" s="13">
        <v>28</v>
      </c>
      <c r="AO903" s="13">
        <v>27</v>
      </c>
    </row>
    <row r="904" spans="1:41" ht="12.75">
      <c r="A904" s="246">
        <v>130</v>
      </c>
      <c r="B904" s="13">
        <v>57</v>
      </c>
      <c r="C904" s="248">
        <v>55</v>
      </c>
      <c r="D904" s="58">
        <v>54</v>
      </c>
      <c r="E904" s="13">
        <v>52</v>
      </c>
      <c r="F904" s="13">
        <v>50</v>
      </c>
      <c r="G904" s="58">
        <v>49</v>
      </c>
      <c r="H904" s="13"/>
      <c r="I904" s="275"/>
      <c r="J904" s="13"/>
      <c r="K904" s="13"/>
      <c r="L904" s="275"/>
      <c r="M904" s="276"/>
      <c r="N904" s="275"/>
      <c r="O904" s="13">
        <v>49</v>
      </c>
      <c r="P904" s="13">
        <v>46</v>
      </c>
      <c r="Q904" s="58">
        <v>42</v>
      </c>
      <c r="R904" s="13">
        <v>41</v>
      </c>
      <c r="S904" s="13">
        <v>37</v>
      </c>
      <c r="T904" s="13">
        <v>36</v>
      </c>
      <c r="U904" s="58">
        <v>35</v>
      </c>
      <c r="V904" s="58">
        <v>32</v>
      </c>
      <c r="AD904" s="13">
        <v>45</v>
      </c>
      <c r="AE904" s="13">
        <v>42</v>
      </c>
      <c r="AL904" s="13">
        <v>35</v>
      </c>
      <c r="AM904" s="58">
        <v>33</v>
      </c>
      <c r="AN904" s="13">
        <v>28</v>
      </c>
      <c r="AO904" s="13">
        <v>27</v>
      </c>
    </row>
    <row r="905" spans="1:41" ht="12.75">
      <c r="A905" s="246">
        <v>140</v>
      </c>
      <c r="B905" s="13">
        <v>57</v>
      </c>
      <c r="C905" s="248">
        <v>55</v>
      </c>
      <c r="D905" s="58">
        <v>54</v>
      </c>
      <c r="E905" s="13">
        <v>52</v>
      </c>
      <c r="F905" s="13">
        <v>50</v>
      </c>
      <c r="G905" s="58">
        <v>49</v>
      </c>
      <c r="H905" s="13"/>
      <c r="I905" s="275"/>
      <c r="J905" s="13"/>
      <c r="K905" s="13"/>
      <c r="L905" s="275"/>
      <c r="M905" s="276"/>
      <c r="N905" s="275"/>
      <c r="O905" s="13">
        <v>49</v>
      </c>
      <c r="P905" s="13">
        <v>46</v>
      </c>
      <c r="Q905" s="58">
        <v>42</v>
      </c>
      <c r="R905" s="13">
        <v>41</v>
      </c>
      <c r="S905" s="13">
        <v>37</v>
      </c>
      <c r="T905" s="13">
        <v>36</v>
      </c>
      <c r="U905" s="58">
        <v>35</v>
      </c>
      <c r="V905" s="58">
        <v>32</v>
      </c>
      <c r="AD905" s="13">
        <v>45</v>
      </c>
      <c r="AE905" s="13">
        <v>42</v>
      </c>
      <c r="AL905" s="13">
        <v>35</v>
      </c>
      <c r="AM905" s="58">
        <v>33</v>
      </c>
      <c r="AN905" s="13">
        <v>28</v>
      </c>
      <c r="AO905" s="13">
        <v>27</v>
      </c>
    </row>
    <row r="906" spans="1:41" ht="12.75">
      <c r="A906" s="246">
        <v>150</v>
      </c>
      <c r="B906" s="13">
        <v>57</v>
      </c>
      <c r="C906" s="248">
        <v>55</v>
      </c>
      <c r="D906" s="58">
        <v>54</v>
      </c>
      <c r="E906" s="13">
        <v>52</v>
      </c>
      <c r="F906" s="13">
        <v>50</v>
      </c>
      <c r="G906" s="58">
        <v>49</v>
      </c>
      <c r="H906" s="13"/>
      <c r="I906" s="275"/>
      <c r="J906" s="13"/>
      <c r="K906" s="13"/>
      <c r="L906" s="275"/>
      <c r="M906" s="276"/>
      <c r="N906" s="275"/>
      <c r="O906" s="13">
        <v>49</v>
      </c>
      <c r="P906" s="13">
        <v>46</v>
      </c>
      <c r="Q906" s="58">
        <v>42</v>
      </c>
      <c r="R906" s="13">
        <v>41</v>
      </c>
      <c r="S906" s="13">
        <v>37</v>
      </c>
      <c r="T906" s="13">
        <v>36</v>
      </c>
      <c r="U906" s="58">
        <v>35</v>
      </c>
      <c r="V906" s="58">
        <v>32</v>
      </c>
      <c r="AD906" s="13">
        <v>45</v>
      </c>
      <c r="AE906" s="13">
        <v>42</v>
      </c>
      <c r="AL906" s="13">
        <v>35</v>
      </c>
      <c r="AM906" s="58">
        <v>33</v>
      </c>
      <c r="AN906" s="13">
        <v>28</v>
      </c>
      <c r="AO906" s="13">
        <v>27</v>
      </c>
    </row>
    <row r="907" spans="1:41" ht="12.75">
      <c r="A907" s="246">
        <v>160</v>
      </c>
      <c r="B907" s="13">
        <v>57</v>
      </c>
      <c r="C907" s="248">
        <v>55</v>
      </c>
      <c r="D907" s="58">
        <v>54</v>
      </c>
      <c r="E907" s="13">
        <v>52</v>
      </c>
      <c r="F907" s="13">
        <v>50</v>
      </c>
      <c r="G907" s="58">
        <v>49</v>
      </c>
      <c r="H907" s="13"/>
      <c r="I907" s="275"/>
      <c r="J907" s="13"/>
      <c r="K907" s="13"/>
      <c r="L907" s="275"/>
      <c r="M907" s="276"/>
      <c r="N907" s="275"/>
      <c r="O907" s="13">
        <v>49</v>
      </c>
      <c r="P907" s="13">
        <v>46</v>
      </c>
      <c r="Q907" s="58">
        <v>42</v>
      </c>
      <c r="R907" s="13">
        <v>41</v>
      </c>
      <c r="S907" s="13">
        <v>37</v>
      </c>
      <c r="T907" s="13">
        <v>36</v>
      </c>
      <c r="U907" s="58">
        <v>35</v>
      </c>
      <c r="V907" s="58">
        <v>32</v>
      </c>
      <c r="AD907" s="13">
        <v>45</v>
      </c>
      <c r="AE907" s="13">
        <v>42</v>
      </c>
      <c r="AL907" s="13">
        <v>35</v>
      </c>
      <c r="AM907" s="58">
        <v>33</v>
      </c>
      <c r="AN907" s="13">
        <v>28</v>
      </c>
      <c r="AO907" s="13">
        <v>27</v>
      </c>
    </row>
    <row r="908" spans="1:41" ht="12.75">
      <c r="A908" s="246">
        <v>170</v>
      </c>
      <c r="B908" s="13">
        <v>57</v>
      </c>
      <c r="C908" s="248">
        <v>55</v>
      </c>
      <c r="D908" s="58">
        <v>54</v>
      </c>
      <c r="E908" s="13">
        <v>52</v>
      </c>
      <c r="F908" s="13">
        <v>50</v>
      </c>
      <c r="G908" s="58">
        <v>49</v>
      </c>
      <c r="H908" s="13"/>
      <c r="I908" s="275"/>
      <c r="J908" s="13"/>
      <c r="K908" s="13"/>
      <c r="L908" s="275"/>
      <c r="M908" s="276"/>
      <c r="N908" s="275"/>
      <c r="O908" s="13">
        <v>49</v>
      </c>
      <c r="P908" s="13">
        <v>46</v>
      </c>
      <c r="Q908" s="58">
        <v>42</v>
      </c>
      <c r="R908" s="13">
        <v>41</v>
      </c>
      <c r="S908" s="13">
        <v>37</v>
      </c>
      <c r="T908" s="13">
        <v>36</v>
      </c>
      <c r="U908" s="58">
        <v>35</v>
      </c>
      <c r="V908" s="58">
        <v>32</v>
      </c>
      <c r="AD908" s="13">
        <v>45</v>
      </c>
      <c r="AE908" s="13">
        <v>42</v>
      </c>
      <c r="AL908" s="13">
        <v>35</v>
      </c>
      <c r="AM908" s="58">
        <v>33</v>
      </c>
      <c r="AN908" s="13">
        <v>28</v>
      </c>
      <c r="AO908" s="13">
        <v>27</v>
      </c>
    </row>
    <row r="909" spans="1:41" ht="12.75">
      <c r="A909" s="246">
        <v>180</v>
      </c>
      <c r="B909" s="13">
        <v>57</v>
      </c>
      <c r="C909" s="248">
        <v>55</v>
      </c>
      <c r="D909" s="58">
        <v>54</v>
      </c>
      <c r="E909" s="13">
        <v>52</v>
      </c>
      <c r="F909" s="13">
        <v>50</v>
      </c>
      <c r="G909" s="58">
        <v>49</v>
      </c>
      <c r="H909" s="13"/>
      <c r="I909" s="275"/>
      <c r="J909" s="13"/>
      <c r="K909" s="13"/>
      <c r="L909" s="275"/>
      <c r="M909" s="276"/>
      <c r="N909" s="275"/>
      <c r="O909" s="13">
        <v>49</v>
      </c>
      <c r="P909" s="13">
        <v>46</v>
      </c>
      <c r="Q909" s="58">
        <v>42</v>
      </c>
      <c r="R909" s="13">
        <v>41</v>
      </c>
      <c r="S909" s="13">
        <v>37</v>
      </c>
      <c r="T909" s="13">
        <v>36</v>
      </c>
      <c r="U909" s="58">
        <v>35</v>
      </c>
      <c r="V909" s="58">
        <v>32</v>
      </c>
      <c r="AD909" s="13">
        <v>45</v>
      </c>
      <c r="AE909" s="13">
        <v>42</v>
      </c>
      <c r="AL909" s="13">
        <v>35</v>
      </c>
      <c r="AM909" s="58">
        <v>33</v>
      </c>
      <c r="AN909" s="13">
        <v>28</v>
      </c>
      <c r="AO909" s="13">
        <v>27</v>
      </c>
    </row>
    <row r="910" spans="1:41" ht="12.75">
      <c r="A910" s="246">
        <v>190</v>
      </c>
      <c r="B910" s="13">
        <v>57</v>
      </c>
      <c r="C910" s="248">
        <v>55</v>
      </c>
      <c r="D910" s="58">
        <v>54</v>
      </c>
      <c r="E910" s="13">
        <v>52</v>
      </c>
      <c r="F910" s="13">
        <v>50</v>
      </c>
      <c r="G910" s="58">
        <v>49</v>
      </c>
      <c r="H910" s="13"/>
      <c r="I910" s="275"/>
      <c r="J910" s="13"/>
      <c r="K910" s="13"/>
      <c r="L910" s="275"/>
      <c r="M910" s="276"/>
      <c r="N910" s="275"/>
      <c r="O910" s="13">
        <v>49</v>
      </c>
      <c r="P910" s="13">
        <v>46</v>
      </c>
      <c r="Q910" s="58">
        <v>42</v>
      </c>
      <c r="R910" s="13">
        <v>41</v>
      </c>
      <c r="S910" s="13">
        <v>37</v>
      </c>
      <c r="T910" s="13">
        <v>36</v>
      </c>
      <c r="U910" s="58">
        <v>35</v>
      </c>
      <c r="V910" s="58">
        <v>32</v>
      </c>
      <c r="AD910" s="13">
        <v>45</v>
      </c>
      <c r="AE910" s="13">
        <v>42</v>
      </c>
      <c r="AL910" s="13">
        <v>35</v>
      </c>
      <c r="AM910" s="58">
        <v>33</v>
      </c>
      <c r="AN910" s="13">
        <v>28</v>
      </c>
      <c r="AO910" s="13">
        <v>27</v>
      </c>
    </row>
    <row r="911" spans="1:41" ht="12.75">
      <c r="A911" s="246">
        <v>200</v>
      </c>
      <c r="B911" s="13">
        <v>57</v>
      </c>
      <c r="C911" s="248">
        <v>55</v>
      </c>
      <c r="D911" s="58">
        <v>54</v>
      </c>
      <c r="E911" s="13">
        <v>52</v>
      </c>
      <c r="F911" s="13">
        <v>50</v>
      </c>
      <c r="G911" s="58">
        <v>49</v>
      </c>
      <c r="H911" s="13"/>
      <c r="I911" s="275"/>
      <c r="J911" s="13"/>
      <c r="K911" s="13"/>
      <c r="L911" s="275"/>
      <c r="M911" s="276"/>
      <c r="N911" s="275"/>
      <c r="O911" s="13">
        <v>49</v>
      </c>
      <c r="P911" s="13">
        <v>46</v>
      </c>
      <c r="Q911" s="58">
        <v>42</v>
      </c>
      <c r="R911" s="13">
        <v>41</v>
      </c>
      <c r="S911" s="13">
        <v>37</v>
      </c>
      <c r="T911" s="13">
        <v>36</v>
      </c>
      <c r="U911" s="58">
        <v>35</v>
      </c>
      <c r="V911" s="58">
        <v>32</v>
      </c>
      <c r="AD911" s="13">
        <v>45</v>
      </c>
      <c r="AE911" s="13">
        <v>42</v>
      </c>
      <c r="AL911" s="13">
        <v>35</v>
      </c>
      <c r="AM911" s="58">
        <v>33</v>
      </c>
      <c r="AN911" s="13">
        <v>28</v>
      </c>
      <c r="AO911" s="13">
        <v>27</v>
      </c>
    </row>
    <row r="912" spans="1:41" ht="12.75">
      <c r="A912" s="5"/>
      <c r="B912" s="277"/>
      <c r="C912" s="13"/>
      <c r="E912" s="278"/>
      <c r="F912" s="211"/>
      <c r="G912" s="13"/>
      <c r="H912" s="13"/>
      <c r="I912" s="275"/>
      <c r="J912" s="13"/>
      <c r="K912" s="13"/>
      <c r="L912" s="275"/>
      <c r="M912" s="276"/>
      <c r="N912" s="275"/>
      <c r="O912" s="277"/>
    </row>
    <row r="913" spans="1:43" ht="12.75">
      <c r="A913" s="222" t="s">
        <v>457</v>
      </c>
      <c r="B913" s="2" t="s">
        <v>105</v>
      </c>
      <c r="C913" s="13" t="s">
        <v>107</v>
      </c>
      <c r="D913" s="2" t="s">
        <v>109</v>
      </c>
      <c r="E913" s="2" t="s">
        <v>111</v>
      </c>
      <c r="F913" s="2" t="s">
        <v>113</v>
      </c>
      <c r="G913" s="2" t="s">
        <v>115</v>
      </c>
      <c r="H913" s="2" t="s">
        <v>118</v>
      </c>
      <c r="I913" s="2" t="s">
        <v>135</v>
      </c>
      <c r="J913" s="2" t="s">
        <v>138</v>
      </c>
      <c r="K913" s="2" t="s">
        <v>141</v>
      </c>
      <c r="L913" s="2" t="s">
        <v>144</v>
      </c>
      <c r="M913" s="2" t="s">
        <v>146</v>
      </c>
      <c r="N913" s="2" t="s">
        <v>339</v>
      </c>
      <c r="O913" s="2" t="s">
        <v>150</v>
      </c>
      <c r="P913" s="2" t="s">
        <v>151</v>
      </c>
      <c r="Q913" s="2" t="s">
        <v>152</v>
      </c>
      <c r="Y913" s="2" t="s">
        <v>106</v>
      </c>
      <c r="Z913" s="246" t="s">
        <v>108</v>
      </c>
      <c r="AA913" s="260" t="s">
        <v>110</v>
      </c>
      <c r="AB913" s="246" t="s">
        <v>112</v>
      </c>
      <c r="AC913" s="246" t="s">
        <v>114</v>
      </c>
      <c r="AK913" s="253" t="s">
        <v>119</v>
      </c>
      <c r="AL913" s="257" t="s">
        <v>136</v>
      </c>
      <c r="AM913" s="261" t="s">
        <v>139</v>
      </c>
      <c r="AN913" s="109" t="s">
        <v>142</v>
      </c>
      <c r="AO913" s="109" t="s">
        <v>145</v>
      </c>
      <c r="AP913" s="262" t="s">
        <v>147</v>
      </c>
      <c r="AQ913" s="262" t="s">
        <v>149</v>
      </c>
    </row>
    <row r="914" spans="1:43" ht="12.75">
      <c r="A914" s="246">
        <v>20</v>
      </c>
      <c r="B914" s="2">
        <v>145</v>
      </c>
      <c r="C914" s="13">
        <v>144</v>
      </c>
      <c r="D914" s="2">
        <v>139</v>
      </c>
      <c r="E914" s="2">
        <v>137</v>
      </c>
      <c r="F914" s="2">
        <v>135</v>
      </c>
      <c r="G914" s="2">
        <v>132</v>
      </c>
      <c r="H914" s="2">
        <v>130</v>
      </c>
      <c r="I914" s="2">
        <v>128</v>
      </c>
      <c r="J914" s="2">
        <v>126</v>
      </c>
      <c r="K914" s="2">
        <v>124</v>
      </c>
      <c r="L914" s="2">
        <v>123</v>
      </c>
      <c r="M914" s="2">
        <v>120</v>
      </c>
      <c r="N914" s="2">
        <v>118</v>
      </c>
      <c r="O914" s="2">
        <v>116</v>
      </c>
      <c r="P914" s="2">
        <v>114</v>
      </c>
      <c r="Q914" s="2">
        <v>113</v>
      </c>
      <c r="Y914" s="2">
        <v>114</v>
      </c>
      <c r="Z914" s="13">
        <v>110</v>
      </c>
      <c r="AA914" s="13">
        <v>107</v>
      </c>
      <c r="AB914" s="13">
        <v>104</v>
      </c>
      <c r="AC914" s="13">
        <v>101</v>
      </c>
      <c r="AK914" s="13">
        <v>137</v>
      </c>
      <c r="AL914" s="13">
        <v>136</v>
      </c>
      <c r="AM914" s="58">
        <v>128</v>
      </c>
      <c r="AN914" s="58">
        <v>123</v>
      </c>
      <c r="AO914" s="58">
        <v>116</v>
      </c>
      <c r="AP914" s="58">
        <v>114</v>
      </c>
      <c r="AQ914" s="58">
        <v>107</v>
      </c>
    </row>
    <row r="915" spans="1:43" ht="12.75">
      <c r="A915" s="246">
        <v>25</v>
      </c>
      <c r="B915" s="2">
        <v>145</v>
      </c>
      <c r="C915" s="13">
        <v>144</v>
      </c>
      <c r="D915" s="2">
        <v>139</v>
      </c>
      <c r="E915" s="2">
        <v>137</v>
      </c>
      <c r="F915" s="2">
        <v>135</v>
      </c>
      <c r="G915" s="2">
        <v>132</v>
      </c>
      <c r="H915" s="2">
        <v>130</v>
      </c>
      <c r="I915" s="2">
        <v>128</v>
      </c>
      <c r="J915" s="2">
        <v>126</v>
      </c>
      <c r="K915" s="2">
        <v>124</v>
      </c>
      <c r="L915" s="2">
        <v>123</v>
      </c>
      <c r="M915" s="2">
        <v>120</v>
      </c>
      <c r="N915" s="2">
        <v>118</v>
      </c>
      <c r="O915" s="2">
        <v>116</v>
      </c>
      <c r="P915" s="2">
        <v>114</v>
      </c>
      <c r="Q915" s="2">
        <v>113</v>
      </c>
      <c r="Y915" s="2">
        <v>114</v>
      </c>
      <c r="Z915" s="13">
        <v>110</v>
      </c>
      <c r="AA915" s="13">
        <v>107</v>
      </c>
      <c r="AB915" s="13">
        <v>104</v>
      </c>
      <c r="AC915" s="13">
        <v>101</v>
      </c>
      <c r="AK915" s="13">
        <v>137</v>
      </c>
      <c r="AL915" s="13">
        <v>136</v>
      </c>
      <c r="AM915" s="58">
        <v>128</v>
      </c>
      <c r="AN915" s="58">
        <v>123</v>
      </c>
      <c r="AO915" s="58">
        <v>116</v>
      </c>
      <c r="AP915" s="58">
        <v>114</v>
      </c>
      <c r="AQ915" s="58">
        <v>107</v>
      </c>
    </row>
    <row r="916" spans="1:43" ht="12.75">
      <c r="A916" s="246">
        <v>30</v>
      </c>
      <c r="B916" s="2">
        <v>145</v>
      </c>
      <c r="C916" s="13">
        <v>144</v>
      </c>
      <c r="D916" s="2">
        <v>139</v>
      </c>
      <c r="E916" s="2">
        <v>137</v>
      </c>
      <c r="F916" s="2">
        <v>135</v>
      </c>
      <c r="G916" s="2">
        <v>132</v>
      </c>
      <c r="H916" s="2">
        <v>130</v>
      </c>
      <c r="I916" s="2">
        <v>128</v>
      </c>
      <c r="J916" s="2">
        <v>126</v>
      </c>
      <c r="K916" s="2">
        <v>124</v>
      </c>
      <c r="L916" s="2">
        <v>123</v>
      </c>
      <c r="M916" s="2">
        <v>120</v>
      </c>
      <c r="N916" s="2">
        <v>118</v>
      </c>
      <c r="O916" s="2">
        <v>116</v>
      </c>
      <c r="P916" s="2">
        <v>114</v>
      </c>
      <c r="Q916" s="2">
        <v>113</v>
      </c>
      <c r="Y916" s="2">
        <v>114</v>
      </c>
      <c r="Z916" s="13">
        <v>110</v>
      </c>
      <c r="AA916" s="13">
        <v>107</v>
      </c>
      <c r="AB916" s="13">
        <v>104</v>
      </c>
      <c r="AC916" s="13">
        <v>101</v>
      </c>
      <c r="AK916" s="13">
        <v>137</v>
      </c>
      <c r="AL916" s="13">
        <v>136</v>
      </c>
      <c r="AM916" s="58">
        <v>128</v>
      </c>
      <c r="AN916" s="58">
        <v>123</v>
      </c>
      <c r="AO916" s="58">
        <v>116</v>
      </c>
      <c r="AP916" s="58">
        <v>114</v>
      </c>
      <c r="AQ916" s="58">
        <v>107</v>
      </c>
    </row>
    <row r="917" spans="1:43" ht="12.75">
      <c r="A917" s="246">
        <v>35</v>
      </c>
      <c r="B917" s="2">
        <v>140</v>
      </c>
      <c r="C917" s="13">
        <v>139</v>
      </c>
      <c r="D917" s="2">
        <v>133</v>
      </c>
      <c r="E917" s="2">
        <v>132</v>
      </c>
      <c r="F917" s="2">
        <v>130</v>
      </c>
      <c r="G917" s="2">
        <v>127</v>
      </c>
      <c r="H917" s="2">
        <v>124</v>
      </c>
      <c r="I917" s="2">
        <v>123</v>
      </c>
      <c r="J917" s="2">
        <v>120</v>
      </c>
      <c r="K917" s="2">
        <v>119</v>
      </c>
      <c r="L917" s="2">
        <v>118</v>
      </c>
      <c r="M917" s="2">
        <v>115</v>
      </c>
      <c r="N917" s="2">
        <v>114</v>
      </c>
      <c r="O917" s="2">
        <v>113</v>
      </c>
      <c r="P917" s="2">
        <v>110</v>
      </c>
      <c r="Q917" s="2">
        <v>109</v>
      </c>
      <c r="Y917" s="2">
        <v>106</v>
      </c>
      <c r="Z917" s="13">
        <v>101</v>
      </c>
      <c r="AA917" s="13">
        <v>100</v>
      </c>
      <c r="AB917" s="13">
        <v>96</v>
      </c>
      <c r="AC917" s="13">
        <v>93</v>
      </c>
      <c r="AK917" s="13">
        <v>126</v>
      </c>
      <c r="AL917" s="13">
        <v>124</v>
      </c>
      <c r="AM917" s="58">
        <v>118</v>
      </c>
      <c r="AN917" s="58">
        <v>113</v>
      </c>
      <c r="AO917" s="58">
        <v>107</v>
      </c>
      <c r="AP917" s="58">
        <v>104</v>
      </c>
      <c r="AQ917" s="58">
        <v>98</v>
      </c>
    </row>
    <row r="918" spans="1:43" ht="12.75">
      <c r="A918" s="246">
        <v>40</v>
      </c>
      <c r="B918" s="2">
        <v>135</v>
      </c>
      <c r="C918" s="13">
        <v>133</v>
      </c>
      <c r="D918" s="2">
        <v>128</v>
      </c>
      <c r="E918" s="2">
        <v>127</v>
      </c>
      <c r="F918" s="2">
        <v>124</v>
      </c>
      <c r="G918" s="2">
        <v>122</v>
      </c>
      <c r="H918" s="2">
        <v>120</v>
      </c>
      <c r="I918" s="2">
        <v>119</v>
      </c>
      <c r="J918" s="2">
        <v>116</v>
      </c>
      <c r="K918" s="2">
        <v>115</v>
      </c>
      <c r="L918" s="2">
        <v>114</v>
      </c>
      <c r="M918" s="2">
        <v>111</v>
      </c>
      <c r="N918" s="2">
        <v>109</v>
      </c>
      <c r="O918" s="2">
        <v>107</v>
      </c>
      <c r="P918" s="2">
        <v>106</v>
      </c>
      <c r="Q918" s="2">
        <v>105</v>
      </c>
      <c r="Y918" s="2">
        <v>97</v>
      </c>
      <c r="Z918" s="13">
        <v>93</v>
      </c>
      <c r="AA918" s="13">
        <v>92</v>
      </c>
      <c r="AB918" s="13">
        <v>88</v>
      </c>
      <c r="AC918" s="13">
        <v>85</v>
      </c>
      <c r="AK918" s="13">
        <v>114</v>
      </c>
      <c r="AL918" s="13">
        <v>114</v>
      </c>
      <c r="AM918" s="58">
        <v>107</v>
      </c>
      <c r="AN918" s="58">
        <v>102</v>
      </c>
      <c r="AO918" s="58">
        <v>97</v>
      </c>
      <c r="AP918" s="58">
        <v>94</v>
      </c>
      <c r="AQ918" s="58">
        <v>89</v>
      </c>
    </row>
    <row r="919" spans="1:43" ht="12.75">
      <c r="A919" s="246">
        <v>45</v>
      </c>
      <c r="B919" s="2">
        <v>130</v>
      </c>
      <c r="C919" s="13">
        <v>128</v>
      </c>
      <c r="D919" s="2">
        <v>123</v>
      </c>
      <c r="E919" s="2">
        <v>122</v>
      </c>
      <c r="F919" s="2">
        <v>120</v>
      </c>
      <c r="G919" s="2">
        <v>118</v>
      </c>
      <c r="H919" s="2">
        <v>115</v>
      </c>
      <c r="I919" s="2">
        <v>114</v>
      </c>
      <c r="J919" s="2">
        <v>111</v>
      </c>
      <c r="K919" s="2">
        <v>110</v>
      </c>
      <c r="L919" s="2">
        <v>110</v>
      </c>
      <c r="M919" s="2">
        <v>107</v>
      </c>
      <c r="N919" s="2">
        <v>105</v>
      </c>
      <c r="O919" s="2">
        <v>104</v>
      </c>
      <c r="P919" s="2">
        <v>101</v>
      </c>
      <c r="Q919" s="2">
        <v>100</v>
      </c>
      <c r="Y919" s="2">
        <v>88</v>
      </c>
      <c r="Z919" s="13">
        <v>85</v>
      </c>
      <c r="AA919" s="13">
        <v>83</v>
      </c>
      <c r="AB919" s="13">
        <v>80</v>
      </c>
      <c r="AC919" s="13">
        <v>79</v>
      </c>
      <c r="AK919" s="13">
        <v>102</v>
      </c>
      <c r="AL919" s="13">
        <v>102</v>
      </c>
      <c r="AM919" s="58">
        <v>96</v>
      </c>
      <c r="AN919" s="58">
        <v>92</v>
      </c>
      <c r="AO919" s="58">
        <v>87</v>
      </c>
      <c r="AP919" s="58">
        <v>85</v>
      </c>
      <c r="AQ919" s="58">
        <v>80</v>
      </c>
    </row>
    <row r="920" spans="1:43" ht="12.75">
      <c r="A920" s="246">
        <v>50</v>
      </c>
      <c r="B920" s="2">
        <v>124</v>
      </c>
      <c r="C920" s="13">
        <v>123</v>
      </c>
      <c r="D920" s="2">
        <v>118</v>
      </c>
      <c r="E920" s="2">
        <v>118</v>
      </c>
      <c r="F920" s="2">
        <v>115</v>
      </c>
      <c r="G920" s="2">
        <v>113</v>
      </c>
      <c r="H920" s="2">
        <v>110</v>
      </c>
      <c r="I920" s="2">
        <v>110</v>
      </c>
      <c r="J920" s="2">
        <v>107</v>
      </c>
      <c r="K920" s="2">
        <v>106</v>
      </c>
      <c r="L920" s="2">
        <v>105</v>
      </c>
      <c r="M920" s="2">
        <v>102</v>
      </c>
      <c r="N920" s="2">
        <v>101</v>
      </c>
      <c r="O920" s="2">
        <v>100</v>
      </c>
      <c r="P920" s="2">
        <v>97</v>
      </c>
      <c r="Q920" s="2">
        <v>96</v>
      </c>
      <c r="Y920" s="2">
        <v>80</v>
      </c>
      <c r="Z920" s="13">
        <v>76</v>
      </c>
      <c r="AA920" s="13">
        <v>75</v>
      </c>
      <c r="AB920" s="13">
        <v>72</v>
      </c>
      <c r="AC920" s="13">
        <v>71</v>
      </c>
      <c r="AK920" s="13">
        <v>91</v>
      </c>
      <c r="AL920" s="13">
        <v>91</v>
      </c>
      <c r="AM920" s="58">
        <v>85</v>
      </c>
      <c r="AN920" s="58">
        <v>81</v>
      </c>
      <c r="AO920" s="58">
        <v>78</v>
      </c>
      <c r="AP920" s="58">
        <v>75</v>
      </c>
      <c r="AQ920" s="58">
        <v>71</v>
      </c>
    </row>
    <row r="921" spans="1:43" ht="12.75">
      <c r="A921" s="246">
        <v>60</v>
      </c>
      <c r="B921" s="2">
        <v>114</v>
      </c>
      <c r="C921" s="13">
        <v>113</v>
      </c>
      <c r="D921" s="2">
        <v>109</v>
      </c>
      <c r="E921" s="2">
        <v>107</v>
      </c>
      <c r="F921" s="2">
        <v>105</v>
      </c>
      <c r="G921" s="2">
        <v>104</v>
      </c>
      <c r="H921" s="2">
        <v>101</v>
      </c>
      <c r="I921" s="2">
        <v>100</v>
      </c>
      <c r="J921" s="2">
        <v>98</v>
      </c>
      <c r="K921" s="2">
        <v>97</v>
      </c>
      <c r="L921" s="2">
        <v>96</v>
      </c>
      <c r="M921" s="2">
        <v>94</v>
      </c>
      <c r="N921" s="2">
        <v>92</v>
      </c>
      <c r="O921" s="2">
        <v>91</v>
      </c>
      <c r="P921" s="2">
        <v>89</v>
      </c>
      <c r="Q921" s="2">
        <v>88</v>
      </c>
      <c r="Y921" s="2">
        <v>63</v>
      </c>
      <c r="Z921" s="13">
        <v>61</v>
      </c>
      <c r="AA921" s="13">
        <v>58</v>
      </c>
      <c r="AB921" s="13">
        <v>57</v>
      </c>
      <c r="AC921" s="13">
        <v>55</v>
      </c>
      <c r="AK921" s="13">
        <v>67</v>
      </c>
      <c r="AL921" s="13">
        <v>67</v>
      </c>
      <c r="AM921" s="58">
        <v>63</v>
      </c>
      <c r="AN921" s="58">
        <v>61</v>
      </c>
      <c r="AO921" s="58">
        <v>57</v>
      </c>
      <c r="AP921" s="58">
        <v>55</v>
      </c>
      <c r="AQ921" s="58">
        <v>53</v>
      </c>
    </row>
    <row r="922" spans="1:43" ht="12.75">
      <c r="A922" s="246">
        <v>70</v>
      </c>
      <c r="B922" s="2">
        <v>104</v>
      </c>
      <c r="C922" s="13">
        <v>102</v>
      </c>
      <c r="D922" s="2">
        <v>98</v>
      </c>
      <c r="E922" s="2">
        <v>97</v>
      </c>
      <c r="F922" s="2">
        <v>96</v>
      </c>
      <c r="G922" s="2">
        <v>93</v>
      </c>
      <c r="H922" s="2">
        <v>92</v>
      </c>
      <c r="I922" s="2">
        <v>91</v>
      </c>
      <c r="J922" s="2">
        <v>89</v>
      </c>
      <c r="K922" s="2">
        <v>88</v>
      </c>
      <c r="L922" s="2">
        <v>87</v>
      </c>
      <c r="M922" s="2">
        <v>85</v>
      </c>
      <c r="N922" s="2">
        <v>83</v>
      </c>
      <c r="O922" s="2">
        <v>83</v>
      </c>
      <c r="P922" s="2">
        <v>80</v>
      </c>
      <c r="Q922" s="2">
        <v>80</v>
      </c>
      <c r="Y922" s="2">
        <v>58</v>
      </c>
      <c r="Z922" s="13">
        <v>55</v>
      </c>
      <c r="AA922" s="13">
        <v>54</v>
      </c>
      <c r="AB922" s="13">
        <v>53</v>
      </c>
      <c r="AC922" s="13">
        <v>52</v>
      </c>
      <c r="AK922" s="13">
        <v>63</v>
      </c>
      <c r="AL922" s="13">
        <v>62</v>
      </c>
      <c r="AM922" s="58">
        <v>59</v>
      </c>
      <c r="AN922" s="58">
        <v>57</v>
      </c>
      <c r="AO922" s="58">
        <v>53</v>
      </c>
      <c r="AP922" s="58">
        <v>53</v>
      </c>
      <c r="AQ922" s="58">
        <v>49</v>
      </c>
    </row>
    <row r="923" spans="1:43" ht="12.75">
      <c r="A923" s="246">
        <v>80</v>
      </c>
      <c r="B923" s="2">
        <v>93</v>
      </c>
      <c r="C923" s="13">
        <v>92</v>
      </c>
      <c r="D923" s="2">
        <v>88</v>
      </c>
      <c r="E923" s="2">
        <v>88</v>
      </c>
      <c r="F923" s="2">
        <v>85</v>
      </c>
      <c r="G923" s="2">
        <v>84</v>
      </c>
      <c r="H923" s="2">
        <v>83</v>
      </c>
      <c r="I923" s="2">
        <v>81</v>
      </c>
      <c r="J923" s="2">
        <v>80</v>
      </c>
      <c r="K923" s="13">
        <v>79</v>
      </c>
      <c r="L923" s="2">
        <v>78</v>
      </c>
      <c r="M923" s="2">
        <v>76</v>
      </c>
      <c r="N923" s="2">
        <v>75</v>
      </c>
      <c r="O923" s="2">
        <v>74</v>
      </c>
      <c r="P923" s="2">
        <v>72</v>
      </c>
      <c r="Q923" s="2">
        <v>71</v>
      </c>
      <c r="Y923" s="2">
        <v>54</v>
      </c>
      <c r="Z923" s="13">
        <v>52</v>
      </c>
      <c r="AA923" s="13">
        <v>50</v>
      </c>
      <c r="AB923" s="13">
        <v>49</v>
      </c>
      <c r="AC923" s="13">
        <v>48</v>
      </c>
      <c r="AK923" s="13">
        <v>59</v>
      </c>
      <c r="AL923" s="13">
        <v>59</v>
      </c>
      <c r="AM923" s="58">
        <v>55</v>
      </c>
      <c r="AN923" s="58">
        <v>53</v>
      </c>
      <c r="AO923" s="58">
        <v>50</v>
      </c>
      <c r="AP923" s="58">
        <v>49</v>
      </c>
      <c r="AQ923" s="58">
        <v>46</v>
      </c>
    </row>
    <row r="924" spans="1:43" ht="12.75">
      <c r="A924" s="246">
        <v>90</v>
      </c>
      <c r="B924" s="2">
        <v>88</v>
      </c>
      <c r="C924" s="13">
        <v>88</v>
      </c>
      <c r="D924" s="2">
        <v>84</v>
      </c>
      <c r="E924" s="2">
        <v>84</v>
      </c>
      <c r="F924" s="2">
        <v>83</v>
      </c>
      <c r="G924" s="2">
        <v>80</v>
      </c>
      <c r="H924" s="2">
        <v>79</v>
      </c>
      <c r="I924" s="2">
        <v>78</v>
      </c>
      <c r="J924" s="2">
        <v>76</v>
      </c>
      <c r="K924" s="2">
        <v>76</v>
      </c>
      <c r="L924" s="2">
        <v>75</v>
      </c>
      <c r="M924" s="2">
        <v>74</v>
      </c>
      <c r="N924" s="2">
        <v>71</v>
      </c>
      <c r="O924" s="2">
        <v>71</v>
      </c>
      <c r="P924" s="2">
        <v>70</v>
      </c>
      <c r="Q924" s="2">
        <v>68</v>
      </c>
      <c r="Y924" s="2">
        <v>54</v>
      </c>
      <c r="Z924" s="13">
        <v>52</v>
      </c>
      <c r="AA924" s="13">
        <v>50</v>
      </c>
      <c r="AB924" s="13">
        <v>49</v>
      </c>
      <c r="AC924" s="13">
        <v>48</v>
      </c>
      <c r="AK924" s="13">
        <v>59</v>
      </c>
      <c r="AL924" s="13">
        <v>59</v>
      </c>
      <c r="AM924" s="58">
        <v>55</v>
      </c>
      <c r="AN924" s="58">
        <v>53</v>
      </c>
      <c r="AO924" s="58">
        <v>50</v>
      </c>
      <c r="AP924" s="58">
        <v>49</v>
      </c>
      <c r="AQ924" s="58">
        <v>46</v>
      </c>
    </row>
    <row r="925" spans="1:43" ht="12.75">
      <c r="A925" s="246">
        <v>100</v>
      </c>
      <c r="B925" s="2">
        <v>84</v>
      </c>
      <c r="C925" s="13">
        <v>84</v>
      </c>
      <c r="D925" s="2">
        <v>81</v>
      </c>
      <c r="E925" s="2">
        <v>80</v>
      </c>
      <c r="F925" s="2">
        <v>79</v>
      </c>
      <c r="G925" s="2">
        <v>78</v>
      </c>
      <c r="H925" s="2">
        <v>75</v>
      </c>
      <c r="I925" s="2">
        <v>75</v>
      </c>
      <c r="J925" s="2">
        <v>74</v>
      </c>
      <c r="K925" s="2">
        <v>72</v>
      </c>
      <c r="L925" s="2">
        <v>71</v>
      </c>
      <c r="M925" s="2">
        <v>70</v>
      </c>
      <c r="N925" s="2">
        <v>68</v>
      </c>
      <c r="O925" s="2">
        <v>68</v>
      </c>
      <c r="P925" s="2">
        <v>66</v>
      </c>
      <c r="Q925" s="2">
        <v>66</v>
      </c>
      <c r="Y925" s="2">
        <v>54</v>
      </c>
      <c r="Z925" s="13">
        <v>52</v>
      </c>
      <c r="AA925" s="13">
        <v>50</v>
      </c>
      <c r="AB925" s="13">
        <v>49</v>
      </c>
      <c r="AC925" s="13">
        <v>48</v>
      </c>
      <c r="AK925" s="13">
        <v>59</v>
      </c>
      <c r="AL925" s="13">
        <v>59</v>
      </c>
      <c r="AM925" s="58">
        <v>55</v>
      </c>
      <c r="AN925" s="58">
        <v>53</v>
      </c>
      <c r="AO925" s="58">
        <v>50</v>
      </c>
      <c r="AP925" s="58">
        <v>49</v>
      </c>
      <c r="AQ925" s="58">
        <v>46</v>
      </c>
    </row>
    <row r="926" spans="1:43" ht="14.25">
      <c r="A926" s="246">
        <v>110</v>
      </c>
      <c r="B926" s="2">
        <v>81</v>
      </c>
      <c r="C926" s="13">
        <v>80</v>
      </c>
      <c r="D926" s="2">
        <v>78</v>
      </c>
      <c r="E926" s="2">
        <v>76</v>
      </c>
      <c r="F926" s="2">
        <v>75</v>
      </c>
      <c r="G926" s="2">
        <v>74</v>
      </c>
      <c r="H926" s="2">
        <v>72</v>
      </c>
      <c r="I926" s="2">
        <v>71</v>
      </c>
      <c r="J926" s="2">
        <v>70</v>
      </c>
      <c r="K926" s="2">
        <v>70</v>
      </c>
      <c r="L926" s="2">
        <v>68</v>
      </c>
      <c r="M926" s="2">
        <v>67</v>
      </c>
      <c r="N926" s="2">
        <v>66</v>
      </c>
      <c r="O926" s="2">
        <v>65</v>
      </c>
      <c r="P926" s="2">
        <v>63</v>
      </c>
      <c r="Q926" s="2">
        <v>63</v>
      </c>
      <c r="Y926" s="2">
        <v>54</v>
      </c>
      <c r="Z926" s="13">
        <v>52</v>
      </c>
      <c r="AA926" s="133">
        <v>50</v>
      </c>
      <c r="AB926" s="13">
        <v>49</v>
      </c>
      <c r="AC926" s="13">
        <v>48</v>
      </c>
      <c r="AK926" s="13">
        <v>59</v>
      </c>
      <c r="AL926" s="13">
        <v>59</v>
      </c>
      <c r="AM926" s="58">
        <v>55</v>
      </c>
      <c r="AN926" s="58">
        <v>53</v>
      </c>
      <c r="AO926" s="58">
        <v>50</v>
      </c>
      <c r="AP926" s="58">
        <v>49</v>
      </c>
      <c r="AQ926" s="58">
        <v>46</v>
      </c>
    </row>
    <row r="927" spans="1:43" ht="12.75">
      <c r="A927" s="246">
        <v>120</v>
      </c>
      <c r="B927" s="2">
        <v>78</v>
      </c>
      <c r="C927" s="13">
        <v>76</v>
      </c>
      <c r="D927" s="2">
        <v>74</v>
      </c>
      <c r="E927" s="2">
        <v>72</v>
      </c>
      <c r="F927" s="2">
        <v>71</v>
      </c>
      <c r="G927" s="2">
        <v>70</v>
      </c>
      <c r="H927" s="2">
        <v>68</v>
      </c>
      <c r="I927" s="2">
        <v>68</v>
      </c>
      <c r="J927" s="2">
        <v>67</v>
      </c>
      <c r="K927" s="2">
        <v>66</v>
      </c>
      <c r="L927" s="2">
        <v>66</v>
      </c>
      <c r="M927" s="2">
        <v>63</v>
      </c>
      <c r="N927" s="2">
        <v>62</v>
      </c>
      <c r="O927" s="2">
        <v>62</v>
      </c>
      <c r="P927" s="2">
        <v>61</v>
      </c>
      <c r="Q927" s="2">
        <v>59</v>
      </c>
      <c r="Y927" s="2">
        <v>54</v>
      </c>
      <c r="Z927" s="13">
        <v>52</v>
      </c>
      <c r="AA927" s="13">
        <v>50</v>
      </c>
      <c r="AB927" s="13">
        <v>49</v>
      </c>
      <c r="AC927" s="13">
        <v>48</v>
      </c>
      <c r="AK927" s="13">
        <v>59</v>
      </c>
      <c r="AL927" s="13">
        <v>59</v>
      </c>
      <c r="AM927" s="58">
        <v>55</v>
      </c>
      <c r="AN927" s="58">
        <v>53</v>
      </c>
      <c r="AO927" s="58">
        <v>50</v>
      </c>
      <c r="AP927" s="58">
        <v>49</v>
      </c>
      <c r="AQ927" s="58">
        <v>46</v>
      </c>
    </row>
    <row r="928" spans="1:43" ht="12.75">
      <c r="A928" s="246">
        <v>130</v>
      </c>
      <c r="B928" s="2">
        <v>74</v>
      </c>
      <c r="C928" s="13">
        <v>72</v>
      </c>
      <c r="D928" s="2">
        <v>70</v>
      </c>
      <c r="E928" s="2">
        <v>70</v>
      </c>
      <c r="F928" s="2">
        <v>68</v>
      </c>
      <c r="G928" s="2">
        <v>67</v>
      </c>
      <c r="H928" s="2">
        <v>66</v>
      </c>
      <c r="I928" s="2">
        <v>65</v>
      </c>
      <c r="J928" s="2">
        <v>63</v>
      </c>
      <c r="K928" s="2">
        <v>62</v>
      </c>
      <c r="L928" s="2">
        <v>62</v>
      </c>
      <c r="M928" s="2">
        <v>61</v>
      </c>
      <c r="N928" s="2">
        <v>59</v>
      </c>
      <c r="O928" s="2">
        <v>58</v>
      </c>
      <c r="P928" s="2">
        <v>57</v>
      </c>
      <c r="Q928" s="2">
        <v>57</v>
      </c>
      <c r="Y928" s="2">
        <v>54</v>
      </c>
      <c r="Z928" s="13">
        <v>52</v>
      </c>
      <c r="AA928" s="13">
        <v>50</v>
      </c>
      <c r="AB928" s="13">
        <v>49</v>
      </c>
      <c r="AC928" s="13">
        <v>48</v>
      </c>
      <c r="AK928" s="13">
        <v>59</v>
      </c>
      <c r="AL928" s="13">
        <v>59</v>
      </c>
      <c r="AM928" s="58">
        <v>55</v>
      </c>
      <c r="AN928" s="58">
        <v>53</v>
      </c>
      <c r="AO928" s="58">
        <v>50</v>
      </c>
      <c r="AP928" s="58">
        <v>49</v>
      </c>
      <c r="AQ928" s="58">
        <v>46</v>
      </c>
    </row>
    <row r="929" spans="1:46" ht="12.75">
      <c r="A929" s="246">
        <v>140</v>
      </c>
      <c r="B929" s="2">
        <v>74</v>
      </c>
      <c r="C929" s="13">
        <v>72</v>
      </c>
      <c r="D929" s="2">
        <v>70</v>
      </c>
      <c r="E929" s="2">
        <v>70</v>
      </c>
      <c r="F929" s="2">
        <v>68</v>
      </c>
      <c r="G929" s="2">
        <v>67</v>
      </c>
      <c r="H929" s="2">
        <v>66</v>
      </c>
      <c r="I929" s="2">
        <v>65</v>
      </c>
      <c r="J929" s="2">
        <v>63</v>
      </c>
      <c r="K929" s="2">
        <v>62</v>
      </c>
      <c r="L929" s="2">
        <v>62</v>
      </c>
      <c r="M929" s="2">
        <v>61</v>
      </c>
      <c r="N929" s="2">
        <v>59</v>
      </c>
      <c r="O929" s="2">
        <v>58</v>
      </c>
      <c r="P929" s="2">
        <v>57</v>
      </c>
      <c r="Q929" s="2">
        <v>57</v>
      </c>
      <c r="Y929" s="2">
        <v>54</v>
      </c>
      <c r="Z929" s="13">
        <v>52</v>
      </c>
      <c r="AA929" s="13">
        <v>50</v>
      </c>
      <c r="AB929" s="13">
        <v>49</v>
      </c>
      <c r="AC929" s="13">
        <v>48</v>
      </c>
      <c r="AK929" s="13">
        <v>59</v>
      </c>
      <c r="AL929" s="13">
        <v>59</v>
      </c>
      <c r="AM929" s="58">
        <v>55</v>
      </c>
      <c r="AN929" s="58">
        <v>53</v>
      </c>
      <c r="AO929" s="58">
        <v>50</v>
      </c>
      <c r="AP929" s="58">
        <v>49</v>
      </c>
      <c r="AQ929" s="58">
        <v>46</v>
      </c>
    </row>
    <row r="930" spans="1:46" ht="12.75">
      <c r="A930" s="246">
        <v>150</v>
      </c>
      <c r="B930" s="2">
        <v>74</v>
      </c>
      <c r="C930" s="13">
        <v>72</v>
      </c>
      <c r="D930" s="2">
        <v>70</v>
      </c>
      <c r="E930" s="2">
        <v>70</v>
      </c>
      <c r="F930" s="2">
        <v>68</v>
      </c>
      <c r="G930" s="2">
        <v>67</v>
      </c>
      <c r="H930" s="2">
        <v>66</v>
      </c>
      <c r="I930" s="2">
        <v>65</v>
      </c>
      <c r="J930" s="2">
        <v>63</v>
      </c>
      <c r="K930" s="2">
        <v>62</v>
      </c>
      <c r="L930" s="2">
        <v>62</v>
      </c>
      <c r="M930" s="2">
        <v>61</v>
      </c>
      <c r="N930" s="2">
        <v>59</v>
      </c>
      <c r="O930" s="2">
        <v>58</v>
      </c>
      <c r="P930" s="2">
        <v>57</v>
      </c>
      <c r="Q930" s="2">
        <v>57</v>
      </c>
      <c r="Y930" s="2">
        <v>54</v>
      </c>
      <c r="Z930" s="13">
        <v>52</v>
      </c>
      <c r="AA930" s="13">
        <v>50</v>
      </c>
      <c r="AB930" s="13">
        <v>49</v>
      </c>
      <c r="AC930" s="13">
        <v>48</v>
      </c>
      <c r="AK930" s="13">
        <v>59</v>
      </c>
      <c r="AL930" s="13">
        <v>59</v>
      </c>
      <c r="AM930" s="58">
        <v>55</v>
      </c>
      <c r="AN930" s="58">
        <v>53</v>
      </c>
      <c r="AO930" s="58">
        <v>50</v>
      </c>
      <c r="AP930" s="58">
        <v>49</v>
      </c>
      <c r="AQ930" s="58">
        <v>46</v>
      </c>
    </row>
    <row r="931" spans="1:46" ht="12.75">
      <c r="A931" s="246">
        <v>160</v>
      </c>
      <c r="B931" s="2">
        <v>74</v>
      </c>
      <c r="C931" s="13">
        <v>72</v>
      </c>
      <c r="D931" s="2">
        <v>70</v>
      </c>
      <c r="E931" s="2">
        <v>70</v>
      </c>
      <c r="F931" s="2">
        <v>68</v>
      </c>
      <c r="G931" s="2">
        <v>67</v>
      </c>
      <c r="H931" s="2">
        <v>66</v>
      </c>
      <c r="I931" s="2">
        <v>65</v>
      </c>
      <c r="J931" s="2">
        <v>63</v>
      </c>
      <c r="K931" s="2">
        <v>62</v>
      </c>
      <c r="L931" s="2">
        <v>62</v>
      </c>
      <c r="M931" s="2">
        <v>61</v>
      </c>
      <c r="N931" s="2">
        <v>59</v>
      </c>
      <c r="O931" s="2">
        <v>58</v>
      </c>
      <c r="P931" s="2">
        <v>57</v>
      </c>
      <c r="Q931" s="2">
        <v>57</v>
      </c>
      <c r="Y931" s="2">
        <v>54</v>
      </c>
      <c r="Z931" s="13">
        <v>52</v>
      </c>
      <c r="AA931" s="13">
        <v>50</v>
      </c>
      <c r="AB931" s="13">
        <v>49</v>
      </c>
      <c r="AC931" s="13">
        <v>48</v>
      </c>
      <c r="AK931" s="13">
        <v>59</v>
      </c>
      <c r="AL931" s="13">
        <v>59</v>
      </c>
      <c r="AM931" s="58">
        <v>55</v>
      </c>
      <c r="AN931" s="58">
        <v>53</v>
      </c>
      <c r="AO931" s="58">
        <v>50</v>
      </c>
      <c r="AP931" s="58">
        <v>49</v>
      </c>
      <c r="AQ931" s="58">
        <v>46</v>
      </c>
    </row>
    <row r="932" spans="1:46" ht="12.75">
      <c r="A932" s="246">
        <v>170</v>
      </c>
      <c r="B932" s="2">
        <v>74</v>
      </c>
      <c r="C932" s="13">
        <v>72</v>
      </c>
      <c r="D932" s="2">
        <v>70</v>
      </c>
      <c r="E932" s="2">
        <v>70</v>
      </c>
      <c r="F932" s="2">
        <v>68</v>
      </c>
      <c r="G932" s="2">
        <v>67</v>
      </c>
      <c r="H932" s="2">
        <v>66</v>
      </c>
      <c r="I932" s="2">
        <v>65</v>
      </c>
      <c r="J932" s="2">
        <v>63</v>
      </c>
      <c r="K932" s="2">
        <v>62</v>
      </c>
      <c r="L932" s="2">
        <v>62</v>
      </c>
      <c r="M932" s="2">
        <v>61</v>
      </c>
      <c r="N932" s="2">
        <v>59</v>
      </c>
      <c r="O932" s="2">
        <v>58</v>
      </c>
      <c r="P932" s="2">
        <v>57</v>
      </c>
      <c r="Q932" s="2">
        <v>57</v>
      </c>
      <c r="Y932" s="2">
        <v>54</v>
      </c>
      <c r="Z932" s="13">
        <v>52</v>
      </c>
      <c r="AA932" s="13">
        <v>50</v>
      </c>
      <c r="AB932" s="13">
        <v>49</v>
      </c>
      <c r="AC932" s="13">
        <v>48</v>
      </c>
      <c r="AK932" s="13">
        <v>59</v>
      </c>
      <c r="AL932" s="13">
        <v>59</v>
      </c>
      <c r="AM932" s="58">
        <v>55</v>
      </c>
      <c r="AN932" s="58">
        <v>53</v>
      </c>
      <c r="AO932" s="58">
        <v>50</v>
      </c>
      <c r="AP932" s="58">
        <v>49</v>
      </c>
      <c r="AQ932" s="58">
        <v>46</v>
      </c>
    </row>
    <row r="933" spans="1:46" ht="12.75">
      <c r="A933" s="246">
        <v>180</v>
      </c>
      <c r="B933" s="2">
        <v>74</v>
      </c>
      <c r="C933" s="13">
        <v>72</v>
      </c>
      <c r="D933" s="2">
        <v>70</v>
      </c>
      <c r="E933" s="2">
        <v>70</v>
      </c>
      <c r="F933" s="2">
        <v>68</v>
      </c>
      <c r="G933" s="2">
        <v>67</v>
      </c>
      <c r="H933" s="2">
        <v>66</v>
      </c>
      <c r="I933" s="2">
        <v>65</v>
      </c>
      <c r="J933" s="2">
        <v>63</v>
      </c>
      <c r="K933" s="2">
        <v>62</v>
      </c>
      <c r="L933" s="2">
        <v>62</v>
      </c>
      <c r="M933" s="2">
        <v>61</v>
      </c>
      <c r="N933" s="2">
        <v>59</v>
      </c>
      <c r="O933" s="2">
        <v>58</v>
      </c>
      <c r="P933" s="2">
        <v>57</v>
      </c>
      <c r="Q933" s="2">
        <v>57</v>
      </c>
      <c r="Y933" s="2">
        <v>54</v>
      </c>
      <c r="Z933" s="13">
        <v>52</v>
      </c>
      <c r="AA933" s="13">
        <v>50</v>
      </c>
      <c r="AB933" s="13">
        <v>49</v>
      </c>
      <c r="AC933" s="13">
        <v>48</v>
      </c>
      <c r="AK933" s="13">
        <v>59</v>
      </c>
      <c r="AL933" s="13">
        <v>59</v>
      </c>
      <c r="AM933" s="58">
        <v>55</v>
      </c>
      <c r="AN933" s="58">
        <v>53</v>
      </c>
      <c r="AO933" s="58">
        <v>50</v>
      </c>
      <c r="AP933" s="58">
        <v>49</v>
      </c>
      <c r="AQ933" s="58">
        <v>46</v>
      </c>
    </row>
    <row r="934" spans="1:46" ht="12.75">
      <c r="A934" s="246">
        <v>190</v>
      </c>
      <c r="B934" s="2">
        <v>74</v>
      </c>
      <c r="C934" s="13">
        <v>72</v>
      </c>
      <c r="D934" s="2">
        <v>70</v>
      </c>
      <c r="E934" s="2">
        <v>70</v>
      </c>
      <c r="F934" s="2">
        <v>68</v>
      </c>
      <c r="G934" s="2">
        <v>67</v>
      </c>
      <c r="H934" s="2">
        <v>66</v>
      </c>
      <c r="I934" s="2">
        <v>65</v>
      </c>
      <c r="J934" s="2">
        <v>63</v>
      </c>
      <c r="K934" s="2">
        <v>62</v>
      </c>
      <c r="L934" s="2">
        <v>62</v>
      </c>
      <c r="M934" s="2">
        <v>61</v>
      </c>
      <c r="N934" s="2">
        <v>59</v>
      </c>
      <c r="O934" s="2">
        <v>58</v>
      </c>
      <c r="P934" s="2">
        <v>57</v>
      </c>
      <c r="Q934" s="2">
        <v>57</v>
      </c>
      <c r="Y934" s="2">
        <v>54</v>
      </c>
      <c r="Z934" s="13">
        <v>52</v>
      </c>
      <c r="AA934" s="13">
        <v>50</v>
      </c>
      <c r="AB934" s="13">
        <v>49</v>
      </c>
      <c r="AC934" s="13">
        <v>48</v>
      </c>
      <c r="AK934" s="13">
        <v>59</v>
      </c>
      <c r="AL934" s="13">
        <v>59</v>
      </c>
      <c r="AM934" s="58">
        <v>55</v>
      </c>
      <c r="AN934" s="58">
        <v>53</v>
      </c>
      <c r="AO934" s="58">
        <v>50</v>
      </c>
      <c r="AP934" s="58">
        <v>49</v>
      </c>
      <c r="AQ934" s="58">
        <v>46</v>
      </c>
    </row>
    <row r="935" spans="1:46" ht="12.75">
      <c r="A935" s="246">
        <v>200</v>
      </c>
      <c r="B935" s="2">
        <v>74</v>
      </c>
      <c r="C935" s="13">
        <v>72</v>
      </c>
      <c r="D935" s="2">
        <v>70</v>
      </c>
      <c r="E935" s="2">
        <v>70</v>
      </c>
      <c r="F935" s="2">
        <v>68</v>
      </c>
      <c r="G935" s="2">
        <v>67</v>
      </c>
      <c r="H935" s="2">
        <v>66</v>
      </c>
      <c r="I935" s="2">
        <v>65</v>
      </c>
      <c r="J935" s="2">
        <v>63</v>
      </c>
      <c r="K935" s="2">
        <v>62</v>
      </c>
      <c r="L935" s="2">
        <v>62</v>
      </c>
      <c r="M935" s="2">
        <v>61</v>
      </c>
      <c r="N935" s="2">
        <v>59</v>
      </c>
      <c r="O935" s="2">
        <v>58</v>
      </c>
      <c r="P935" s="2">
        <v>57</v>
      </c>
      <c r="Q935" s="2">
        <v>57</v>
      </c>
      <c r="Y935" s="2">
        <v>54</v>
      </c>
      <c r="Z935" s="13">
        <v>52</v>
      </c>
      <c r="AA935" s="13">
        <v>50</v>
      </c>
      <c r="AB935" s="13">
        <v>49</v>
      </c>
      <c r="AC935" s="13">
        <v>48</v>
      </c>
      <c r="AK935" s="13">
        <v>59</v>
      </c>
      <c r="AL935" s="13">
        <v>59</v>
      </c>
      <c r="AM935" s="58">
        <v>55</v>
      </c>
      <c r="AN935" s="58">
        <v>53</v>
      </c>
      <c r="AO935" s="58">
        <v>50</v>
      </c>
      <c r="AP935" s="58">
        <v>49</v>
      </c>
      <c r="AQ935" s="58">
        <v>46</v>
      </c>
    </row>
    <row r="936" spans="1:46" ht="12.75">
      <c r="A936" s="5"/>
    </row>
    <row r="937" spans="1:46" ht="12.75">
      <c r="A937" s="222" t="s">
        <v>458</v>
      </c>
      <c r="B937" s="13" t="s">
        <v>46</v>
      </c>
      <c r="C937" s="13" t="s">
        <v>49</v>
      </c>
      <c r="D937" s="13" t="s">
        <v>324</v>
      </c>
      <c r="E937" s="279" t="s">
        <v>325</v>
      </c>
      <c r="F937" s="261" t="s">
        <v>58</v>
      </c>
      <c r="G937" s="13" t="s">
        <v>61</v>
      </c>
      <c r="H937" s="13" t="s">
        <v>326</v>
      </c>
      <c r="I937" s="13" t="s">
        <v>66</v>
      </c>
      <c r="J937" s="13" t="s">
        <v>327</v>
      </c>
      <c r="R937" s="13" t="s">
        <v>329</v>
      </c>
      <c r="S937" s="13" t="s">
        <v>330</v>
      </c>
      <c r="T937" s="13" t="s">
        <v>331</v>
      </c>
      <c r="U937" s="13" t="s">
        <v>332</v>
      </c>
      <c r="AC937" s="13" t="s">
        <v>334</v>
      </c>
      <c r="AD937" s="13" t="s">
        <v>335</v>
      </c>
      <c r="AK937" s="13" t="s">
        <v>422</v>
      </c>
      <c r="AM937" s="109" t="s">
        <v>55</v>
      </c>
      <c r="AN937" s="246" t="s">
        <v>61</v>
      </c>
      <c r="AO937" s="246" t="s">
        <v>326</v>
      </c>
      <c r="AP937" s="242" t="s">
        <v>401</v>
      </c>
      <c r="AQ937" s="109" t="s">
        <v>402</v>
      </c>
    </row>
    <row r="938" spans="1:46" ht="12.75">
      <c r="A938" s="246">
        <v>20</v>
      </c>
      <c r="B938" s="13">
        <v>149</v>
      </c>
      <c r="C938" s="13">
        <v>143</v>
      </c>
      <c r="D938" s="13">
        <v>139</v>
      </c>
      <c r="E938" s="13">
        <v>136</v>
      </c>
      <c r="F938" s="58">
        <v>133</v>
      </c>
      <c r="G938" s="13">
        <v>132</v>
      </c>
      <c r="H938" s="13">
        <v>130</v>
      </c>
      <c r="I938" s="13">
        <v>128</v>
      </c>
      <c r="J938" s="13">
        <v>126</v>
      </c>
      <c r="R938" s="13">
        <v>149</v>
      </c>
      <c r="S938" s="13">
        <v>126</v>
      </c>
      <c r="T938" s="13">
        <v>123</v>
      </c>
      <c r="U938" s="13">
        <v>122</v>
      </c>
      <c r="AC938" s="13">
        <v>133</v>
      </c>
      <c r="AD938" s="13">
        <v>113</v>
      </c>
      <c r="AK938" s="13">
        <v>133</v>
      </c>
      <c r="AM938" s="58">
        <v>116</v>
      </c>
      <c r="AN938" s="13">
        <v>113</v>
      </c>
      <c r="AO938" s="13">
        <v>110</v>
      </c>
      <c r="AP938" s="241">
        <v>109</v>
      </c>
      <c r="AQ938" s="58">
        <v>106</v>
      </c>
      <c r="AT938" s="247" t="s">
        <v>117</v>
      </c>
    </row>
    <row r="939" spans="1:46" ht="12.75">
      <c r="A939" s="246">
        <v>25</v>
      </c>
      <c r="B939" s="13">
        <v>149</v>
      </c>
      <c r="C939" s="13">
        <v>143</v>
      </c>
      <c r="D939" s="13">
        <v>139</v>
      </c>
      <c r="E939" s="13">
        <v>136</v>
      </c>
      <c r="F939" s="58">
        <v>133</v>
      </c>
      <c r="G939" s="13">
        <v>132</v>
      </c>
      <c r="H939" s="13">
        <v>130</v>
      </c>
      <c r="I939" s="13">
        <v>128</v>
      </c>
      <c r="J939" s="13">
        <v>126</v>
      </c>
      <c r="R939" s="13">
        <v>149</v>
      </c>
      <c r="S939" s="13">
        <v>126</v>
      </c>
      <c r="T939" s="13">
        <v>123</v>
      </c>
      <c r="U939" s="13">
        <v>122</v>
      </c>
      <c r="AC939" s="13">
        <v>133</v>
      </c>
      <c r="AD939" s="13">
        <v>113</v>
      </c>
      <c r="AK939" s="13">
        <v>133</v>
      </c>
      <c r="AM939" s="58">
        <v>116</v>
      </c>
      <c r="AN939" s="13">
        <v>113</v>
      </c>
      <c r="AO939" s="13">
        <v>110</v>
      </c>
      <c r="AP939" s="241">
        <v>109</v>
      </c>
      <c r="AQ939" s="58">
        <v>106</v>
      </c>
    </row>
    <row r="940" spans="1:46" ht="12.75">
      <c r="A940" s="246">
        <v>30</v>
      </c>
      <c r="B940" s="13">
        <v>149</v>
      </c>
      <c r="C940" s="13">
        <v>143</v>
      </c>
      <c r="D940" s="13">
        <v>139</v>
      </c>
      <c r="E940" s="13">
        <v>136</v>
      </c>
      <c r="F940" s="58">
        <v>133</v>
      </c>
      <c r="G940" s="13">
        <v>132</v>
      </c>
      <c r="H940" s="13">
        <v>130</v>
      </c>
      <c r="I940" s="13">
        <v>128</v>
      </c>
      <c r="J940" s="13">
        <v>126</v>
      </c>
      <c r="R940" s="13">
        <v>149</v>
      </c>
      <c r="S940" s="13">
        <v>126</v>
      </c>
      <c r="T940" s="13">
        <v>123</v>
      </c>
      <c r="U940" s="13">
        <v>122</v>
      </c>
      <c r="AC940" s="13">
        <v>133</v>
      </c>
      <c r="AD940" s="13">
        <v>113</v>
      </c>
      <c r="AK940" s="13">
        <v>133</v>
      </c>
      <c r="AM940" s="58">
        <v>116</v>
      </c>
      <c r="AN940" s="13">
        <v>113</v>
      </c>
      <c r="AO940" s="13">
        <v>110</v>
      </c>
      <c r="AP940" s="241">
        <v>109</v>
      </c>
      <c r="AQ940" s="58">
        <v>106</v>
      </c>
    </row>
    <row r="941" spans="1:46" ht="12.75">
      <c r="A941" s="246">
        <v>35</v>
      </c>
      <c r="B941" s="13">
        <v>149</v>
      </c>
      <c r="C941" s="13">
        <v>143</v>
      </c>
      <c r="D941" s="13">
        <v>139</v>
      </c>
      <c r="E941" s="13">
        <v>136</v>
      </c>
      <c r="F941" s="58">
        <v>133</v>
      </c>
      <c r="G941" s="13">
        <v>132</v>
      </c>
      <c r="H941" s="13">
        <v>130</v>
      </c>
      <c r="I941" s="13">
        <v>128</v>
      </c>
      <c r="J941" s="13">
        <v>126</v>
      </c>
      <c r="R941" s="13">
        <v>149</v>
      </c>
      <c r="S941" s="13">
        <v>126</v>
      </c>
      <c r="T941" s="13">
        <v>123</v>
      </c>
      <c r="U941" s="13">
        <v>122</v>
      </c>
      <c r="AC941" s="13">
        <v>133</v>
      </c>
      <c r="AD941" s="13">
        <v>113</v>
      </c>
      <c r="AK941" s="13">
        <v>133</v>
      </c>
      <c r="AM941" s="58">
        <v>116</v>
      </c>
      <c r="AN941" s="13">
        <v>113</v>
      </c>
      <c r="AO941" s="13">
        <v>110</v>
      </c>
      <c r="AP941" s="241">
        <v>109</v>
      </c>
      <c r="AQ941" s="58">
        <v>106</v>
      </c>
    </row>
    <row r="942" spans="1:46" ht="12.75">
      <c r="A942" s="246">
        <v>40</v>
      </c>
      <c r="B942" s="13">
        <v>149</v>
      </c>
      <c r="C942" s="13">
        <v>143</v>
      </c>
      <c r="D942" s="13">
        <v>139</v>
      </c>
      <c r="E942" s="13">
        <v>136</v>
      </c>
      <c r="F942" s="58">
        <v>133</v>
      </c>
      <c r="G942" s="13">
        <v>132</v>
      </c>
      <c r="H942" s="13">
        <v>130</v>
      </c>
      <c r="I942" s="13">
        <v>128</v>
      </c>
      <c r="J942" s="13">
        <v>126</v>
      </c>
      <c r="R942" s="13">
        <v>149</v>
      </c>
      <c r="S942" s="13">
        <v>126</v>
      </c>
      <c r="T942" s="13">
        <v>123</v>
      </c>
      <c r="U942" s="13">
        <v>122</v>
      </c>
      <c r="AC942" s="13">
        <v>133</v>
      </c>
      <c r="AD942" s="13">
        <v>113</v>
      </c>
      <c r="AK942" s="13">
        <v>133</v>
      </c>
      <c r="AM942" s="58">
        <v>116</v>
      </c>
      <c r="AN942" s="13">
        <v>113</v>
      </c>
      <c r="AO942" s="13">
        <v>110</v>
      </c>
      <c r="AP942" s="241">
        <v>109</v>
      </c>
      <c r="AQ942" s="58">
        <v>106</v>
      </c>
    </row>
    <row r="943" spans="1:46" ht="12.75">
      <c r="A943" s="246">
        <v>45</v>
      </c>
      <c r="B943" s="13">
        <v>144</v>
      </c>
      <c r="C943" s="13">
        <v>137</v>
      </c>
      <c r="D943" s="13">
        <v>133</v>
      </c>
      <c r="E943" s="13">
        <v>131</v>
      </c>
      <c r="F943" s="58">
        <v>128</v>
      </c>
      <c r="G943" s="13">
        <v>127</v>
      </c>
      <c r="H943" s="13">
        <v>124</v>
      </c>
      <c r="I943" s="13">
        <v>123</v>
      </c>
      <c r="J943" s="13">
        <v>120</v>
      </c>
      <c r="R943" s="13">
        <v>139</v>
      </c>
      <c r="S943" s="13">
        <v>118</v>
      </c>
      <c r="T943" s="13">
        <v>115</v>
      </c>
      <c r="U943" s="13">
        <v>114</v>
      </c>
      <c r="AC943" s="13">
        <v>123</v>
      </c>
      <c r="AD943" s="13">
        <v>104</v>
      </c>
      <c r="AK943" s="13">
        <v>122</v>
      </c>
      <c r="AM943" s="58">
        <v>111</v>
      </c>
      <c r="AN943" s="13">
        <v>109</v>
      </c>
      <c r="AO943" s="13">
        <v>106</v>
      </c>
      <c r="AP943" s="241">
        <v>105</v>
      </c>
      <c r="AQ943" s="58">
        <v>102</v>
      </c>
    </row>
    <row r="944" spans="1:46" ht="12.75">
      <c r="A944" s="246">
        <v>50</v>
      </c>
      <c r="B944" s="13">
        <v>137</v>
      </c>
      <c r="C944" s="13">
        <v>132</v>
      </c>
      <c r="D944" s="13">
        <v>128</v>
      </c>
      <c r="E944" s="13">
        <v>126</v>
      </c>
      <c r="F944" s="58">
        <v>123</v>
      </c>
      <c r="G944" s="13">
        <v>122</v>
      </c>
      <c r="H944" s="13">
        <v>119</v>
      </c>
      <c r="I944" s="13">
        <v>118</v>
      </c>
      <c r="J944" s="13">
        <v>116</v>
      </c>
      <c r="R944" s="13">
        <v>130</v>
      </c>
      <c r="S944" s="13">
        <v>109</v>
      </c>
      <c r="T944" s="13">
        <v>106</v>
      </c>
      <c r="U944" s="13">
        <v>105</v>
      </c>
      <c r="AC944" s="13">
        <v>111</v>
      </c>
      <c r="AD944" s="13">
        <v>93</v>
      </c>
      <c r="AK944" s="13">
        <v>110</v>
      </c>
      <c r="AM944" s="58">
        <v>107</v>
      </c>
      <c r="AN944" s="13">
        <v>104</v>
      </c>
      <c r="AO944" s="13">
        <v>101</v>
      </c>
      <c r="AP944" s="241">
        <v>100</v>
      </c>
      <c r="AQ944" s="58">
        <v>98</v>
      </c>
    </row>
    <row r="945" spans="1:43" ht="12.75">
      <c r="A945" s="246">
        <v>60</v>
      </c>
      <c r="B945" s="13">
        <v>126</v>
      </c>
      <c r="C945" s="13">
        <v>120</v>
      </c>
      <c r="D945" s="13">
        <v>118</v>
      </c>
      <c r="E945" s="13">
        <v>115</v>
      </c>
      <c r="F945" s="58">
        <v>113</v>
      </c>
      <c r="G945" s="13">
        <v>111</v>
      </c>
      <c r="H945" s="13">
        <v>110</v>
      </c>
      <c r="I945" s="13">
        <v>109</v>
      </c>
      <c r="J945" s="13">
        <v>106</v>
      </c>
      <c r="R945" s="13">
        <v>107</v>
      </c>
      <c r="S945" s="13">
        <v>92</v>
      </c>
      <c r="T945" s="13">
        <v>89</v>
      </c>
      <c r="U945" s="13">
        <v>88</v>
      </c>
      <c r="AC945" s="13">
        <v>88</v>
      </c>
      <c r="AD945" s="13">
        <v>75</v>
      </c>
      <c r="AK945" s="13">
        <v>87</v>
      </c>
      <c r="AM945" s="58">
        <v>98</v>
      </c>
      <c r="AN945" s="13">
        <v>96</v>
      </c>
      <c r="AO945" s="13">
        <v>93</v>
      </c>
      <c r="AP945" s="241">
        <v>92</v>
      </c>
      <c r="AQ945" s="58">
        <v>89</v>
      </c>
    </row>
    <row r="946" spans="1:43" ht="12.75">
      <c r="A946" s="246">
        <v>70</v>
      </c>
      <c r="B946" s="13">
        <v>115</v>
      </c>
      <c r="C946" s="13">
        <v>110</v>
      </c>
      <c r="D946" s="13">
        <v>106</v>
      </c>
      <c r="E946" s="13">
        <v>105</v>
      </c>
      <c r="F946" s="58">
        <v>102</v>
      </c>
      <c r="G946" s="13">
        <v>102</v>
      </c>
      <c r="H946" s="13">
        <v>100</v>
      </c>
      <c r="I946" s="13">
        <v>98</v>
      </c>
      <c r="J946" s="13">
        <v>97</v>
      </c>
      <c r="R946" s="13">
        <v>88</v>
      </c>
      <c r="S946" s="13">
        <v>74</v>
      </c>
      <c r="T946" s="13">
        <v>72</v>
      </c>
      <c r="U946" s="13">
        <v>71</v>
      </c>
      <c r="AC946" s="13">
        <v>66</v>
      </c>
      <c r="AD946" s="13">
        <v>55</v>
      </c>
      <c r="AK946" s="13">
        <v>63</v>
      </c>
      <c r="AM946" s="58">
        <v>89</v>
      </c>
      <c r="AN946" s="13">
        <v>87</v>
      </c>
      <c r="AO946" s="13">
        <v>84</v>
      </c>
      <c r="AP946" s="241">
        <v>84</v>
      </c>
      <c r="AQ946" s="58">
        <v>81</v>
      </c>
    </row>
    <row r="947" spans="1:43" ht="12.75">
      <c r="A947" s="246">
        <v>80</v>
      </c>
      <c r="B947" s="13">
        <v>104</v>
      </c>
      <c r="C947" s="13">
        <v>100</v>
      </c>
      <c r="D947" s="13">
        <v>96</v>
      </c>
      <c r="E947" s="13">
        <v>94</v>
      </c>
      <c r="F947" s="58">
        <v>93</v>
      </c>
      <c r="G947" s="13">
        <v>92</v>
      </c>
      <c r="H947" s="13">
        <v>89</v>
      </c>
      <c r="I947" s="13">
        <v>89</v>
      </c>
      <c r="J947" s="13">
        <v>88</v>
      </c>
      <c r="R947" s="13">
        <v>79</v>
      </c>
      <c r="S947" s="13">
        <v>67</v>
      </c>
      <c r="T947" s="13">
        <v>66</v>
      </c>
      <c r="U947" s="13">
        <v>65</v>
      </c>
      <c r="AC947" s="13">
        <v>62</v>
      </c>
      <c r="AD947" s="13">
        <v>52</v>
      </c>
      <c r="AK947" s="13">
        <v>59</v>
      </c>
      <c r="AM947" s="58">
        <v>81</v>
      </c>
      <c r="AN947" s="13">
        <v>79</v>
      </c>
      <c r="AO947" s="13">
        <v>76</v>
      </c>
      <c r="AP947" s="241">
        <v>75</v>
      </c>
      <c r="AQ947" s="58">
        <v>74</v>
      </c>
    </row>
    <row r="948" spans="1:43" ht="12.75">
      <c r="A948" s="246">
        <v>90</v>
      </c>
      <c r="B948" s="13">
        <v>92</v>
      </c>
      <c r="C948" s="13">
        <v>88</v>
      </c>
      <c r="D948" s="13">
        <v>85</v>
      </c>
      <c r="E948" s="13">
        <v>84</v>
      </c>
      <c r="F948" s="58">
        <v>83</v>
      </c>
      <c r="G948" s="13">
        <v>81</v>
      </c>
      <c r="H948" s="13">
        <v>80</v>
      </c>
      <c r="I948" s="13">
        <v>79</v>
      </c>
      <c r="J948" s="13">
        <v>78</v>
      </c>
      <c r="R948" s="13">
        <v>71</v>
      </c>
      <c r="S948" s="13">
        <v>59</v>
      </c>
      <c r="T948" s="13">
        <v>58</v>
      </c>
      <c r="U948" s="13">
        <v>58</v>
      </c>
      <c r="AC948" s="248">
        <v>58</v>
      </c>
      <c r="AD948" s="13">
        <v>49</v>
      </c>
      <c r="AK948" s="241">
        <v>55</v>
      </c>
      <c r="AM948" s="58">
        <v>72</v>
      </c>
      <c r="AN948" s="13">
        <v>70</v>
      </c>
      <c r="AO948" s="13">
        <v>68</v>
      </c>
      <c r="AP948" s="241">
        <v>67</v>
      </c>
      <c r="AQ948" s="58">
        <v>66</v>
      </c>
    </row>
    <row r="949" spans="1:43" ht="12.75">
      <c r="A949" s="246">
        <v>100</v>
      </c>
      <c r="B949" s="13">
        <v>91</v>
      </c>
      <c r="C949" s="13">
        <v>87</v>
      </c>
      <c r="D949" s="13">
        <v>84</v>
      </c>
      <c r="E949" s="13">
        <v>83</v>
      </c>
      <c r="F949" s="58">
        <v>81</v>
      </c>
      <c r="G949" s="13">
        <v>80</v>
      </c>
      <c r="H949" s="13">
        <v>79</v>
      </c>
      <c r="I949" s="13">
        <v>78</v>
      </c>
      <c r="J949" s="13">
        <v>76</v>
      </c>
      <c r="R949" s="13">
        <v>71</v>
      </c>
      <c r="S949" s="13">
        <v>59</v>
      </c>
      <c r="T949" s="13">
        <v>58</v>
      </c>
      <c r="U949" s="13">
        <v>58</v>
      </c>
      <c r="AC949" s="248">
        <v>58</v>
      </c>
      <c r="AD949" s="13">
        <v>49</v>
      </c>
      <c r="AK949" s="241">
        <v>55</v>
      </c>
      <c r="AM949" s="58">
        <v>71</v>
      </c>
      <c r="AN949" s="13">
        <v>68</v>
      </c>
      <c r="AO949" s="13">
        <v>67</v>
      </c>
      <c r="AP949" s="241">
        <v>66</v>
      </c>
      <c r="AQ949" s="58">
        <v>65</v>
      </c>
    </row>
    <row r="950" spans="1:43" ht="12.75">
      <c r="A950" s="246">
        <v>110</v>
      </c>
      <c r="B950" s="13">
        <v>89</v>
      </c>
      <c r="C950" s="13">
        <v>85</v>
      </c>
      <c r="D950" s="13">
        <v>83</v>
      </c>
      <c r="E950" s="13">
        <v>81</v>
      </c>
      <c r="F950" s="58">
        <v>80</v>
      </c>
      <c r="G950" s="13">
        <v>79</v>
      </c>
      <c r="H950" s="13">
        <v>78</v>
      </c>
      <c r="I950" s="13">
        <v>76</v>
      </c>
      <c r="J950" s="13">
        <v>75</v>
      </c>
      <c r="R950" s="13">
        <v>71</v>
      </c>
      <c r="S950" s="13">
        <v>59</v>
      </c>
      <c r="T950" s="13">
        <v>58</v>
      </c>
      <c r="U950" s="13">
        <v>58</v>
      </c>
      <c r="AC950" s="13">
        <v>58</v>
      </c>
      <c r="AD950" s="13">
        <v>49</v>
      </c>
      <c r="AK950" s="13">
        <v>55</v>
      </c>
      <c r="AM950" s="58">
        <v>71</v>
      </c>
      <c r="AN950" s="13">
        <v>68</v>
      </c>
      <c r="AO950" s="13">
        <v>67</v>
      </c>
      <c r="AP950" s="241">
        <v>66</v>
      </c>
      <c r="AQ950" s="58">
        <v>65</v>
      </c>
    </row>
    <row r="951" spans="1:43" ht="12.75">
      <c r="A951" s="246">
        <v>120</v>
      </c>
      <c r="B951" s="13">
        <v>88</v>
      </c>
      <c r="C951" s="13">
        <v>84</v>
      </c>
      <c r="D951" s="13">
        <v>81</v>
      </c>
      <c r="E951" s="13">
        <v>80</v>
      </c>
      <c r="F951" s="58">
        <v>79</v>
      </c>
      <c r="G951" s="13">
        <v>78</v>
      </c>
      <c r="H951" s="13">
        <v>76</v>
      </c>
      <c r="I951" s="13">
        <v>76</v>
      </c>
      <c r="J951" s="13">
        <v>74</v>
      </c>
      <c r="R951" s="13">
        <v>71</v>
      </c>
      <c r="S951" s="13">
        <v>59</v>
      </c>
      <c r="T951" s="13">
        <v>58</v>
      </c>
      <c r="U951" s="13">
        <v>58</v>
      </c>
      <c r="AC951" s="13">
        <v>58</v>
      </c>
      <c r="AD951" s="13">
        <v>49</v>
      </c>
      <c r="AK951" s="13">
        <v>55</v>
      </c>
      <c r="AM951" s="58">
        <v>70</v>
      </c>
      <c r="AN951" s="13">
        <v>68</v>
      </c>
      <c r="AO951" s="13">
        <v>66</v>
      </c>
      <c r="AP951" s="241">
        <v>66</v>
      </c>
      <c r="AQ951" s="58">
        <v>63</v>
      </c>
    </row>
    <row r="952" spans="1:43" ht="12.75">
      <c r="A952" s="246">
        <v>130</v>
      </c>
      <c r="B952" s="13">
        <v>87</v>
      </c>
      <c r="C952" s="13">
        <v>83</v>
      </c>
      <c r="D952" s="13">
        <v>80</v>
      </c>
      <c r="E952" s="13">
        <v>79</v>
      </c>
      <c r="F952" s="58">
        <v>78</v>
      </c>
      <c r="G952" s="13">
        <v>76</v>
      </c>
      <c r="H952" s="13">
        <v>75</v>
      </c>
      <c r="I952" s="13">
        <v>75</v>
      </c>
      <c r="J952" s="13">
        <v>74</v>
      </c>
      <c r="R952" s="13">
        <v>71</v>
      </c>
      <c r="S952" s="13">
        <v>59</v>
      </c>
      <c r="T952" s="13">
        <v>58</v>
      </c>
      <c r="U952" s="13">
        <v>58</v>
      </c>
      <c r="AC952" s="13">
        <v>58</v>
      </c>
      <c r="AD952" s="13">
        <v>49</v>
      </c>
      <c r="AK952" s="13">
        <v>55</v>
      </c>
      <c r="AM952" s="58">
        <v>70</v>
      </c>
      <c r="AN952" s="13">
        <v>67</v>
      </c>
      <c r="AO952" s="13">
        <v>66</v>
      </c>
      <c r="AP952" s="241">
        <v>65</v>
      </c>
      <c r="AQ952" s="58">
        <v>63</v>
      </c>
    </row>
    <row r="953" spans="1:43" ht="12.75">
      <c r="A953" s="246">
        <v>140</v>
      </c>
      <c r="B953" s="13">
        <v>85</v>
      </c>
      <c r="C953" s="13">
        <v>81</v>
      </c>
      <c r="D953" s="13">
        <v>80</v>
      </c>
      <c r="E953" s="13">
        <v>78</v>
      </c>
      <c r="F953" s="58">
        <v>76</v>
      </c>
      <c r="G953" s="13">
        <v>76</v>
      </c>
      <c r="H953" s="13">
        <v>74</v>
      </c>
      <c r="I953" s="13">
        <v>74</v>
      </c>
      <c r="J953" s="13">
        <v>72</v>
      </c>
      <c r="R953" s="13">
        <v>71</v>
      </c>
      <c r="S953" s="13">
        <v>59</v>
      </c>
      <c r="T953" s="13">
        <v>58</v>
      </c>
      <c r="U953" s="13">
        <v>58</v>
      </c>
      <c r="AC953" s="13">
        <v>58</v>
      </c>
      <c r="AD953" s="13">
        <v>49</v>
      </c>
      <c r="AK953" s="13">
        <v>55</v>
      </c>
      <c r="AM953" s="58">
        <v>70</v>
      </c>
      <c r="AN953" s="13">
        <v>67</v>
      </c>
      <c r="AO953" s="13">
        <v>66</v>
      </c>
      <c r="AP953" s="241">
        <v>65</v>
      </c>
      <c r="AQ953" s="58">
        <v>63</v>
      </c>
    </row>
    <row r="954" spans="1:43" ht="12.75">
      <c r="A954" s="246">
        <v>150</v>
      </c>
      <c r="B954" s="13">
        <v>84</v>
      </c>
      <c r="C954" s="13">
        <v>80</v>
      </c>
      <c r="D954" s="13">
        <v>79</v>
      </c>
      <c r="E954" s="13">
        <v>76</v>
      </c>
      <c r="F954" s="58">
        <v>75</v>
      </c>
      <c r="G954" s="13">
        <v>75</v>
      </c>
      <c r="H954" s="13">
        <v>74</v>
      </c>
      <c r="I954" s="13">
        <v>72</v>
      </c>
      <c r="J954" s="13">
        <v>71</v>
      </c>
      <c r="R954" s="13">
        <v>71</v>
      </c>
      <c r="S954" s="13">
        <v>59</v>
      </c>
      <c r="T954" s="13">
        <v>58</v>
      </c>
      <c r="U954" s="13">
        <v>58</v>
      </c>
      <c r="AC954" s="13">
        <v>58</v>
      </c>
      <c r="AD954" s="13">
        <v>49</v>
      </c>
      <c r="AK954" s="13">
        <v>55</v>
      </c>
      <c r="AM954" s="58">
        <v>68</v>
      </c>
      <c r="AN954" s="13">
        <v>67</v>
      </c>
      <c r="AO954" s="13">
        <v>65</v>
      </c>
      <c r="AP954" s="241">
        <v>65</v>
      </c>
      <c r="AQ954" s="58">
        <v>63</v>
      </c>
    </row>
    <row r="955" spans="1:43" ht="12.75">
      <c r="A955" s="246">
        <v>160</v>
      </c>
      <c r="B955" s="13">
        <v>83</v>
      </c>
      <c r="C955" s="13">
        <v>79</v>
      </c>
      <c r="D955" s="13">
        <v>78</v>
      </c>
      <c r="E955" s="13">
        <v>76</v>
      </c>
      <c r="F955" s="58">
        <v>75</v>
      </c>
      <c r="G955" s="13">
        <v>74</v>
      </c>
      <c r="H955" s="13">
        <v>72</v>
      </c>
      <c r="I955" s="13">
        <v>71</v>
      </c>
      <c r="J955" s="13">
        <v>70</v>
      </c>
      <c r="R955" s="13">
        <v>71</v>
      </c>
      <c r="S955" s="13">
        <v>59</v>
      </c>
      <c r="T955" s="13">
        <v>58</v>
      </c>
      <c r="U955" s="13">
        <v>58</v>
      </c>
      <c r="AC955" s="13">
        <v>58</v>
      </c>
      <c r="AD955" s="13">
        <v>49</v>
      </c>
      <c r="AK955" s="13">
        <v>55</v>
      </c>
      <c r="AM955" s="58">
        <v>68</v>
      </c>
      <c r="AN955" s="13">
        <v>66</v>
      </c>
      <c r="AO955" s="13">
        <v>65</v>
      </c>
      <c r="AP955" s="241">
        <v>63</v>
      </c>
      <c r="AQ955" s="58">
        <v>62</v>
      </c>
    </row>
    <row r="956" spans="1:43" ht="12.75">
      <c r="A956" s="246">
        <v>170</v>
      </c>
      <c r="B956" s="13">
        <v>81</v>
      </c>
      <c r="C956" s="13">
        <v>79</v>
      </c>
      <c r="D956" s="13">
        <v>76</v>
      </c>
      <c r="E956" s="13">
        <v>75</v>
      </c>
      <c r="F956" s="58">
        <v>74</v>
      </c>
      <c r="G956" s="13">
        <v>72</v>
      </c>
      <c r="H956" s="13">
        <v>71</v>
      </c>
      <c r="I956" s="13">
        <v>70</v>
      </c>
      <c r="J956" s="13">
        <v>68</v>
      </c>
      <c r="R956" s="13">
        <v>71</v>
      </c>
      <c r="S956" s="13">
        <v>59</v>
      </c>
      <c r="T956" s="13">
        <v>58</v>
      </c>
      <c r="U956" s="13">
        <v>58</v>
      </c>
      <c r="AC956" s="13">
        <v>58</v>
      </c>
      <c r="AD956" s="13">
        <v>49</v>
      </c>
      <c r="AK956" s="13">
        <v>55</v>
      </c>
      <c r="AM956" s="58">
        <v>68</v>
      </c>
      <c r="AN956" s="13">
        <v>66</v>
      </c>
      <c r="AO956" s="13">
        <v>65</v>
      </c>
      <c r="AP956" s="241">
        <v>63</v>
      </c>
      <c r="AQ956" s="58">
        <v>62</v>
      </c>
    </row>
    <row r="957" spans="1:43" ht="12.75">
      <c r="A957" s="246">
        <v>180</v>
      </c>
      <c r="B957" s="13">
        <v>80</v>
      </c>
      <c r="C957" s="13">
        <v>78</v>
      </c>
      <c r="D957" s="13">
        <v>75</v>
      </c>
      <c r="E957" s="13">
        <v>74</v>
      </c>
      <c r="F957" s="58">
        <v>72</v>
      </c>
      <c r="G957" s="13">
        <v>71</v>
      </c>
      <c r="H957" s="13">
        <v>70</v>
      </c>
      <c r="I957" s="13">
        <v>70</v>
      </c>
      <c r="J957" s="13">
        <v>68</v>
      </c>
      <c r="R957" s="13">
        <v>71</v>
      </c>
      <c r="S957" s="13">
        <v>59</v>
      </c>
      <c r="T957" s="13">
        <v>58</v>
      </c>
      <c r="U957" s="13">
        <v>58</v>
      </c>
      <c r="AC957" s="13">
        <v>58</v>
      </c>
      <c r="AD957" s="13">
        <v>49</v>
      </c>
      <c r="AK957" s="13">
        <v>55</v>
      </c>
      <c r="AM957" s="58">
        <v>67</v>
      </c>
      <c r="AN957" s="13">
        <v>66</v>
      </c>
      <c r="AO957" s="13">
        <v>63</v>
      </c>
      <c r="AP957" s="241">
        <v>63</v>
      </c>
      <c r="AQ957" s="58">
        <v>62</v>
      </c>
    </row>
    <row r="958" spans="1:43" ht="12.75">
      <c r="A958" s="246">
        <v>190</v>
      </c>
      <c r="B958" s="13">
        <v>79</v>
      </c>
      <c r="C958" s="13">
        <v>76</v>
      </c>
      <c r="D958" s="13">
        <v>74</v>
      </c>
      <c r="E958" s="13">
        <v>72</v>
      </c>
      <c r="F958" s="58">
        <v>71</v>
      </c>
      <c r="G958" s="13">
        <v>70</v>
      </c>
      <c r="H958" s="13">
        <v>68</v>
      </c>
      <c r="I958" s="13">
        <v>68</v>
      </c>
      <c r="J958" s="13">
        <v>67</v>
      </c>
      <c r="R958" s="13">
        <v>71</v>
      </c>
      <c r="S958" s="13">
        <v>59</v>
      </c>
      <c r="T958" s="13">
        <v>58</v>
      </c>
      <c r="U958" s="13">
        <v>58</v>
      </c>
      <c r="AC958" s="13">
        <v>58</v>
      </c>
      <c r="AD958" s="13">
        <v>49</v>
      </c>
      <c r="AK958" s="13">
        <v>55</v>
      </c>
      <c r="AM958" s="58">
        <v>67</v>
      </c>
      <c r="AN958" s="13">
        <v>65</v>
      </c>
      <c r="AO958" s="13">
        <v>63</v>
      </c>
      <c r="AP958" s="241">
        <v>63</v>
      </c>
      <c r="AQ958" s="58">
        <v>61</v>
      </c>
    </row>
    <row r="959" spans="1:43" ht="12.75">
      <c r="A959" s="246">
        <v>200</v>
      </c>
      <c r="B959" s="13">
        <v>78</v>
      </c>
      <c r="C959" s="13">
        <v>75</v>
      </c>
      <c r="D959" s="13">
        <v>72</v>
      </c>
      <c r="E959" s="13">
        <v>71</v>
      </c>
      <c r="F959" s="58">
        <v>70</v>
      </c>
      <c r="G959" s="13">
        <v>70</v>
      </c>
      <c r="H959" s="13">
        <v>68</v>
      </c>
      <c r="I959" s="13">
        <v>67</v>
      </c>
      <c r="J959" s="13">
        <v>66</v>
      </c>
      <c r="R959" s="13">
        <v>71</v>
      </c>
      <c r="S959" s="13">
        <v>59</v>
      </c>
      <c r="T959" s="13">
        <v>58</v>
      </c>
      <c r="U959" s="13">
        <v>58</v>
      </c>
      <c r="AC959" s="13">
        <v>58</v>
      </c>
      <c r="AD959" s="13">
        <v>49</v>
      </c>
      <c r="AK959" s="13">
        <v>55</v>
      </c>
      <c r="AM959" s="58">
        <v>67</v>
      </c>
      <c r="AN959" s="13">
        <v>65</v>
      </c>
      <c r="AO959" s="13">
        <v>63</v>
      </c>
      <c r="AP959" s="241">
        <v>62</v>
      </c>
      <c r="AQ959" s="58">
        <v>61</v>
      </c>
    </row>
    <row r="960" spans="1:43" ht="15">
      <c r="A960" s="42" t="s">
        <v>73</v>
      </c>
      <c r="B960" s="15" t="s">
        <v>24</v>
      </c>
      <c r="C960" s="15" t="s">
        <v>25</v>
      </c>
      <c r="D960" s="15" t="s">
        <v>26</v>
      </c>
      <c r="E960" s="15" t="s">
        <v>27</v>
      </c>
      <c r="F960" s="43" t="s">
        <v>28</v>
      </c>
      <c r="G960" s="43" t="s">
        <v>74</v>
      </c>
      <c r="H960" s="43" t="s">
        <v>75</v>
      </c>
      <c r="I960" s="43" t="s">
        <v>76</v>
      </c>
      <c r="J960" s="43" t="s">
        <v>77</v>
      </c>
      <c r="K960" s="43" t="s">
        <v>78</v>
      </c>
      <c r="L960" s="43" t="s">
        <v>79</v>
      </c>
      <c r="M960" s="43" t="s">
        <v>80</v>
      </c>
      <c r="N960" s="15" t="s">
        <v>81</v>
      </c>
      <c r="O960" s="15" t="s">
        <v>82</v>
      </c>
      <c r="P960" s="15" t="s">
        <v>83</v>
      </c>
      <c r="Q960" s="15" t="s">
        <v>84</v>
      </c>
      <c r="R960" s="15" t="s">
        <v>85</v>
      </c>
      <c r="S960" s="15" t="s">
        <v>86</v>
      </c>
      <c r="T960" s="15" t="s">
        <v>87</v>
      </c>
      <c r="U960" s="15" t="s">
        <v>88</v>
      </c>
      <c r="V960" s="15" t="s">
        <v>89</v>
      </c>
      <c r="W960" s="15" t="s">
        <v>90</v>
      </c>
    </row>
    <row r="961" spans="1:23" ht="12.75">
      <c r="A961" s="42" t="s">
        <v>62</v>
      </c>
      <c r="B961" s="18">
        <v>1</v>
      </c>
      <c r="C961" s="18">
        <f t="shared" ref="C961:W961" si="35">AVERAGE(C966:C968)</f>
        <v>1</v>
      </c>
      <c r="D961" s="18">
        <f t="shared" si="35"/>
        <v>1</v>
      </c>
      <c r="E961" s="18">
        <f t="shared" si="35"/>
        <v>0.93952777297413803</v>
      </c>
      <c r="F961" s="18">
        <f t="shared" si="35"/>
        <v>0.86971426280002895</v>
      </c>
      <c r="G961" s="18">
        <f t="shared" si="35"/>
        <v>0.81211143775861327</v>
      </c>
      <c r="H961" s="18">
        <f t="shared" si="35"/>
        <v>0.74246333987463753</v>
      </c>
      <c r="I961" s="18">
        <f t="shared" si="35"/>
        <v>0.6181577582123442</v>
      </c>
      <c r="J961" s="18">
        <f t="shared" si="35"/>
        <v>0.590871497206788</v>
      </c>
      <c r="K961" s="18">
        <f t="shared" si="35"/>
        <v>0.57268065653641698</v>
      </c>
      <c r="L961" s="18">
        <f t="shared" si="35"/>
        <v>0.54842469856116371</v>
      </c>
      <c r="M961" s="18">
        <f t="shared" si="35"/>
        <v>0.52736896715062287</v>
      </c>
      <c r="N961" s="18">
        <f t="shared" si="35"/>
        <v>0.52113843755560729</v>
      </c>
      <c r="O961" s="18">
        <f t="shared" si="35"/>
        <v>0.52113843755560729</v>
      </c>
      <c r="P961" s="18">
        <f t="shared" si="35"/>
        <v>0.52113843755560729</v>
      </c>
      <c r="Q961" s="18">
        <f t="shared" si="35"/>
        <v>0.52113843755560729</v>
      </c>
      <c r="R961" s="18">
        <f t="shared" si="35"/>
        <v>0.52113843755560729</v>
      </c>
      <c r="S961" s="18">
        <f t="shared" si="35"/>
        <v>0.52113843755560729</v>
      </c>
      <c r="T961" s="18">
        <f t="shared" si="35"/>
        <v>0.52113843755560729</v>
      </c>
      <c r="U961" s="18">
        <f t="shared" si="35"/>
        <v>0.52113843755560729</v>
      </c>
      <c r="V961" s="18">
        <f t="shared" si="35"/>
        <v>0.52113843755560729</v>
      </c>
      <c r="W961" s="18">
        <f t="shared" si="35"/>
        <v>0.52113843755560729</v>
      </c>
    </row>
    <row r="962" spans="1:23" ht="12.75">
      <c r="A962" s="262" t="s">
        <v>392</v>
      </c>
      <c r="B962" s="58">
        <v>113</v>
      </c>
      <c r="C962" s="58">
        <v>113</v>
      </c>
      <c r="D962" s="58">
        <v>113</v>
      </c>
      <c r="E962" s="58">
        <v>105</v>
      </c>
      <c r="F962" s="58">
        <v>98</v>
      </c>
      <c r="G962" s="58">
        <v>92</v>
      </c>
      <c r="H962" s="58">
        <v>84</v>
      </c>
      <c r="I962" s="58">
        <v>70</v>
      </c>
      <c r="J962" s="58">
        <v>67</v>
      </c>
      <c r="K962" s="58">
        <v>65</v>
      </c>
      <c r="L962" s="58">
        <v>62</v>
      </c>
      <c r="M962" s="58">
        <v>59</v>
      </c>
      <c r="N962" s="58">
        <v>59</v>
      </c>
      <c r="O962" s="58">
        <v>59</v>
      </c>
      <c r="P962" s="58">
        <v>59</v>
      </c>
      <c r="Q962" s="58">
        <v>59</v>
      </c>
      <c r="R962" s="58">
        <v>59</v>
      </c>
      <c r="S962" s="58">
        <v>59</v>
      </c>
      <c r="T962" s="58">
        <v>59</v>
      </c>
      <c r="U962" s="58">
        <v>59</v>
      </c>
      <c r="V962" s="58">
        <v>59</v>
      </c>
      <c r="W962" s="58">
        <v>59</v>
      </c>
    </row>
    <row r="963" spans="1:23" ht="12.75">
      <c r="A963" s="253" t="s">
        <v>393</v>
      </c>
      <c r="B963" s="214">
        <v>110</v>
      </c>
      <c r="C963" s="214">
        <v>110</v>
      </c>
      <c r="D963" s="214">
        <v>110</v>
      </c>
      <c r="E963" s="214">
        <v>104</v>
      </c>
      <c r="F963" s="214">
        <v>96</v>
      </c>
      <c r="G963" s="214">
        <v>89</v>
      </c>
      <c r="H963" s="214">
        <v>81</v>
      </c>
      <c r="I963" s="214">
        <v>68</v>
      </c>
      <c r="J963" s="214">
        <v>65</v>
      </c>
      <c r="K963" s="214">
        <v>63</v>
      </c>
      <c r="L963" s="214">
        <v>61</v>
      </c>
      <c r="M963" s="214">
        <v>58</v>
      </c>
      <c r="N963" s="214">
        <v>58</v>
      </c>
      <c r="O963" s="214">
        <v>58</v>
      </c>
      <c r="P963" s="214">
        <v>58</v>
      </c>
      <c r="Q963" s="214">
        <v>58</v>
      </c>
      <c r="R963" s="214">
        <v>58</v>
      </c>
      <c r="S963" s="214">
        <v>58</v>
      </c>
      <c r="T963" s="214">
        <v>58</v>
      </c>
      <c r="U963" s="214">
        <v>58</v>
      </c>
      <c r="V963" s="214">
        <v>58</v>
      </c>
      <c r="W963" s="214">
        <v>58</v>
      </c>
    </row>
    <row r="964" spans="1:23" ht="12.75">
      <c r="A964" s="253" t="s">
        <v>395</v>
      </c>
      <c r="B964" s="13">
        <v>107</v>
      </c>
      <c r="C964" s="13">
        <v>107</v>
      </c>
      <c r="D964" s="13">
        <v>107</v>
      </c>
      <c r="E964" s="13">
        <v>101</v>
      </c>
      <c r="F964" s="13">
        <v>93</v>
      </c>
      <c r="G964" s="13">
        <v>87</v>
      </c>
      <c r="H964" s="13">
        <v>80</v>
      </c>
      <c r="I964" s="13">
        <v>66</v>
      </c>
      <c r="J964" s="13">
        <v>63</v>
      </c>
      <c r="K964" s="13">
        <v>61</v>
      </c>
      <c r="L964" s="13">
        <v>58</v>
      </c>
      <c r="M964" s="13">
        <v>57</v>
      </c>
      <c r="N964" s="13">
        <v>55</v>
      </c>
      <c r="O964" s="13">
        <v>55</v>
      </c>
      <c r="P964" s="13">
        <v>55</v>
      </c>
      <c r="Q964" s="13">
        <v>55</v>
      </c>
      <c r="R964" s="13">
        <v>55</v>
      </c>
      <c r="S964" s="13">
        <v>55</v>
      </c>
      <c r="T964" s="13">
        <v>55</v>
      </c>
      <c r="U964" s="13">
        <v>55</v>
      </c>
      <c r="V964" s="13">
        <v>55</v>
      </c>
      <c r="W964" s="13">
        <v>55</v>
      </c>
    </row>
    <row r="965" spans="1:23" ht="12.75">
      <c r="A965" s="5"/>
    </row>
    <row r="966" spans="1:23" ht="12.75">
      <c r="A966" s="5"/>
      <c r="C966" s="2">
        <f t="array" ref="C966:W968">C962:W964/B962:B964</f>
        <v>1</v>
      </c>
      <c r="D966" s="2">
        <v>1</v>
      </c>
      <c r="E966" s="2">
        <v>0.92920353982300885</v>
      </c>
      <c r="F966" s="2">
        <v>0.86725663716814161</v>
      </c>
      <c r="G966" s="2">
        <v>0.81415929203539827</v>
      </c>
      <c r="H966" s="2">
        <v>0.74336283185840712</v>
      </c>
      <c r="I966" s="2">
        <v>0.61946902654867253</v>
      </c>
      <c r="J966" s="2">
        <v>0.59292035398230092</v>
      </c>
      <c r="K966" s="2">
        <v>0.5752212389380531</v>
      </c>
      <c r="L966" s="2">
        <v>0.54867256637168138</v>
      </c>
      <c r="M966" s="2">
        <v>0.52212389380530977</v>
      </c>
      <c r="N966" s="2">
        <v>0.52212389380530977</v>
      </c>
      <c r="O966" s="2">
        <v>0.52212389380530977</v>
      </c>
      <c r="P966" s="2">
        <v>0.52212389380530977</v>
      </c>
      <c r="Q966" s="2">
        <v>0.52212389380530977</v>
      </c>
      <c r="R966" s="2">
        <v>0.52212389380530977</v>
      </c>
      <c r="S966" s="2">
        <v>0.52212389380530977</v>
      </c>
      <c r="T966" s="2">
        <v>0.52212389380530977</v>
      </c>
      <c r="U966" s="2">
        <v>0.52212389380530977</v>
      </c>
      <c r="V966" s="2">
        <v>0.52212389380530977</v>
      </c>
      <c r="W966" s="2">
        <v>0.52212389380530977</v>
      </c>
    </row>
    <row r="967" spans="1:23" ht="12.75">
      <c r="A967" s="5"/>
      <c r="C967" s="2">
        <v>1</v>
      </c>
      <c r="D967" s="2">
        <v>1</v>
      </c>
      <c r="E967" s="2">
        <v>0.94545454545454544</v>
      </c>
      <c r="F967" s="2">
        <v>0.87272727272727268</v>
      </c>
      <c r="G967" s="2">
        <v>0.80909090909090908</v>
      </c>
      <c r="H967" s="2">
        <v>0.73636363636363633</v>
      </c>
      <c r="I967" s="2">
        <v>0.61818181818181817</v>
      </c>
      <c r="J967" s="2">
        <v>0.59090909090909094</v>
      </c>
      <c r="K967" s="2">
        <v>0.57272727272727275</v>
      </c>
      <c r="L967" s="2">
        <v>0.55454545454545456</v>
      </c>
      <c r="M967" s="2">
        <v>0.52727272727272723</v>
      </c>
      <c r="N967" s="2">
        <v>0.52727272727272723</v>
      </c>
      <c r="O967" s="2">
        <v>0.52727272727272723</v>
      </c>
      <c r="P967" s="2">
        <v>0.52727272727272723</v>
      </c>
      <c r="Q967" s="2">
        <v>0.52727272727272723</v>
      </c>
      <c r="R967" s="2">
        <v>0.52727272727272723</v>
      </c>
      <c r="S967" s="2">
        <v>0.52727272727272723</v>
      </c>
      <c r="T967" s="2">
        <v>0.52727272727272723</v>
      </c>
      <c r="U967" s="2">
        <v>0.52727272727272723</v>
      </c>
      <c r="V967" s="2">
        <v>0.52727272727272723</v>
      </c>
      <c r="W967" s="2">
        <v>0.52727272727272723</v>
      </c>
    </row>
    <row r="968" spans="1:23" ht="12.75">
      <c r="A968" s="5"/>
      <c r="C968" s="2">
        <v>1</v>
      </c>
      <c r="D968" s="2">
        <v>1</v>
      </c>
      <c r="E968" s="2">
        <v>0.94392523364485981</v>
      </c>
      <c r="F968" s="2">
        <v>0.86915887850467288</v>
      </c>
      <c r="G968" s="2">
        <v>0.81308411214953269</v>
      </c>
      <c r="H968" s="2">
        <v>0.74766355140186913</v>
      </c>
      <c r="I968" s="2">
        <v>0.61682242990654201</v>
      </c>
      <c r="J968" s="2">
        <v>0.58878504672897192</v>
      </c>
      <c r="K968" s="2">
        <v>0.57009345794392519</v>
      </c>
      <c r="L968" s="2">
        <v>0.54205607476635509</v>
      </c>
      <c r="M968" s="2">
        <v>0.53271028037383172</v>
      </c>
      <c r="N968" s="2">
        <v>0.51401869158878499</v>
      </c>
      <c r="O968" s="2">
        <v>0.51401869158878499</v>
      </c>
      <c r="P968" s="2">
        <v>0.51401869158878499</v>
      </c>
      <c r="Q968" s="2">
        <v>0.51401869158878499</v>
      </c>
      <c r="R968" s="2">
        <v>0.51401869158878499</v>
      </c>
      <c r="S968" s="2">
        <v>0.51401869158878499</v>
      </c>
      <c r="T968" s="2">
        <v>0.51401869158878499</v>
      </c>
      <c r="U968" s="2">
        <v>0.51401869158878499</v>
      </c>
      <c r="V968" s="2">
        <v>0.51401869158878499</v>
      </c>
      <c r="W968" s="2">
        <v>0.51401869158878499</v>
      </c>
    </row>
    <row r="969" spans="1:23" ht="12.75">
      <c r="A969" s="5"/>
    </row>
    <row r="970" spans="1:23" ht="15">
      <c r="A970" s="42" t="s">
        <v>73</v>
      </c>
      <c r="B970" s="15" t="s">
        <v>24</v>
      </c>
      <c r="C970" s="15" t="s">
        <v>25</v>
      </c>
      <c r="D970" s="15" t="s">
        <v>26</v>
      </c>
      <c r="E970" s="15" t="s">
        <v>27</v>
      </c>
      <c r="F970" s="43" t="s">
        <v>28</v>
      </c>
      <c r="G970" s="43" t="s">
        <v>74</v>
      </c>
      <c r="H970" s="43" t="s">
        <v>75</v>
      </c>
      <c r="I970" s="43" t="s">
        <v>76</v>
      </c>
      <c r="J970" s="43" t="s">
        <v>77</v>
      </c>
      <c r="K970" s="43" t="s">
        <v>78</v>
      </c>
      <c r="L970" s="43" t="s">
        <v>79</v>
      </c>
      <c r="M970" s="43" t="s">
        <v>80</v>
      </c>
      <c r="N970" s="15" t="s">
        <v>81</v>
      </c>
      <c r="O970" s="15" t="s">
        <v>82</v>
      </c>
      <c r="P970" s="15" t="s">
        <v>83</v>
      </c>
      <c r="Q970" s="15" t="s">
        <v>84</v>
      </c>
      <c r="R970" s="15" t="s">
        <v>85</v>
      </c>
      <c r="S970" s="15" t="s">
        <v>86</v>
      </c>
      <c r="T970" s="15" t="s">
        <v>87</v>
      </c>
      <c r="U970" s="15" t="s">
        <v>88</v>
      </c>
      <c r="V970" s="15" t="s">
        <v>89</v>
      </c>
      <c r="W970" s="15" t="s">
        <v>90</v>
      </c>
    </row>
    <row r="971" spans="1:23" ht="12.75">
      <c r="A971" s="42" t="s">
        <v>65</v>
      </c>
      <c r="B971" s="18">
        <v>1</v>
      </c>
      <c r="C971" s="18">
        <f t="shared" ref="C971:W971" si="36">AVERAGE(C975:C976)</f>
        <v>1</v>
      </c>
      <c r="D971" s="18">
        <f t="shared" si="36"/>
        <v>1</v>
      </c>
      <c r="E971" s="18">
        <f t="shared" si="36"/>
        <v>0.92030134813639974</v>
      </c>
      <c r="F971" s="18">
        <f t="shared" si="36"/>
        <v>0.8509119746233148</v>
      </c>
      <c r="G971" s="18">
        <f t="shared" si="36"/>
        <v>0.77121332275971455</v>
      </c>
      <c r="H971" s="18">
        <f t="shared" si="36"/>
        <v>0.69666931007137189</v>
      </c>
      <c r="I971" s="18">
        <f t="shared" si="36"/>
        <v>0.54723433782712139</v>
      </c>
      <c r="J971" s="18">
        <f t="shared" si="36"/>
        <v>0.49742268041237114</v>
      </c>
      <c r="K971" s="18">
        <f t="shared" si="36"/>
        <v>0.49742268041237114</v>
      </c>
      <c r="L971" s="18">
        <f t="shared" si="36"/>
        <v>0.49742268041237114</v>
      </c>
      <c r="M971" s="18">
        <f t="shared" si="36"/>
        <v>0.49742268041237114</v>
      </c>
      <c r="N971" s="18">
        <f t="shared" si="36"/>
        <v>0.49742268041237114</v>
      </c>
      <c r="O971" s="18">
        <f t="shared" si="36"/>
        <v>0.49742268041237114</v>
      </c>
      <c r="P971" s="18">
        <f t="shared" si="36"/>
        <v>0.49742268041237114</v>
      </c>
      <c r="Q971" s="18">
        <f t="shared" si="36"/>
        <v>0.49742268041237114</v>
      </c>
      <c r="R971" s="18">
        <f t="shared" si="36"/>
        <v>0.49742268041237114</v>
      </c>
      <c r="S971" s="18">
        <f t="shared" si="36"/>
        <v>0.49742268041237114</v>
      </c>
      <c r="T971" s="18">
        <f t="shared" si="36"/>
        <v>0.49742268041237114</v>
      </c>
      <c r="U971" s="18">
        <f t="shared" si="36"/>
        <v>0.49742268041237114</v>
      </c>
      <c r="V971" s="18">
        <f t="shared" si="36"/>
        <v>0.49742268041237114</v>
      </c>
      <c r="W971" s="18">
        <f t="shared" si="36"/>
        <v>0.49742268041237114</v>
      </c>
    </row>
    <row r="972" spans="1:23" ht="12.75">
      <c r="A972" s="246" t="s">
        <v>397</v>
      </c>
      <c r="B972" s="13">
        <v>104</v>
      </c>
      <c r="C972" s="13">
        <v>104</v>
      </c>
      <c r="D972" s="13">
        <v>104</v>
      </c>
      <c r="E972" s="13">
        <v>96</v>
      </c>
      <c r="F972" s="13">
        <v>88</v>
      </c>
      <c r="G972" s="13">
        <v>80</v>
      </c>
      <c r="H972" s="13">
        <v>72</v>
      </c>
      <c r="I972" s="13">
        <v>57</v>
      </c>
      <c r="J972" s="13">
        <v>52</v>
      </c>
      <c r="K972" s="13">
        <v>52</v>
      </c>
      <c r="L972" s="13">
        <v>52</v>
      </c>
      <c r="M972" s="13">
        <v>52</v>
      </c>
      <c r="N972" s="13">
        <v>52</v>
      </c>
      <c r="O972" s="13">
        <v>52</v>
      </c>
      <c r="P972" s="13">
        <v>52</v>
      </c>
      <c r="Q972" s="13">
        <v>52</v>
      </c>
      <c r="R972" s="13">
        <v>52</v>
      </c>
      <c r="S972" s="13">
        <v>52</v>
      </c>
      <c r="T972" s="13">
        <v>52</v>
      </c>
      <c r="U972" s="13">
        <v>52</v>
      </c>
      <c r="V972" s="13">
        <v>52</v>
      </c>
      <c r="W972" s="13">
        <v>52</v>
      </c>
    </row>
    <row r="973" spans="1:23" ht="12.75">
      <c r="A973" s="246" t="s">
        <v>399</v>
      </c>
      <c r="B973" s="13">
        <v>97</v>
      </c>
      <c r="C973" s="13">
        <v>97</v>
      </c>
      <c r="D973" s="13">
        <v>97</v>
      </c>
      <c r="E973" s="13">
        <v>89</v>
      </c>
      <c r="F973" s="13">
        <v>83</v>
      </c>
      <c r="G973" s="13">
        <v>75</v>
      </c>
      <c r="H973" s="13">
        <v>68</v>
      </c>
      <c r="I973" s="13">
        <v>53</v>
      </c>
      <c r="J973" s="13">
        <v>48</v>
      </c>
      <c r="K973" s="13">
        <v>48</v>
      </c>
      <c r="L973" s="13">
        <v>48</v>
      </c>
      <c r="M973" s="13">
        <v>48</v>
      </c>
      <c r="N973" s="13">
        <v>48</v>
      </c>
      <c r="O973" s="13">
        <v>48</v>
      </c>
      <c r="P973" s="13">
        <v>48</v>
      </c>
      <c r="Q973" s="13">
        <v>48</v>
      </c>
      <c r="R973" s="13">
        <v>48</v>
      </c>
      <c r="S973" s="13">
        <v>48</v>
      </c>
      <c r="T973" s="13">
        <v>48</v>
      </c>
      <c r="U973" s="13">
        <v>48</v>
      </c>
      <c r="V973" s="13">
        <v>48</v>
      </c>
      <c r="W973" s="13">
        <v>48</v>
      </c>
    </row>
    <row r="974" spans="1:23" ht="12.75">
      <c r="A974" s="246"/>
    </row>
    <row r="975" spans="1:23" ht="12.75">
      <c r="A975" s="5"/>
      <c r="C975" s="2">
        <f t="array" ref="C975:W976">C972:W973/B972:B973</f>
        <v>1</v>
      </c>
      <c r="D975" s="2">
        <v>1</v>
      </c>
      <c r="E975" s="2">
        <v>0.92307692307692313</v>
      </c>
      <c r="F975" s="2">
        <v>0.84615384615384615</v>
      </c>
      <c r="G975" s="2">
        <v>0.76923076923076927</v>
      </c>
      <c r="H975" s="2">
        <v>0.69230769230769229</v>
      </c>
      <c r="I975" s="2">
        <v>0.54807692307692313</v>
      </c>
      <c r="J975" s="2">
        <v>0.5</v>
      </c>
      <c r="K975" s="2">
        <v>0.5</v>
      </c>
      <c r="L975" s="2">
        <v>0.5</v>
      </c>
      <c r="M975" s="2">
        <v>0.5</v>
      </c>
      <c r="N975" s="2">
        <v>0.5</v>
      </c>
      <c r="O975" s="2">
        <v>0.5</v>
      </c>
      <c r="P975" s="2">
        <v>0.5</v>
      </c>
      <c r="Q975" s="2">
        <v>0.5</v>
      </c>
      <c r="R975" s="2">
        <v>0.5</v>
      </c>
      <c r="S975" s="2">
        <v>0.5</v>
      </c>
      <c r="T975" s="2">
        <v>0.5</v>
      </c>
      <c r="U975" s="2">
        <v>0.5</v>
      </c>
      <c r="V975" s="2">
        <v>0.5</v>
      </c>
      <c r="W975" s="2">
        <v>0.5</v>
      </c>
    </row>
    <row r="976" spans="1:23" ht="12.75">
      <c r="A976" s="5"/>
      <c r="C976" s="2">
        <v>1</v>
      </c>
      <c r="D976" s="2">
        <v>1</v>
      </c>
      <c r="E976" s="2">
        <v>0.91752577319587625</v>
      </c>
      <c r="F976" s="2">
        <v>0.85567010309278346</v>
      </c>
      <c r="G976" s="2">
        <v>0.77319587628865982</v>
      </c>
      <c r="H976" s="2">
        <v>0.7010309278350515</v>
      </c>
      <c r="I976" s="2">
        <v>0.54639175257731953</v>
      </c>
      <c r="J976" s="2">
        <v>0.49484536082474229</v>
      </c>
      <c r="K976" s="2">
        <v>0.49484536082474229</v>
      </c>
      <c r="L976" s="2">
        <v>0.49484536082474229</v>
      </c>
      <c r="M976" s="2">
        <v>0.49484536082474229</v>
      </c>
      <c r="N976" s="2">
        <v>0.49484536082474229</v>
      </c>
      <c r="O976" s="2">
        <v>0.49484536082474229</v>
      </c>
      <c r="P976" s="2">
        <v>0.49484536082474229</v>
      </c>
      <c r="Q976" s="2">
        <v>0.49484536082474229</v>
      </c>
      <c r="R976" s="2">
        <v>0.49484536082474229</v>
      </c>
      <c r="S976" s="2">
        <v>0.49484536082474229</v>
      </c>
      <c r="T976" s="2">
        <v>0.49484536082474229</v>
      </c>
      <c r="U976" s="2">
        <v>0.49484536082474229</v>
      </c>
      <c r="V976" s="2">
        <v>0.49484536082474229</v>
      </c>
      <c r="W976" s="2">
        <v>0.49484536082474229</v>
      </c>
    </row>
    <row r="977" spans="1:23" ht="12.75">
      <c r="A977" s="5"/>
    </row>
    <row r="978" spans="1:23" ht="15">
      <c r="A978" s="42" t="s">
        <v>73</v>
      </c>
      <c r="B978" s="15" t="s">
        <v>24</v>
      </c>
      <c r="C978" s="15" t="s">
        <v>25</v>
      </c>
      <c r="D978" s="15" t="s">
        <v>26</v>
      </c>
      <c r="E978" s="15" t="s">
        <v>27</v>
      </c>
      <c r="F978" s="43" t="s">
        <v>28</v>
      </c>
      <c r="G978" s="43" t="s">
        <v>74</v>
      </c>
      <c r="H978" s="43" t="s">
        <v>75</v>
      </c>
      <c r="I978" s="43" t="s">
        <v>76</v>
      </c>
      <c r="J978" s="43" t="s">
        <v>77</v>
      </c>
      <c r="K978" s="43" t="s">
        <v>78</v>
      </c>
      <c r="L978" s="43" t="s">
        <v>79</v>
      </c>
      <c r="M978" s="43" t="s">
        <v>80</v>
      </c>
      <c r="N978" s="15" t="s">
        <v>81</v>
      </c>
      <c r="O978" s="15" t="s">
        <v>82</v>
      </c>
      <c r="P978" s="15" t="s">
        <v>83</v>
      </c>
      <c r="Q978" s="15" t="s">
        <v>84</v>
      </c>
      <c r="R978" s="15" t="s">
        <v>85</v>
      </c>
      <c r="S978" s="15" t="s">
        <v>86</v>
      </c>
      <c r="T978" s="15" t="s">
        <v>87</v>
      </c>
      <c r="U978" s="15" t="s">
        <v>88</v>
      </c>
      <c r="V978" s="15" t="s">
        <v>89</v>
      </c>
      <c r="W978" s="15" t="s">
        <v>90</v>
      </c>
    </row>
    <row r="979" spans="1:23" ht="12.75">
      <c r="A979" s="42" t="s">
        <v>54</v>
      </c>
      <c r="B979" s="18">
        <v>1</v>
      </c>
      <c r="C979" s="18">
        <f t="shared" ref="C979:W979" si="37">AVERAGE(C987:C990)</f>
        <v>1</v>
      </c>
      <c r="D979" s="18">
        <f t="shared" si="37"/>
        <v>1</v>
      </c>
      <c r="E979" s="18">
        <f t="shared" si="37"/>
        <v>1</v>
      </c>
      <c r="F979" s="18">
        <f t="shared" si="37"/>
        <v>1</v>
      </c>
      <c r="G979" s="18">
        <f t="shared" si="37"/>
        <v>0.95777348527558792</v>
      </c>
      <c r="H979" s="18">
        <f t="shared" si="37"/>
        <v>0.92539389869078681</v>
      </c>
      <c r="I979" s="18">
        <f t="shared" si="37"/>
        <v>0.85104778643466616</v>
      </c>
      <c r="J979" s="18">
        <f t="shared" si="37"/>
        <v>0.78034888903265687</v>
      </c>
      <c r="K979" s="18">
        <f t="shared" si="37"/>
        <v>0.71168251195585086</v>
      </c>
      <c r="L979" s="18">
        <f t="shared" si="37"/>
        <v>0.63925947662280713</v>
      </c>
      <c r="M979" s="18">
        <f t="shared" si="37"/>
        <v>0.60687989003800613</v>
      </c>
      <c r="N979" s="18">
        <f t="shared" si="37"/>
        <v>0.57622444138423956</v>
      </c>
      <c r="O979" s="18">
        <f t="shared" si="37"/>
        <v>0.55156976702393024</v>
      </c>
      <c r="P979" s="18">
        <f t="shared" si="37"/>
        <v>0.52486991561844376</v>
      </c>
      <c r="Q979" s="18">
        <f t="shared" si="37"/>
        <v>0.52294683869536684</v>
      </c>
      <c r="R979" s="18">
        <f t="shared" si="37"/>
        <v>0.52294683869536684</v>
      </c>
      <c r="S979" s="18">
        <f t="shared" si="37"/>
        <v>0.52294683869536684</v>
      </c>
      <c r="T979" s="18">
        <f t="shared" si="37"/>
        <v>0.52294683869536684</v>
      </c>
      <c r="U979" s="18">
        <f t="shared" si="37"/>
        <v>0.52294683869536684</v>
      </c>
      <c r="V979" s="18">
        <f t="shared" si="37"/>
        <v>0.52294683869536684</v>
      </c>
      <c r="W979" s="18">
        <f t="shared" si="37"/>
        <v>0.52294683869536684</v>
      </c>
    </row>
    <row r="980" spans="1:23" ht="12.75">
      <c r="A980" s="246" t="s">
        <v>387</v>
      </c>
      <c r="B980" s="13">
        <v>145</v>
      </c>
      <c r="C980" s="13">
        <v>145</v>
      </c>
      <c r="D980" s="13">
        <v>145</v>
      </c>
      <c r="E980" s="13">
        <v>145</v>
      </c>
      <c r="F980" s="13">
        <v>145</v>
      </c>
      <c r="G980" s="13">
        <v>140</v>
      </c>
      <c r="H980" s="13">
        <v>135</v>
      </c>
      <c r="I980" s="13">
        <v>124</v>
      </c>
      <c r="J980" s="13">
        <v>114</v>
      </c>
      <c r="K980" s="13">
        <v>104</v>
      </c>
      <c r="L980" s="13">
        <v>93</v>
      </c>
      <c r="M980" s="13">
        <v>88</v>
      </c>
      <c r="N980" s="13">
        <v>84</v>
      </c>
      <c r="O980" s="13">
        <v>80</v>
      </c>
      <c r="P980" s="13">
        <v>76</v>
      </c>
      <c r="Q980" s="13">
        <v>76</v>
      </c>
      <c r="R980" s="13">
        <v>76</v>
      </c>
      <c r="S980" s="13">
        <v>76</v>
      </c>
      <c r="T980" s="13">
        <v>76</v>
      </c>
      <c r="U980" s="13">
        <v>76</v>
      </c>
      <c r="V980" s="13">
        <v>76</v>
      </c>
      <c r="W980" s="13">
        <v>76</v>
      </c>
    </row>
    <row r="981" spans="1:23" ht="12.75">
      <c r="A981" s="246" t="s">
        <v>118</v>
      </c>
      <c r="B981" s="13">
        <v>130</v>
      </c>
      <c r="C981" s="13">
        <v>130</v>
      </c>
      <c r="D981" s="13">
        <v>130</v>
      </c>
      <c r="E981" s="13">
        <v>130</v>
      </c>
      <c r="F981" s="13">
        <v>130</v>
      </c>
      <c r="G981" s="13">
        <v>124</v>
      </c>
      <c r="H981" s="13">
        <v>120</v>
      </c>
      <c r="I981" s="13">
        <v>110</v>
      </c>
      <c r="J981" s="13">
        <v>101</v>
      </c>
      <c r="K981" s="13">
        <v>92</v>
      </c>
      <c r="L981" s="13">
        <v>83</v>
      </c>
      <c r="M981" s="13">
        <v>79</v>
      </c>
      <c r="N981" s="13">
        <v>75</v>
      </c>
      <c r="O981" s="13">
        <v>71</v>
      </c>
      <c r="P981" s="13">
        <v>68</v>
      </c>
      <c r="Q981" s="13">
        <v>67</v>
      </c>
      <c r="R981" s="13">
        <v>67</v>
      </c>
      <c r="S981" s="13">
        <v>67</v>
      </c>
      <c r="T981" s="13">
        <v>67</v>
      </c>
      <c r="U981" s="13">
        <v>67</v>
      </c>
      <c r="V981" s="13">
        <v>67</v>
      </c>
      <c r="W981" s="13">
        <v>67</v>
      </c>
    </row>
    <row r="982" spans="1:23" ht="12.75">
      <c r="A982" s="255" t="s">
        <v>138</v>
      </c>
      <c r="B982" s="13">
        <v>126</v>
      </c>
      <c r="C982" s="13">
        <v>126</v>
      </c>
      <c r="D982" s="13">
        <v>126</v>
      </c>
      <c r="E982" s="13">
        <v>126</v>
      </c>
      <c r="F982" s="13">
        <v>126</v>
      </c>
      <c r="G982" s="13">
        <v>120</v>
      </c>
      <c r="H982" s="13">
        <v>116</v>
      </c>
      <c r="I982" s="13">
        <v>107</v>
      </c>
      <c r="J982" s="13">
        <v>98</v>
      </c>
      <c r="K982" s="13">
        <v>89</v>
      </c>
      <c r="L982" s="13">
        <v>80</v>
      </c>
      <c r="M982" s="13">
        <v>76</v>
      </c>
      <c r="N982" s="13">
        <v>72</v>
      </c>
      <c r="O982" s="13">
        <v>70</v>
      </c>
      <c r="P982" s="13">
        <v>66</v>
      </c>
      <c r="Q982" s="13">
        <v>66</v>
      </c>
      <c r="R982" s="13">
        <v>66</v>
      </c>
      <c r="S982" s="13">
        <v>66</v>
      </c>
      <c r="T982" s="13">
        <v>66</v>
      </c>
      <c r="U982" s="13">
        <v>66</v>
      </c>
      <c r="V982" s="13">
        <v>66</v>
      </c>
      <c r="W982" s="13">
        <v>66</v>
      </c>
    </row>
    <row r="983" spans="1:23" ht="12.75">
      <c r="A983" s="109" t="s">
        <v>388</v>
      </c>
      <c r="B983" s="58">
        <v>123</v>
      </c>
      <c r="C983" s="58">
        <v>123</v>
      </c>
      <c r="D983" s="58">
        <v>123</v>
      </c>
      <c r="E983" s="58">
        <v>123</v>
      </c>
      <c r="F983" s="58">
        <v>123</v>
      </c>
      <c r="G983" s="58">
        <v>118</v>
      </c>
      <c r="H983" s="58">
        <v>114</v>
      </c>
      <c r="I983" s="58">
        <v>105</v>
      </c>
      <c r="J983" s="58">
        <v>96</v>
      </c>
      <c r="K983" s="58">
        <v>88</v>
      </c>
      <c r="L983" s="58">
        <v>79</v>
      </c>
      <c r="M983" s="58">
        <v>75</v>
      </c>
      <c r="N983" s="58">
        <v>71</v>
      </c>
      <c r="O983" s="58">
        <v>68</v>
      </c>
      <c r="P983" s="58">
        <v>65</v>
      </c>
      <c r="Q983" s="58">
        <v>65</v>
      </c>
      <c r="R983" s="58">
        <v>65</v>
      </c>
      <c r="S983" s="58">
        <v>65</v>
      </c>
      <c r="T983" s="58">
        <v>65</v>
      </c>
      <c r="U983" s="58">
        <v>65</v>
      </c>
      <c r="V983" s="58">
        <v>65</v>
      </c>
      <c r="W983" s="58">
        <v>65</v>
      </c>
    </row>
    <row r="984" spans="1:23" ht="12.75">
      <c r="A984" s="253" t="s">
        <v>389</v>
      </c>
      <c r="B984" s="13">
        <v>120</v>
      </c>
      <c r="C984" s="13">
        <v>120</v>
      </c>
      <c r="D984" s="13">
        <v>120</v>
      </c>
      <c r="E984" s="13">
        <v>120</v>
      </c>
      <c r="F984" s="13">
        <v>120</v>
      </c>
      <c r="G984" s="13">
        <v>115</v>
      </c>
      <c r="H984" s="13">
        <v>111</v>
      </c>
      <c r="I984" s="13">
        <v>102</v>
      </c>
      <c r="J984" s="13">
        <v>94</v>
      </c>
      <c r="K984" s="13">
        <v>85</v>
      </c>
      <c r="L984" s="13">
        <v>76</v>
      </c>
      <c r="M984" s="13">
        <v>74</v>
      </c>
      <c r="N984" s="13">
        <v>70</v>
      </c>
      <c r="O984" s="13">
        <v>67</v>
      </c>
      <c r="P984" s="13">
        <v>63</v>
      </c>
      <c r="Q984" s="13">
        <v>63</v>
      </c>
      <c r="R984" s="13">
        <v>63</v>
      </c>
      <c r="S984" s="13">
        <v>63</v>
      </c>
      <c r="T984" s="13">
        <v>63</v>
      </c>
      <c r="U984" s="13">
        <v>63</v>
      </c>
      <c r="V984" s="13">
        <v>63</v>
      </c>
      <c r="W984" s="13">
        <v>63</v>
      </c>
    </row>
    <row r="985" spans="1:23" ht="12.75">
      <c r="A985" s="246" t="s">
        <v>148</v>
      </c>
      <c r="B985" s="13">
        <v>118</v>
      </c>
      <c r="C985" s="13">
        <v>118</v>
      </c>
      <c r="D985" s="13">
        <v>118</v>
      </c>
      <c r="E985" s="13">
        <v>118</v>
      </c>
      <c r="F985" s="13">
        <v>118</v>
      </c>
      <c r="G985" s="13">
        <v>114</v>
      </c>
      <c r="H985" s="13">
        <v>109</v>
      </c>
      <c r="I985" s="13">
        <v>101</v>
      </c>
      <c r="J985" s="13">
        <v>92</v>
      </c>
      <c r="K985" s="13">
        <v>84</v>
      </c>
      <c r="L985" s="13">
        <v>75</v>
      </c>
      <c r="M985" s="13">
        <v>71</v>
      </c>
      <c r="N985" s="13">
        <v>68</v>
      </c>
      <c r="O985" s="13">
        <v>65</v>
      </c>
      <c r="P985" s="13">
        <v>62</v>
      </c>
      <c r="Q985" s="13">
        <v>62</v>
      </c>
      <c r="R985" s="13">
        <v>62</v>
      </c>
      <c r="S985" s="13">
        <v>62</v>
      </c>
      <c r="T985" s="13">
        <v>62</v>
      </c>
      <c r="U985" s="13">
        <v>62</v>
      </c>
      <c r="V985" s="13">
        <v>62</v>
      </c>
      <c r="W985" s="13">
        <v>62</v>
      </c>
    </row>
    <row r="986" spans="1:23" ht="12.75">
      <c r="A986" s="5"/>
    </row>
    <row r="987" spans="1:23" ht="12.75">
      <c r="A987" s="5"/>
      <c r="C987" s="2">
        <f t="array" ref="C987:W992">C980:W985/B980:B985</f>
        <v>1</v>
      </c>
      <c r="D987" s="2">
        <v>1</v>
      </c>
      <c r="E987" s="2">
        <v>1</v>
      </c>
      <c r="F987" s="2">
        <v>1</v>
      </c>
      <c r="G987" s="2">
        <v>0.96551724137931039</v>
      </c>
      <c r="H987" s="2">
        <v>0.93103448275862066</v>
      </c>
      <c r="I987" s="2">
        <v>0.85517241379310349</v>
      </c>
      <c r="J987" s="2">
        <v>0.78620689655172415</v>
      </c>
      <c r="K987" s="2">
        <v>0.71724137931034482</v>
      </c>
      <c r="L987" s="2">
        <v>0.64137931034482754</v>
      </c>
      <c r="M987" s="2">
        <v>0.60689655172413792</v>
      </c>
      <c r="N987" s="2">
        <v>0.57931034482758625</v>
      </c>
      <c r="O987" s="2">
        <v>0.55172413793103448</v>
      </c>
      <c r="P987" s="2">
        <v>0.52413793103448281</v>
      </c>
      <c r="Q987" s="2">
        <v>0.52413793103448281</v>
      </c>
      <c r="R987" s="2">
        <v>0.52413793103448281</v>
      </c>
      <c r="S987" s="2">
        <v>0.52413793103448281</v>
      </c>
      <c r="T987" s="2">
        <v>0.52413793103448281</v>
      </c>
      <c r="U987" s="2">
        <v>0.52413793103448281</v>
      </c>
      <c r="V987" s="2">
        <v>0.52413793103448281</v>
      </c>
      <c r="W987" s="2">
        <v>0.52413793103448281</v>
      </c>
    </row>
    <row r="988" spans="1:23" ht="12.75">
      <c r="A988" s="5"/>
      <c r="C988" s="2">
        <v>1</v>
      </c>
      <c r="D988" s="2">
        <v>1</v>
      </c>
      <c r="E988" s="2">
        <v>1</v>
      </c>
      <c r="F988" s="2">
        <v>1</v>
      </c>
      <c r="G988" s="2">
        <v>0.9538461538461539</v>
      </c>
      <c r="H988" s="2">
        <v>0.92307692307692313</v>
      </c>
      <c r="I988" s="2">
        <v>0.84615384615384615</v>
      </c>
      <c r="J988" s="2">
        <v>0.77692307692307694</v>
      </c>
      <c r="K988" s="2">
        <v>0.70769230769230773</v>
      </c>
      <c r="L988" s="2">
        <v>0.63846153846153841</v>
      </c>
      <c r="M988" s="2">
        <v>0.60769230769230764</v>
      </c>
      <c r="N988" s="2">
        <v>0.57692307692307687</v>
      </c>
      <c r="O988" s="2">
        <v>0.5461538461538461</v>
      </c>
      <c r="P988" s="2">
        <v>0.52307692307692311</v>
      </c>
      <c r="Q988" s="2">
        <v>0.51538461538461533</v>
      </c>
      <c r="R988" s="2">
        <v>0.51538461538461533</v>
      </c>
      <c r="S988" s="2">
        <v>0.51538461538461533</v>
      </c>
      <c r="T988" s="2">
        <v>0.51538461538461533</v>
      </c>
      <c r="U988" s="2">
        <v>0.51538461538461533</v>
      </c>
      <c r="V988" s="2">
        <v>0.51538461538461533</v>
      </c>
      <c r="W988" s="2">
        <v>0.51538461538461533</v>
      </c>
    </row>
    <row r="989" spans="1:23" ht="12.75">
      <c r="A989" s="5"/>
      <c r="C989" s="2">
        <v>1</v>
      </c>
      <c r="D989" s="2">
        <v>1</v>
      </c>
      <c r="E989" s="2">
        <v>1</v>
      </c>
      <c r="F989" s="2">
        <v>1</v>
      </c>
      <c r="G989" s="2">
        <v>0.95238095238095233</v>
      </c>
      <c r="H989" s="2">
        <v>0.92063492063492058</v>
      </c>
      <c r="I989" s="2">
        <v>0.84920634920634919</v>
      </c>
      <c r="J989" s="2">
        <v>0.77777777777777779</v>
      </c>
      <c r="K989" s="2">
        <v>0.70634920634920639</v>
      </c>
      <c r="L989" s="2">
        <v>0.63492063492063489</v>
      </c>
      <c r="M989" s="2">
        <v>0.60317460317460314</v>
      </c>
      <c r="N989" s="2">
        <v>0.5714285714285714</v>
      </c>
      <c r="O989" s="2">
        <v>0.55555555555555558</v>
      </c>
      <c r="P989" s="2">
        <v>0.52380952380952384</v>
      </c>
      <c r="Q989" s="2">
        <v>0.52380952380952384</v>
      </c>
      <c r="R989" s="2">
        <v>0.52380952380952384</v>
      </c>
      <c r="S989" s="2">
        <v>0.52380952380952384</v>
      </c>
      <c r="T989" s="2">
        <v>0.52380952380952384</v>
      </c>
      <c r="U989" s="2">
        <v>0.52380952380952384</v>
      </c>
      <c r="V989" s="2">
        <v>0.52380952380952384</v>
      </c>
      <c r="W989" s="2">
        <v>0.52380952380952384</v>
      </c>
    </row>
    <row r="990" spans="1:23" ht="12.75">
      <c r="A990" s="5"/>
      <c r="C990" s="2">
        <v>1</v>
      </c>
      <c r="D990" s="2">
        <v>1</v>
      </c>
      <c r="E990" s="2">
        <v>1</v>
      </c>
      <c r="F990" s="2">
        <v>1</v>
      </c>
      <c r="G990" s="2">
        <v>0.95934959349593496</v>
      </c>
      <c r="H990" s="2">
        <v>0.92682926829268297</v>
      </c>
      <c r="I990" s="2">
        <v>0.85365853658536583</v>
      </c>
      <c r="J990" s="2">
        <v>0.78048780487804881</v>
      </c>
      <c r="K990" s="2">
        <v>0.71544715447154472</v>
      </c>
      <c r="L990" s="2">
        <v>0.64227642276422769</v>
      </c>
      <c r="M990" s="2">
        <v>0.6097560975609756</v>
      </c>
      <c r="N990" s="2">
        <v>0.57723577235772361</v>
      </c>
      <c r="O990" s="2">
        <v>0.55284552845528456</v>
      </c>
      <c r="P990" s="2">
        <v>0.52845528455284552</v>
      </c>
      <c r="Q990" s="2">
        <v>0.52845528455284552</v>
      </c>
      <c r="R990" s="2">
        <v>0.52845528455284552</v>
      </c>
      <c r="S990" s="2">
        <v>0.52845528455284552</v>
      </c>
      <c r="T990" s="2">
        <v>0.52845528455284552</v>
      </c>
      <c r="U990" s="2">
        <v>0.52845528455284552</v>
      </c>
      <c r="V990" s="2">
        <v>0.52845528455284552</v>
      </c>
      <c r="W990" s="2">
        <v>0.52845528455284552</v>
      </c>
    </row>
    <row r="991" spans="1:23" ht="12.75">
      <c r="A991" s="5"/>
      <c r="C991" s="2">
        <v>1</v>
      </c>
      <c r="D991" s="2">
        <v>1</v>
      </c>
      <c r="E991" s="2">
        <v>1</v>
      </c>
      <c r="F991" s="2">
        <v>1</v>
      </c>
      <c r="G991" s="2">
        <v>0.95833333333333337</v>
      </c>
      <c r="H991" s="2">
        <v>0.92500000000000004</v>
      </c>
      <c r="I991" s="2">
        <v>0.85</v>
      </c>
      <c r="J991" s="2">
        <v>0.78333333333333333</v>
      </c>
      <c r="K991" s="2">
        <v>0.70833333333333337</v>
      </c>
      <c r="L991" s="2">
        <v>0.6333333333333333</v>
      </c>
      <c r="M991" s="2">
        <v>0.6166666666666667</v>
      </c>
      <c r="N991" s="2">
        <v>0.58333333333333337</v>
      </c>
      <c r="O991" s="2">
        <v>0.55833333333333335</v>
      </c>
      <c r="P991" s="2">
        <v>0.52500000000000002</v>
      </c>
      <c r="Q991" s="2">
        <v>0.52500000000000002</v>
      </c>
      <c r="R991" s="2">
        <v>0.52500000000000002</v>
      </c>
      <c r="S991" s="2">
        <v>0.52500000000000002</v>
      </c>
      <c r="T991" s="2">
        <v>0.52500000000000002</v>
      </c>
      <c r="U991" s="2">
        <v>0.52500000000000002</v>
      </c>
      <c r="V991" s="2">
        <v>0.52500000000000002</v>
      </c>
      <c r="W991" s="2">
        <v>0.52500000000000002</v>
      </c>
    </row>
    <row r="992" spans="1:23" ht="12.75">
      <c r="A992" s="5"/>
      <c r="C992" s="2">
        <v>1</v>
      </c>
      <c r="D992" s="2">
        <v>1</v>
      </c>
      <c r="E992" s="2">
        <v>1</v>
      </c>
      <c r="F992" s="2">
        <v>1</v>
      </c>
      <c r="G992" s="2">
        <v>0.96610169491525422</v>
      </c>
      <c r="H992" s="2">
        <v>0.92372881355932202</v>
      </c>
      <c r="I992" s="2">
        <v>0.85593220338983056</v>
      </c>
      <c r="J992" s="2">
        <v>0.77966101694915257</v>
      </c>
      <c r="K992" s="2">
        <v>0.71186440677966101</v>
      </c>
      <c r="L992" s="2">
        <v>0.63559322033898302</v>
      </c>
      <c r="M992" s="2">
        <v>0.60169491525423724</v>
      </c>
      <c r="N992" s="2">
        <v>0.57627118644067798</v>
      </c>
      <c r="O992" s="2">
        <v>0.55084745762711862</v>
      </c>
      <c r="P992" s="2">
        <v>0.52542372881355937</v>
      </c>
      <c r="Q992" s="2">
        <v>0.52542372881355937</v>
      </c>
      <c r="R992" s="2">
        <v>0.52542372881355937</v>
      </c>
      <c r="S992" s="2">
        <v>0.52542372881355937</v>
      </c>
      <c r="T992" s="2">
        <v>0.52542372881355937</v>
      </c>
      <c r="U992" s="2">
        <v>0.52542372881355937</v>
      </c>
      <c r="V992" s="2">
        <v>0.52542372881355937</v>
      </c>
      <c r="W992" s="2">
        <v>0.52542372881355937</v>
      </c>
    </row>
    <row r="993" spans="1:23" ht="15">
      <c r="A993" s="42" t="s">
        <v>73</v>
      </c>
      <c r="B993" s="15" t="s">
        <v>24</v>
      </c>
      <c r="C993" s="15" t="s">
        <v>25</v>
      </c>
      <c r="D993" s="15" t="s">
        <v>26</v>
      </c>
      <c r="E993" s="15" t="s">
        <v>27</v>
      </c>
      <c r="F993" s="43" t="s">
        <v>28</v>
      </c>
      <c r="G993" s="43" t="s">
        <v>74</v>
      </c>
      <c r="H993" s="43" t="s">
        <v>75</v>
      </c>
      <c r="I993" s="43" t="s">
        <v>76</v>
      </c>
      <c r="J993" s="43" t="s">
        <v>77</v>
      </c>
      <c r="K993" s="43" t="s">
        <v>78</v>
      </c>
      <c r="L993" s="43" t="s">
        <v>79</v>
      </c>
      <c r="M993" s="43" t="s">
        <v>80</v>
      </c>
      <c r="N993" s="15" t="s">
        <v>81</v>
      </c>
      <c r="O993" s="15" t="s">
        <v>82</v>
      </c>
      <c r="P993" s="15" t="s">
        <v>83</v>
      </c>
      <c r="Q993" s="15" t="s">
        <v>84</v>
      </c>
      <c r="R993" s="15" t="s">
        <v>85</v>
      </c>
      <c r="S993" s="15" t="s">
        <v>86</v>
      </c>
      <c r="T993" s="15" t="s">
        <v>87</v>
      </c>
      <c r="U993" s="15" t="s">
        <v>88</v>
      </c>
      <c r="V993" s="15" t="s">
        <v>89</v>
      </c>
      <c r="W993" s="15" t="s">
        <v>90</v>
      </c>
    </row>
    <row r="994" spans="1:23" ht="12.75">
      <c r="A994" s="42" t="s">
        <v>57</v>
      </c>
      <c r="B994" s="18">
        <v>1</v>
      </c>
      <c r="C994" s="18">
        <f t="shared" ref="C994:F994" si="38">AVERAGE(C999:C1000)</f>
        <v>1</v>
      </c>
      <c r="D994" s="18">
        <f t="shared" si="38"/>
        <v>1</v>
      </c>
      <c r="E994" s="18">
        <f t="shared" si="38"/>
        <v>1</v>
      </c>
      <c r="F994" s="18">
        <f t="shared" si="38"/>
        <v>1</v>
      </c>
      <c r="G994" s="18">
        <f t="shared" ref="G994:W994" si="39">AVERAGE(G999:G1001)</f>
        <v>0.93055890930952412</v>
      </c>
      <c r="H994" s="18">
        <f t="shared" si="39"/>
        <v>0.8520482741830504</v>
      </c>
      <c r="I994" s="18">
        <f t="shared" si="39"/>
        <v>0.70392662483169122</v>
      </c>
      <c r="J994" s="18">
        <f t="shared" si="39"/>
        <v>0.54993565760904672</v>
      </c>
      <c r="K994" s="18">
        <f t="shared" si="39"/>
        <v>0.49541206457094306</v>
      </c>
      <c r="L994" s="18">
        <f t="shared" si="39"/>
        <v>0.49541206457094306</v>
      </c>
      <c r="M994" s="18">
        <f t="shared" si="39"/>
        <v>0.49541206457094306</v>
      </c>
      <c r="N994" s="18">
        <f t="shared" si="39"/>
        <v>0.49541206457094306</v>
      </c>
      <c r="O994" s="18">
        <f t="shared" si="39"/>
        <v>0.49541206457094306</v>
      </c>
      <c r="P994" s="18">
        <f t="shared" si="39"/>
        <v>0.49541206457094306</v>
      </c>
      <c r="Q994" s="18">
        <f t="shared" si="39"/>
        <v>0.49541206457094306</v>
      </c>
      <c r="R994" s="18">
        <f t="shared" si="39"/>
        <v>0.49541206457094306</v>
      </c>
      <c r="S994" s="18">
        <f t="shared" si="39"/>
        <v>0.49541206457094306</v>
      </c>
      <c r="T994" s="18">
        <f t="shared" si="39"/>
        <v>0.49541206457094306</v>
      </c>
      <c r="U994" s="18">
        <f t="shared" si="39"/>
        <v>0.49541206457094306</v>
      </c>
      <c r="V994" s="18">
        <f t="shared" si="39"/>
        <v>0.49541206457094306</v>
      </c>
      <c r="W994" s="18">
        <f t="shared" si="39"/>
        <v>0.49541206457094306</v>
      </c>
    </row>
    <row r="995" spans="1:23" ht="12.75">
      <c r="A995" s="109" t="s">
        <v>390</v>
      </c>
      <c r="B995" s="58">
        <v>114</v>
      </c>
      <c r="C995" s="58">
        <v>114</v>
      </c>
      <c r="D995" s="58">
        <v>114</v>
      </c>
      <c r="E995" s="58">
        <v>114</v>
      </c>
      <c r="F995" s="58">
        <v>114</v>
      </c>
      <c r="G995" s="58">
        <v>106</v>
      </c>
      <c r="H995" s="58">
        <v>97</v>
      </c>
      <c r="I995" s="58">
        <v>80</v>
      </c>
      <c r="J995" s="58">
        <v>62</v>
      </c>
      <c r="K995" s="58">
        <v>57</v>
      </c>
      <c r="L995" s="58">
        <v>57</v>
      </c>
      <c r="M995" s="58">
        <v>57</v>
      </c>
      <c r="N995" s="58">
        <v>57</v>
      </c>
      <c r="O995" s="58">
        <v>57</v>
      </c>
      <c r="P995" s="58">
        <v>57</v>
      </c>
      <c r="Q995" s="58">
        <v>57</v>
      </c>
      <c r="R995" s="58">
        <v>57</v>
      </c>
      <c r="S995" s="58">
        <v>57</v>
      </c>
      <c r="T995" s="58">
        <v>57</v>
      </c>
      <c r="U995" s="58">
        <v>57</v>
      </c>
      <c r="V995" s="58">
        <v>57</v>
      </c>
      <c r="W995" s="58">
        <v>57</v>
      </c>
    </row>
    <row r="996" spans="1:23" ht="12.75">
      <c r="A996" s="246" t="s">
        <v>108</v>
      </c>
      <c r="B996" s="13">
        <v>110</v>
      </c>
      <c r="C996" s="13">
        <v>110</v>
      </c>
      <c r="D996" s="13">
        <v>110</v>
      </c>
      <c r="E996" s="13">
        <v>110</v>
      </c>
      <c r="F996" s="13">
        <v>110</v>
      </c>
      <c r="G996" s="13">
        <v>102</v>
      </c>
      <c r="H996" s="13">
        <v>93</v>
      </c>
      <c r="I996" s="13">
        <v>78</v>
      </c>
      <c r="J996" s="13">
        <v>61</v>
      </c>
      <c r="K996" s="13">
        <v>54</v>
      </c>
      <c r="L996" s="13">
        <v>54</v>
      </c>
      <c r="M996" s="13">
        <v>54</v>
      </c>
      <c r="N996" s="13">
        <v>54</v>
      </c>
      <c r="O996" s="13">
        <v>54</v>
      </c>
      <c r="P996" s="13">
        <v>54</v>
      </c>
      <c r="Q996" s="13">
        <v>54</v>
      </c>
      <c r="R996" s="13">
        <v>54</v>
      </c>
      <c r="S996" s="13">
        <v>54</v>
      </c>
      <c r="T996" s="13">
        <v>54</v>
      </c>
      <c r="U996" s="13">
        <v>54</v>
      </c>
      <c r="V996" s="13">
        <v>54</v>
      </c>
      <c r="W996" s="13">
        <v>54</v>
      </c>
    </row>
    <row r="997" spans="1:23" ht="12.75">
      <c r="A997" s="246" t="s">
        <v>391</v>
      </c>
      <c r="B997" s="13">
        <v>107</v>
      </c>
      <c r="C997" s="13">
        <v>107</v>
      </c>
      <c r="D997" s="13">
        <v>107</v>
      </c>
      <c r="E997" s="13">
        <v>107</v>
      </c>
      <c r="F997" s="13">
        <v>107</v>
      </c>
      <c r="G997" s="13">
        <v>100</v>
      </c>
      <c r="H997" s="13">
        <v>92</v>
      </c>
      <c r="I997" s="13">
        <v>75</v>
      </c>
      <c r="J997" s="13">
        <v>59</v>
      </c>
      <c r="K997" s="13">
        <v>53</v>
      </c>
      <c r="L997" s="13">
        <v>53</v>
      </c>
      <c r="M997" s="13">
        <v>53</v>
      </c>
      <c r="N997" s="13">
        <v>53</v>
      </c>
      <c r="O997" s="13">
        <v>53</v>
      </c>
      <c r="P997" s="13">
        <v>53</v>
      </c>
      <c r="Q997" s="13">
        <v>53</v>
      </c>
      <c r="R997" s="13">
        <v>53</v>
      </c>
      <c r="S997" s="13">
        <v>53</v>
      </c>
      <c r="T997" s="13">
        <v>53</v>
      </c>
      <c r="U997" s="13">
        <v>53</v>
      </c>
      <c r="V997" s="13">
        <v>53</v>
      </c>
      <c r="W997" s="13">
        <v>53</v>
      </c>
    </row>
    <row r="998" spans="1:23" ht="12.75">
      <c r="A998" s="5"/>
      <c r="B998" s="2" t="b">
        <f t="array" aca="1" ref="B998" ca="1">IF(COUNTA(B996:B997)=COUNTA(UNIQUE(B996:B997)), "no duplicate numbers")</f>
        <v>0</v>
      </c>
    </row>
    <row r="999" spans="1:23" ht="12.75">
      <c r="A999" s="5"/>
      <c r="C999" s="2">
        <f t="array" ref="C999:W1001">C995:W997/B995:B997</f>
        <v>1</v>
      </c>
      <c r="D999" s="2">
        <v>1</v>
      </c>
      <c r="E999" s="2">
        <v>1</v>
      </c>
      <c r="F999" s="2">
        <v>1</v>
      </c>
      <c r="G999" s="2">
        <v>0.92982456140350878</v>
      </c>
      <c r="H999" s="2">
        <v>0.85087719298245612</v>
      </c>
      <c r="I999" s="2">
        <v>0.70175438596491224</v>
      </c>
      <c r="J999" s="2">
        <v>0.54385964912280704</v>
      </c>
      <c r="K999" s="2">
        <v>0.5</v>
      </c>
      <c r="L999" s="2">
        <v>0.5</v>
      </c>
      <c r="M999" s="2">
        <v>0.5</v>
      </c>
      <c r="N999" s="2">
        <v>0.5</v>
      </c>
      <c r="O999" s="2">
        <v>0.5</v>
      </c>
      <c r="P999" s="2">
        <v>0.5</v>
      </c>
      <c r="Q999" s="2">
        <v>0.5</v>
      </c>
      <c r="R999" s="2">
        <v>0.5</v>
      </c>
      <c r="S999" s="2">
        <v>0.5</v>
      </c>
      <c r="T999" s="2">
        <v>0.5</v>
      </c>
      <c r="U999" s="2">
        <v>0.5</v>
      </c>
      <c r="V999" s="2">
        <v>0.5</v>
      </c>
      <c r="W999" s="2">
        <v>0.5</v>
      </c>
    </row>
    <row r="1000" spans="1:23" ht="12.75">
      <c r="A1000" s="5"/>
      <c r="C1000" s="2">
        <v>1</v>
      </c>
      <c r="D1000" s="2">
        <v>1</v>
      </c>
      <c r="E1000" s="2">
        <v>1</v>
      </c>
      <c r="F1000" s="2">
        <v>1</v>
      </c>
      <c r="G1000" s="2">
        <v>0.92727272727272725</v>
      </c>
      <c r="H1000" s="2">
        <v>0.84545454545454546</v>
      </c>
      <c r="I1000" s="2">
        <v>0.70909090909090911</v>
      </c>
      <c r="J1000" s="2">
        <v>0.55454545454545456</v>
      </c>
      <c r="K1000" s="2">
        <v>0.49090909090909091</v>
      </c>
      <c r="L1000" s="2">
        <v>0.49090909090909091</v>
      </c>
      <c r="M1000" s="2">
        <v>0.49090909090909091</v>
      </c>
      <c r="N1000" s="2">
        <v>0.49090909090909091</v>
      </c>
      <c r="O1000" s="2">
        <v>0.49090909090909091</v>
      </c>
      <c r="P1000" s="2">
        <v>0.49090909090909091</v>
      </c>
      <c r="Q1000" s="2">
        <v>0.49090909090909091</v>
      </c>
      <c r="R1000" s="2">
        <v>0.49090909090909091</v>
      </c>
      <c r="S1000" s="2">
        <v>0.49090909090909091</v>
      </c>
      <c r="T1000" s="2">
        <v>0.49090909090909091</v>
      </c>
      <c r="U1000" s="2">
        <v>0.49090909090909091</v>
      </c>
      <c r="V1000" s="2">
        <v>0.49090909090909091</v>
      </c>
      <c r="W1000" s="2">
        <v>0.49090909090909091</v>
      </c>
    </row>
    <row r="1001" spans="1:23" ht="12.75">
      <c r="A1001" s="5"/>
      <c r="C1001" s="2">
        <v>1</v>
      </c>
      <c r="D1001" s="2">
        <v>1</v>
      </c>
      <c r="E1001" s="2">
        <v>1</v>
      </c>
      <c r="F1001" s="2">
        <v>1</v>
      </c>
      <c r="G1001" s="2">
        <v>0.93457943925233644</v>
      </c>
      <c r="H1001" s="2">
        <v>0.85981308411214952</v>
      </c>
      <c r="I1001" s="2">
        <v>0.7009345794392523</v>
      </c>
      <c r="J1001" s="2">
        <v>0.55140186915887845</v>
      </c>
      <c r="K1001" s="2">
        <v>0.49532710280373832</v>
      </c>
      <c r="L1001" s="2">
        <v>0.49532710280373832</v>
      </c>
      <c r="M1001" s="2">
        <v>0.49532710280373832</v>
      </c>
      <c r="N1001" s="2">
        <v>0.49532710280373832</v>
      </c>
      <c r="O1001" s="2">
        <v>0.49532710280373832</v>
      </c>
      <c r="P1001" s="2">
        <v>0.49532710280373832</v>
      </c>
      <c r="Q1001" s="2">
        <v>0.49532710280373832</v>
      </c>
      <c r="R1001" s="2">
        <v>0.49532710280373832</v>
      </c>
      <c r="S1001" s="2">
        <v>0.49532710280373832</v>
      </c>
      <c r="T1001" s="2">
        <v>0.49532710280373832</v>
      </c>
      <c r="U1001" s="2">
        <v>0.49532710280373832</v>
      </c>
      <c r="V1001" s="2">
        <v>0.49532710280373832</v>
      </c>
      <c r="W1001" s="2">
        <v>0.49532710280373832</v>
      </c>
    </row>
    <row r="1002" spans="1:23" ht="12.75">
      <c r="A1002" s="5"/>
    </row>
    <row r="1003" spans="1:23" ht="15">
      <c r="A1003" s="42" t="s">
        <v>73</v>
      </c>
      <c r="B1003" s="15" t="s">
        <v>24</v>
      </c>
      <c r="C1003" s="15" t="s">
        <v>25</v>
      </c>
      <c r="D1003" s="15" t="s">
        <v>26</v>
      </c>
      <c r="E1003" s="15" t="s">
        <v>27</v>
      </c>
      <c r="F1003" s="43" t="s">
        <v>28</v>
      </c>
      <c r="G1003" s="43" t="s">
        <v>74</v>
      </c>
      <c r="H1003" s="43" t="s">
        <v>75</v>
      </c>
      <c r="I1003" s="43" t="s">
        <v>76</v>
      </c>
      <c r="J1003" s="43" t="s">
        <v>77</v>
      </c>
      <c r="K1003" s="43" t="s">
        <v>78</v>
      </c>
      <c r="L1003" s="43" t="s">
        <v>79</v>
      </c>
      <c r="M1003" s="43" t="s">
        <v>80</v>
      </c>
      <c r="N1003" s="15" t="s">
        <v>81</v>
      </c>
      <c r="O1003" s="15" t="s">
        <v>82</v>
      </c>
      <c r="P1003" s="15" t="s">
        <v>83</v>
      </c>
      <c r="Q1003" s="15" t="s">
        <v>84</v>
      </c>
      <c r="R1003" s="15" t="s">
        <v>85</v>
      </c>
      <c r="S1003" s="15" t="s">
        <v>86</v>
      </c>
      <c r="T1003" s="15" t="s">
        <v>87</v>
      </c>
      <c r="U1003" s="15" t="s">
        <v>88</v>
      </c>
      <c r="V1003" s="15" t="s">
        <v>89</v>
      </c>
      <c r="W1003" s="15" t="s">
        <v>90</v>
      </c>
    </row>
    <row r="1004" spans="1:23" ht="12.75">
      <c r="A1004" s="42" t="s">
        <v>5</v>
      </c>
      <c r="B1004" s="18">
        <v>1</v>
      </c>
      <c r="C1004" s="18">
        <f t="shared" ref="C1004:H1004" si="40">AVERAGE(C1011:C1012)</f>
        <v>1</v>
      </c>
      <c r="D1004" s="18">
        <f t="shared" si="40"/>
        <v>1</v>
      </c>
      <c r="E1004" s="18">
        <f t="shared" si="40"/>
        <v>1</v>
      </c>
      <c r="F1004" s="18">
        <f t="shared" si="40"/>
        <v>1</v>
      </c>
      <c r="G1004" s="18">
        <f t="shared" si="40"/>
        <v>1</v>
      </c>
      <c r="H1004" s="18">
        <f t="shared" si="40"/>
        <v>1</v>
      </c>
      <c r="I1004" s="18">
        <f t="shared" ref="I1004:W1004" si="41">AVERAGE(I1011:I1015)</f>
        <v>0.91959534647523511</v>
      </c>
      <c r="J1004" s="18">
        <f t="shared" si="41"/>
        <v>0.84531032552653007</v>
      </c>
      <c r="K1004" s="18">
        <f t="shared" si="41"/>
        <v>0.7678198095333012</v>
      </c>
      <c r="L1004" s="18">
        <f t="shared" si="41"/>
        <v>0.69338633591815779</v>
      </c>
      <c r="M1004" s="18">
        <f t="shared" si="41"/>
        <v>0.61611603804573423</v>
      </c>
      <c r="N1004" s="18">
        <f t="shared" si="41"/>
        <v>0.60719920267247174</v>
      </c>
      <c r="O1004" s="18">
        <f t="shared" si="41"/>
        <v>0.59869128560871476</v>
      </c>
      <c r="P1004" s="18">
        <f t="shared" si="41"/>
        <v>0.59282540233091874</v>
      </c>
      <c r="Q1004" s="18">
        <f t="shared" si="41"/>
        <v>0.5867979029018906</v>
      </c>
      <c r="R1004" s="18">
        <f t="shared" si="41"/>
        <v>0.577881067528628</v>
      </c>
      <c r="S1004" s="18">
        <f t="shared" si="41"/>
        <v>0.57096045205217261</v>
      </c>
      <c r="T1004" s="18">
        <f t="shared" si="41"/>
        <v>0.563507267187075</v>
      </c>
      <c r="U1004" s="18">
        <f t="shared" si="41"/>
        <v>0.55757633479971547</v>
      </c>
      <c r="V1004" s="18">
        <f t="shared" si="41"/>
        <v>0.55330003555938756</v>
      </c>
      <c r="W1004" s="18">
        <f t="shared" si="41"/>
        <v>0.54304091830693024</v>
      </c>
    </row>
    <row r="1005" spans="1:23" ht="12.75">
      <c r="A1005" s="246" t="s">
        <v>46</v>
      </c>
      <c r="B1005" s="13">
        <v>149</v>
      </c>
      <c r="C1005" s="13">
        <v>149</v>
      </c>
      <c r="D1005" s="13">
        <v>149</v>
      </c>
      <c r="E1005" s="13">
        <v>149</v>
      </c>
      <c r="F1005" s="13">
        <v>149</v>
      </c>
      <c r="G1005" s="13">
        <v>149</v>
      </c>
      <c r="H1005" s="13">
        <v>149</v>
      </c>
      <c r="I1005" s="13">
        <v>137</v>
      </c>
      <c r="J1005" s="13">
        <v>126</v>
      </c>
      <c r="K1005" s="13">
        <v>115</v>
      </c>
      <c r="L1005" s="13">
        <v>104</v>
      </c>
      <c r="M1005" s="13">
        <v>92</v>
      </c>
      <c r="N1005" s="13">
        <v>91</v>
      </c>
      <c r="O1005" s="13">
        <v>89</v>
      </c>
      <c r="P1005" s="13">
        <v>88</v>
      </c>
      <c r="Q1005" s="13">
        <v>88</v>
      </c>
      <c r="R1005" s="13">
        <v>87</v>
      </c>
      <c r="S1005" s="13">
        <v>85</v>
      </c>
      <c r="T1005" s="13">
        <v>84</v>
      </c>
      <c r="U1005" s="13">
        <v>83</v>
      </c>
      <c r="V1005" s="13">
        <v>83</v>
      </c>
      <c r="W1005" s="13">
        <v>81</v>
      </c>
    </row>
    <row r="1006" spans="1:23" ht="12.75">
      <c r="A1006" s="246" t="s">
        <v>49</v>
      </c>
      <c r="B1006" s="13">
        <v>143</v>
      </c>
      <c r="C1006" s="13">
        <v>143</v>
      </c>
      <c r="D1006" s="13">
        <v>143</v>
      </c>
      <c r="E1006" s="13">
        <v>143</v>
      </c>
      <c r="F1006" s="13">
        <v>143</v>
      </c>
      <c r="G1006" s="13">
        <v>143</v>
      </c>
      <c r="H1006" s="13">
        <v>143</v>
      </c>
      <c r="I1006" s="13">
        <v>132</v>
      </c>
      <c r="J1006" s="13">
        <v>120</v>
      </c>
      <c r="K1006" s="13">
        <v>110</v>
      </c>
      <c r="L1006" s="13">
        <v>98</v>
      </c>
      <c r="M1006" s="13">
        <v>88</v>
      </c>
      <c r="N1006" s="13">
        <v>87</v>
      </c>
      <c r="O1006" s="13">
        <v>85</v>
      </c>
      <c r="P1006" s="13">
        <v>84</v>
      </c>
      <c r="Q1006" s="13">
        <v>84</v>
      </c>
      <c r="R1006" s="13">
        <v>83</v>
      </c>
      <c r="S1006" s="13">
        <v>81</v>
      </c>
      <c r="T1006" s="13">
        <v>80</v>
      </c>
      <c r="U1006" s="13">
        <v>80</v>
      </c>
      <c r="V1006" s="13">
        <v>79</v>
      </c>
      <c r="W1006" s="13">
        <v>78</v>
      </c>
    </row>
    <row r="1007" spans="1:23" ht="12.75">
      <c r="A1007" s="246" t="s">
        <v>459</v>
      </c>
      <c r="B1007" s="13">
        <v>139</v>
      </c>
      <c r="C1007" s="13">
        <v>139</v>
      </c>
      <c r="D1007" s="13">
        <v>139</v>
      </c>
      <c r="E1007" s="13">
        <v>139</v>
      </c>
      <c r="F1007" s="13">
        <v>139</v>
      </c>
      <c r="G1007" s="13">
        <v>139</v>
      </c>
      <c r="H1007" s="13">
        <v>139</v>
      </c>
      <c r="I1007" s="13">
        <v>128</v>
      </c>
      <c r="J1007" s="13">
        <v>118</v>
      </c>
      <c r="K1007" s="13">
        <v>106</v>
      </c>
      <c r="L1007" s="13">
        <v>97</v>
      </c>
      <c r="M1007" s="13">
        <v>85</v>
      </c>
      <c r="N1007" s="13">
        <v>84</v>
      </c>
      <c r="O1007" s="13">
        <v>83</v>
      </c>
      <c r="P1007" s="13">
        <v>83</v>
      </c>
      <c r="Q1007" s="13">
        <v>81</v>
      </c>
      <c r="R1007" s="13">
        <v>80</v>
      </c>
      <c r="S1007" s="13">
        <v>79</v>
      </c>
      <c r="T1007" s="13">
        <v>79</v>
      </c>
      <c r="U1007" s="13">
        <v>78</v>
      </c>
      <c r="V1007" s="13">
        <v>76</v>
      </c>
      <c r="W1007" s="13">
        <v>75</v>
      </c>
    </row>
    <row r="1008" spans="1:23" ht="12.75">
      <c r="A1008" s="242" t="s">
        <v>383</v>
      </c>
      <c r="B1008" s="241">
        <v>128</v>
      </c>
      <c r="C1008" s="241">
        <v>128</v>
      </c>
      <c r="D1008" s="241">
        <v>128</v>
      </c>
      <c r="E1008" s="241">
        <v>128</v>
      </c>
      <c r="F1008" s="241">
        <v>128</v>
      </c>
      <c r="G1008" s="241">
        <v>128</v>
      </c>
      <c r="H1008" s="241">
        <v>128</v>
      </c>
      <c r="I1008" s="241">
        <v>118</v>
      </c>
      <c r="J1008" s="241">
        <v>109</v>
      </c>
      <c r="K1008" s="241">
        <v>98</v>
      </c>
      <c r="L1008" s="241">
        <v>89</v>
      </c>
      <c r="M1008" s="241">
        <v>79</v>
      </c>
      <c r="N1008" s="241">
        <v>78</v>
      </c>
      <c r="O1008" s="241">
        <v>78</v>
      </c>
      <c r="P1008" s="241">
        <v>76</v>
      </c>
      <c r="Q1008" s="241">
        <v>75</v>
      </c>
      <c r="R1008" s="241">
        <v>74</v>
      </c>
      <c r="S1008" s="241">
        <v>74</v>
      </c>
      <c r="T1008" s="241">
        <v>72</v>
      </c>
      <c r="U1008" s="241">
        <v>71</v>
      </c>
      <c r="V1008" s="241">
        <v>71</v>
      </c>
      <c r="W1008" s="241">
        <v>70</v>
      </c>
    </row>
    <row r="1009" spans="1:23" ht="12.75">
      <c r="A1009" s="109" t="s">
        <v>64</v>
      </c>
      <c r="B1009" s="58">
        <v>126</v>
      </c>
      <c r="C1009" s="58">
        <v>126</v>
      </c>
      <c r="D1009" s="58">
        <v>126</v>
      </c>
      <c r="E1009" s="58">
        <v>126</v>
      </c>
      <c r="F1009" s="58">
        <v>126</v>
      </c>
      <c r="G1009" s="58">
        <v>126</v>
      </c>
      <c r="H1009" s="58">
        <v>126</v>
      </c>
      <c r="I1009" s="58">
        <v>115</v>
      </c>
      <c r="J1009" s="58">
        <v>106</v>
      </c>
      <c r="K1009" s="58">
        <v>97</v>
      </c>
      <c r="L1009" s="58">
        <v>87</v>
      </c>
      <c r="M1009" s="58">
        <v>78</v>
      </c>
      <c r="N1009" s="58">
        <v>76</v>
      </c>
      <c r="O1009" s="58">
        <v>75</v>
      </c>
      <c r="P1009" s="58">
        <v>75</v>
      </c>
      <c r="Q1009" s="58">
        <v>74</v>
      </c>
      <c r="R1009" s="58">
        <v>72</v>
      </c>
      <c r="S1009" s="58">
        <v>72</v>
      </c>
      <c r="T1009" s="58">
        <v>71</v>
      </c>
      <c r="U1009" s="58">
        <v>70</v>
      </c>
      <c r="V1009" s="58">
        <v>70</v>
      </c>
      <c r="W1009" s="58">
        <v>68</v>
      </c>
    </row>
    <row r="1010" spans="1:23" ht="12.75">
      <c r="A1010" s="5"/>
      <c r="B1010" s="2" t="b">
        <f t="array" aca="1" ref="B1010" ca="1">IF(COUNTA(B1005:B1007)=COUNTA(UNIQUE(B1005:B1007)), "no duplicate numbers")</f>
        <v>0</v>
      </c>
    </row>
    <row r="1011" spans="1:23" ht="12.75">
      <c r="A1011" s="5"/>
      <c r="C1011" s="2">
        <f t="array" ref="C1011:W1015">C1005:W1009/B1005:B1009</f>
        <v>1</v>
      </c>
      <c r="D1011" s="2">
        <v>1</v>
      </c>
      <c r="E1011" s="2">
        <v>1</v>
      </c>
      <c r="F1011" s="2">
        <v>1</v>
      </c>
      <c r="G1011" s="2">
        <v>1</v>
      </c>
      <c r="H1011" s="2">
        <v>1</v>
      </c>
      <c r="I1011" s="2">
        <v>0.91946308724832215</v>
      </c>
      <c r="J1011" s="2">
        <v>0.84563758389261745</v>
      </c>
      <c r="K1011" s="2">
        <v>0.77181208053691275</v>
      </c>
      <c r="L1011" s="2">
        <v>0.69798657718120805</v>
      </c>
      <c r="M1011" s="2">
        <v>0.6174496644295302</v>
      </c>
      <c r="N1011" s="2">
        <v>0.61073825503355705</v>
      </c>
      <c r="O1011" s="2">
        <v>0.59731543624161076</v>
      </c>
      <c r="P1011" s="2">
        <v>0.59060402684563762</v>
      </c>
      <c r="Q1011" s="2">
        <v>0.59060402684563762</v>
      </c>
      <c r="R1011" s="2">
        <v>0.58389261744966447</v>
      </c>
      <c r="S1011" s="2">
        <v>0.57046979865771807</v>
      </c>
      <c r="T1011" s="2">
        <v>0.56375838926174493</v>
      </c>
      <c r="U1011" s="2">
        <v>0.55704697986577179</v>
      </c>
      <c r="V1011" s="2">
        <v>0.55704697986577179</v>
      </c>
      <c r="W1011" s="2">
        <v>0.5436241610738255</v>
      </c>
    </row>
    <row r="1012" spans="1:23" ht="12.75">
      <c r="A1012" s="5"/>
      <c r="C1012" s="2">
        <v>1</v>
      </c>
      <c r="D1012" s="2">
        <v>1</v>
      </c>
      <c r="E1012" s="2">
        <v>1</v>
      </c>
      <c r="F1012" s="2">
        <v>1</v>
      </c>
      <c r="G1012" s="2">
        <v>1</v>
      </c>
      <c r="H1012" s="2">
        <v>1</v>
      </c>
      <c r="I1012" s="2">
        <v>0.92307692307692313</v>
      </c>
      <c r="J1012" s="2">
        <v>0.83916083916083917</v>
      </c>
      <c r="K1012" s="2">
        <v>0.76923076923076927</v>
      </c>
      <c r="L1012" s="2">
        <v>0.68531468531468531</v>
      </c>
      <c r="M1012" s="2">
        <v>0.61538461538461542</v>
      </c>
      <c r="N1012" s="2">
        <v>0.60839160839160844</v>
      </c>
      <c r="O1012" s="2">
        <v>0.59440559440559437</v>
      </c>
      <c r="P1012" s="2">
        <v>0.58741258741258739</v>
      </c>
      <c r="Q1012" s="2">
        <v>0.58741258741258739</v>
      </c>
      <c r="R1012" s="2">
        <v>0.58041958041958042</v>
      </c>
      <c r="S1012" s="2">
        <v>0.56643356643356646</v>
      </c>
      <c r="T1012" s="2">
        <v>0.55944055944055948</v>
      </c>
      <c r="U1012" s="2">
        <v>0.55944055944055948</v>
      </c>
      <c r="V1012" s="2">
        <v>0.55244755244755239</v>
      </c>
      <c r="W1012" s="2">
        <v>0.54545454545454541</v>
      </c>
    </row>
    <row r="1013" spans="1:23" ht="12.75">
      <c r="A1013" s="246"/>
      <c r="C1013" s="2">
        <v>1</v>
      </c>
      <c r="D1013" s="2">
        <v>1</v>
      </c>
      <c r="E1013" s="2">
        <v>1</v>
      </c>
      <c r="F1013" s="2">
        <v>1</v>
      </c>
      <c r="G1013" s="2">
        <v>1</v>
      </c>
      <c r="H1013" s="2">
        <v>1</v>
      </c>
      <c r="I1013" s="2">
        <v>0.92086330935251803</v>
      </c>
      <c r="J1013" s="2">
        <v>0.84892086330935257</v>
      </c>
      <c r="K1013" s="2">
        <v>0.76258992805755399</v>
      </c>
      <c r="L1013" s="2">
        <v>0.69784172661870503</v>
      </c>
      <c r="M1013" s="2">
        <v>0.61151079136690645</v>
      </c>
      <c r="N1013" s="2">
        <v>0.60431654676258995</v>
      </c>
      <c r="O1013" s="2">
        <v>0.59712230215827333</v>
      </c>
      <c r="P1013" s="2">
        <v>0.59712230215827333</v>
      </c>
      <c r="Q1013" s="2">
        <v>0.58273381294964033</v>
      </c>
      <c r="R1013" s="2">
        <v>0.57553956834532372</v>
      </c>
      <c r="S1013" s="2">
        <v>0.56834532374100721</v>
      </c>
      <c r="T1013" s="2">
        <v>0.56834532374100721</v>
      </c>
      <c r="U1013" s="2">
        <v>0.5611510791366906</v>
      </c>
      <c r="V1013" s="2">
        <v>0.5467625899280576</v>
      </c>
      <c r="W1013" s="2">
        <v>0.53956834532374098</v>
      </c>
    </row>
    <row r="1014" spans="1:23" ht="12.75">
      <c r="A1014" s="246"/>
      <c r="C1014" s="2">
        <v>1</v>
      </c>
      <c r="D1014" s="2">
        <v>1</v>
      </c>
      <c r="E1014" s="2">
        <v>1</v>
      </c>
      <c r="F1014" s="2">
        <v>1</v>
      </c>
      <c r="G1014" s="2">
        <v>1</v>
      </c>
      <c r="H1014" s="2">
        <v>1</v>
      </c>
      <c r="I1014" s="2">
        <v>0.921875</v>
      </c>
      <c r="J1014" s="2">
        <v>0.8515625</v>
      </c>
      <c r="K1014" s="2">
        <v>0.765625</v>
      </c>
      <c r="L1014" s="2">
        <v>0.6953125</v>
      </c>
      <c r="M1014" s="2">
        <v>0.6171875</v>
      </c>
      <c r="N1014" s="2">
        <v>0.609375</v>
      </c>
      <c r="O1014" s="2">
        <v>0.609375</v>
      </c>
      <c r="P1014" s="2">
        <v>0.59375</v>
      </c>
      <c r="Q1014" s="2">
        <v>0.5859375</v>
      </c>
      <c r="R1014" s="2">
        <v>0.578125</v>
      </c>
      <c r="S1014" s="2">
        <v>0.578125</v>
      </c>
      <c r="T1014" s="2">
        <v>0.5625</v>
      </c>
      <c r="U1014" s="2">
        <v>0.5546875</v>
      </c>
      <c r="V1014" s="2">
        <v>0.5546875</v>
      </c>
      <c r="W1014" s="2">
        <v>0.546875</v>
      </c>
    </row>
    <row r="1015" spans="1:23" ht="12.75">
      <c r="A1015" s="246"/>
      <c r="C1015" s="2">
        <v>1</v>
      </c>
      <c r="D1015" s="2">
        <v>1</v>
      </c>
      <c r="E1015" s="2">
        <v>1</v>
      </c>
      <c r="F1015" s="2">
        <v>1</v>
      </c>
      <c r="G1015" s="2">
        <v>1</v>
      </c>
      <c r="H1015" s="2">
        <v>1</v>
      </c>
      <c r="I1015" s="2">
        <v>0.91269841269841268</v>
      </c>
      <c r="J1015" s="2">
        <v>0.84126984126984128</v>
      </c>
      <c r="K1015" s="2">
        <v>0.76984126984126988</v>
      </c>
      <c r="L1015" s="2">
        <v>0.69047619047619047</v>
      </c>
      <c r="M1015" s="2">
        <v>0.61904761904761907</v>
      </c>
      <c r="N1015" s="2">
        <v>0.60317460317460314</v>
      </c>
      <c r="O1015" s="2">
        <v>0.59523809523809523</v>
      </c>
      <c r="P1015" s="2">
        <v>0.59523809523809523</v>
      </c>
      <c r="Q1015" s="2">
        <v>0.58730158730158732</v>
      </c>
      <c r="R1015" s="2">
        <v>0.5714285714285714</v>
      </c>
      <c r="S1015" s="2">
        <v>0.5714285714285714</v>
      </c>
      <c r="T1015" s="2">
        <v>0.56349206349206349</v>
      </c>
      <c r="U1015" s="2">
        <v>0.55555555555555558</v>
      </c>
      <c r="V1015" s="2">
        <v>0.55555555555555558</v>
      </c>
      <c r="W1015" s="2">
        <v>0.53968253968253965</v>
      </c>
    </row>
    <row r="1016" spans="1:23" ht="15">
      <c r="A1016" s="42" t="s">
        <v>73</v>
      </c>
      <c r="B1016" s="15" t="s">
        <v>24</v>
      </c>
      <c r="C1016" s="15" t="s">
        <v>25</v>
      </c>
      <c r="D1016" s="15" t="s">
        <v>26</v>
      </c>
      <c r="E1016" s="15" t="s">
        <v>27</v>
      </c>
      <c r="F1016" s="43" t="s">
        <v>28</v>
      </c>
      <c r="G1016" s="43" t="s">
        <v>74</v>
      </c>
      <c r="H1016" s="43" t="s">
        <v>75</v>
      </c>
      <c r="I1016" s="43" t="s">
        <v>76</v>
      </c>
      <c r="J1016" s="43" t="s">
        <v>77</v>
      </c>
      <c r="K1016" s="43" t="s">
        <v>78</v>
      </c>
      <c r="L1016" s="43" t="s">
        <v>79</v>
      </c>
      <c r="M1016" s="43" t="s">
        <v>80</v>
      </c>
      <c r="N1016" s="15" t="s">
        <v>81</v>
      </c>
      <c r="O1016" s="15" t="s">
        <v>82</v>
      </c>
      <c r="P1016" s="15" t="s">
        <v>83</v>
      </c>
      <c r="Q1016" s="15" t="s">
        <v>84</v>
      </c>
      <c r="R1016" s="15" t="s">
        <v>85</v>
      </c>
      <c r="S1016" s="15" t="s">
        <v>86</v>
      </c>
      <c r="T1016" s="15" t="s">
        <v>87</v>
      </c>
      <c r="U1016" s="15" t="s">
        <v>88</v>
      </c>
      <c r="V1016" s="15" t="s">
        <v>89</v>
      </c>
      <c r="W1016" s="15" t="s">
        <v>90</v>
      </c>
    </row>
    <row r="1017" spans="1:23" ht="12.75">
      <c r="A1017" s="42" t="s">
        <v>45</v>
      </c>
      <c r="B1017" s="18">
        <v>1</v>
      </c>
      <c r="C1017" s="18">
        <f t="shared" ref="C1017:W1017" si="42">AVERAGE(C1023:C1025)</f>
        <v>1</v>
      </c>
      <c r="D1017" s="18">
        <f t="shared" si="42"/>
        <v>1</v>
      </c>
      <c r="E1017" s="18">
        <f t="shared" si="42"/>
        <v>1</v>
      </c>
      <c r="F1017" s="18">
        <f t="shared" si="42"/>
        <v>1</v>
      </c>
      <c r="G1017" s="18">
        <f t="shared" si="42"/>
        <v>1</v>
      </c>
      <c r="H1017" s="18">
        <f t="shared" si="42"/>
        <v>1</v>
      </c>
      <c r="I1017" s="18">
        <f t="shared" si="42"/>
        <v>0.86122217779554844</v>
      </c>
      <c r="J1017" s="18">
        <f t="shared" si="42"/>
        <v>0.72244435559109688</v>
      </c>
      <c r="K1017" s="18">
        <f t="shared" si="42"/>
        <v>0.58776489404238297</v>
      </c>
      <c r="L1017" s="18">
        <f t="shared" si="42"/>
        <v>0.50203252032520318</v>
      </c>
      <c r="M1017" s="18">
        <f t="shared" si="42"/>
        <v>0.49796747967479671</v>
      </c>
      <c r="N1017" s="18">
        <f t="shared" si="42"/>
        <v>0.49796747967479671</v>
      </c>
      <c r="O1017" s="18">
        <f t="shared" si="42"/>
        <v>0.49796747967479671</v>
      </c>
      <c r="P1017" s="18">
        <f t="shared" si="42"/>
        <v>0.49796747967479671</v>
      </c>
      <c r="Q1017" s="18">
        <f t="shared" si="42"/>
        <v>0.49796747967479671</v>
      </c>
      <c r="R1017" s="18">
        <f t="shared" si="42"/>
        <v>0.49796747967479671</v>
      </c>
      <c r="S1017" s="18">
        <f t="shared" si="42"/>
        <v>0.49796747967479671</v>
      </c>
      <c r="T1017" s="18">
        <f t="shared" si="42"/>
        <v>0.49796747967479671</v>
      </c>
      <c r="U1017" s="18">
        <f t="shared" si="42"/>
        <v>0.49796747967479671</v>
      </c>
      <c r="V1017" s="18">
        <f t="shared" si="42"/>
        <v>0.49796747967479671</v>
      </c>
      <c r="W1017" s="18">
        <f t="shared" si="42"/>
        <v>0.49796747967479671</v>
      </c>
    </row>
    <row r="1018" spans="1:23" ht="12.75">
      <c r="A1018" s="246" t="s">
        <v>47</v>
      </c>
      <c r="B1018" s="13">
        <v>149</v>
      </c>
      <c r="C1018" s="13">
        <v>149</v>
      </c>
      <c r="D1018" s="13">
        <v>149</v>
      </c>
      <c r="E1018" s="13">
        <v>149</v>
      </c>
      <c r="F1018" s="13">
        <v>149</v>
      </c>
      <c r="G1018" s="13">
        <v>149</v>
      </c>
      <c r="H1018" s="13">
        <v>149</v>
      </c>
      <c r="I1018" s="13">
        <v>130</v>
      </c>
      <c r="J1018" s="13">
        <v>109</v>
      </c>
      <c r="K1018" s="13">
        <v>88</v>
      </c>
      <c r="L1018" s="13">
        <v>74</v>
      </c>
      <c r="M1018" s="13">
        <v>74</v>
      </c>
      <c r="N1018" s="13">
        <v>74</v>
      </c>
      <c r="O1018" s="13">
        <v>74</v>
      </c>
      <c r="P1018" s="13">
        <v>74</v>
      </c>
      <c r="Q1018" s="13">
        <v>74</v>
      </c>
      <c r="R1018" s="13">
        <v>74</v>
      </c>
      <c r="S1018" s="13">
        <v>74</v>
      </c>
      <c r="T1018" s="13">
        <v>74</v>
      </c>
      <c r="U1018" s="13">
        <v>74</v>
      </c>
      <c r="V1018" s="13">
        <v>74</v>
      </c>
      <c r="W1018" s="13">
        <v>74</v>
      </c>
    </row>
    <row r="1019" spans="1:23" ht="12.75">
      <c r="A1019" s="109" t="s">
        <v>50</v>
      </c>
      <c r="B1019" s="58">
        <v>126</v>
      </c>
      <c r="C1019" s="58">
        <v>126</v>
      </c>
      <c r="D1019" s="58">
        <v>126</v>
      </c>
      <c r="E1019" s="58">
        <v>126</v>
      </c>
      <c r="F1019" s="58">
        <v>126</v>
      </c>
      <c r="G1019" s="58">
        <v>126</v>
      </c>
      <c r="H1019" s="58">
        <v>126</v>
      </c>
      <c r="I1019" s="58">
        <v>109</v>
      </c>
      <c r="J1019" s="58">
        <v>92</v>
      </c>
      <c r="K1019" s="58">
        <v>74</v>
      </c>
      <c r="L1019" s="58">
        <v>63</v>
      </c>
      <c r="M1019" s="58">
        <v>63</v>
      </c>
      <c r="N1019" s="58">
        <v>63</v>
      </c>
      <c r="O1019" s="58">
        <v>63</v>
      </c>
      <c r="P1019" s="58">
        <v>63</v>
      </c>
      <c r="Q1019" s="58">
        <v>63</v>
      </c>
      <c r="R1019" s="58">
        <v>63</v>
      </c>
      <c r="S1019" s="58">
        <v>63</v>
      </c>
      <c r="T1019" s="58">
        <v>63</v>
      </c>
      <c r="U1019" s="58">
        <v>63</v>
      </c>
      <c r="V1019" s="58">
        <v>63</v>
      </c>
      <c r="W1019" s="58">
        <v>63</v>
      </c>
    </row>
    <row r="1020" spans="1:23" ht="12.75">
      <c r="A1020" s="246" t="s">
        <v>384</v>
      </c>
      <c r="B1020" s="13">
        <v>123</v>
      </c>
      <c r="C1020" s="13">
        <v>123</v>
      </c>
      <c r="D1020" s="13">
        <v>123</v>
      </c>
      <c r="E1020" s="13">
        <v>123</v>
      </c>
      <c r="F1020" s="13">
        <v>123</v>
      </c>
      <c r="G1020" s="13">
        <v>123</v>
      </c>
      <c r="H1020" s="13">
        <v>123</v>
      </c>
      <c r="I1020" s="13">
        <v>106</v>
      </c>
      <c r="J1020" s="13">
        <v>89</v>
      </c>
      <c r="K1020" s="13">
        <v>72</v>
      </c>
      <c r="L1020" s="13">
        <v>62</v>
      </c>
      <c r="M1020" s="13">
        <v>61</v>
      </c>
      <c r="N1020" s="13">
        <v>61</v>
      </c>
      <c r="O1020" s="13">
        <v>61</v>
      </c>
      <c r="P1020" s="13">
        <v>61</v>
      </c>
      <c r="Q1020" s="13">
        <v>61</v>
      </c>
      <c r="R1020" s="13">
        <v>61</v>
      </c>
      <c r="S1020" s="13">
        <v>61</v>
      </c>
      <c r="T1020" s="13">
        <v>61</v>
      </c>
      <c r="U1020" s="13">
        <v>61</v>
      </c>
      <c r="V1020" s="13">
        <v>61</v>
      </c>
      <c r="W1020" s="13">
        <v>61</v>
      </c>
    </row>
    <row r="1021" spans="1:23" ht="12.75">
      <c r="A1021" s="246" t="s">
        <v>332</v>
      </c>
      <c r="B1021" s="13">
        <v>122</v>
      </c>
      <c r="C1021" s="13">
        <v>122</v>
      </c>
      <c r="D1021" s="13">
        <v>122</v>
      </c>
      <c r="E1021" s="13">
        <v>122</v>
      </c>
      <c r="F1021" s="13">
        <v>122</v>
      </c>
      <c r="G1021" s="13">
        <v>122</v>
      </c>
      <c r="H1021" s="13">
        <v>122</v>
      </c>
      <c r="I1021" s="13">
        <v>105</v>
      </c>
      <c r="J1021" s="13">
        <v>88</v>
      </c>
      <c r="K1021" s="13">
        <v>72</v>
      </c>
      <c r="L1021" s="13">
        <v>61</v>
      </c>
      <c r="M1021" s="13">
        <v>61</v>
      </c>
      <c r="N1021" s="13">
        <v>61</v>
      </c>
      <c r="O1021" s="13">
        <v>61</v>
      </c>
      <c r="P1021" s="13">
        <v>61</v>
      </c>
      <c r="Q1021" s="13">
        <v>61</v>
      </c>
      <c r="R1021" s="13">
        <v>61</v>
      </c>
      <c r="S1021" s="13">
        <v>61</v>
      </c>
      <c r="T1021" s="13">
        <v>61</v>
      </c>
      <c r="U1021" s="13">
        <v>61</v>
      </c>
      <c r="V1021" s="13">
        <v>61</v>
      </c>
      <c r="W1021" s="13">
        <v>61</v>
      </c>
    </row>
    <row r="1022" spans="1:23" ht="12.75">
      <c r="A1022" s="5"/>
      <c r="B1022" s="2" t="b">
        <f t="array" aca="1" ref="B1022" ca="1">IF(COUNTA(B1017:B1021)=COUNTA(UNIQUE(B1017:B1021)), "no duplicate numbers")</f>
        <v>0</v>
      </c>
    </row>
    <row r="1023" spans="1:23" ht="12.75">
      <c r="A1023" s="5"/>
      <c r="C1023" s="2">
        <f t="array" ref="C1023:W1024">C1020:W1021/B1020:B1021</f>
        <v>1</v>
      </c>
      <c r="D1023" s="2">
        <v>1</v>
      </c>
      <c r="E1023" s="2">
        <v>1</v>
      </c>
      <c r="F1023" s="2">
        <v>1</v>
      </c>
      <c r="G1023" s="2">
        <v>1</v>
      </c>
      <c r="H1023" s="2">
        <v>1</v>
      </c>
      <c r="I1023" s="2">
        <v>0.86178861788617889</v>
      </c>
      <c r="J1023" s="2">
        <v>0.72357723577235777</v>
      </c>
      <c r="K1023" s="2">
        <v>0.58536585365853655</v>
      </c>
      <c r="L1023" s="2">
        <v>0.50406504065040647</v>
      </c>
      <c r="M1023" s="2">
        <v>0.49593495934959347</v>
      </c>
      <c r="N1023" s="2">
        <v>0.49593495934959347</v>
      </c>
      <c r="O1023" s="2">
        <v>0.49593495934959347</v>
      </c>
      <c r="P1023" s="2">
        <v>0.49593495934959347</v>
      </c>
      <c r="Q1023" s="2">
        <v>0.49593495934959347</v>
      </c>
      <c r="R1023" s="2">
        <v>0.49593495934959347</v>
      </c>
      <c r="S1023" s="2">
        <v>0.49593495934959347</v>
      </c>
      <c r="T1023" s="2">
        <v>0.49593495934959347</v>
      </c>
      <c r="U1023" s="2">
        <v>0.49593495934959347</v>
      </c>
      <c r="V1023" s="2">
        <v>0.49593495934959347</v>
      </c>
      <c r="W1023" s="2">
        <v>0.49593495934959347</v>
      </c>
    </row>
    <row r="1024" spans="1:23" ht="12.75">
      <c r="A1024" s="5"/>
      <c r="C1024" s="2">
        <v>1</v>
      </c>
      <c r="D1024" s="2">
        <v>1</v>
      </c>
      <c r="E1024" s="2">
        <v>1</v>
      </c>
      <c r="F1024" s="2">
        <v>1</v>
      </c>
      <c r="G1024" s="2">
        <v>1</v>
      </c>
      <c r="H1024" s="2">
        <v>1</v>
      </c>
      <c r="I1024" s="2">
        <v>0.86065573770491799</v>
      </c>
      <c r="J1024" s="2">
        <v>0.72131147540983609</v>
      </c>
      <c r="K1024" s="2">
        <v>0.5901639344262295</v>
      </c>
      <c r="L1024" s="2">
        <v>0.5</v>
      </c>
      <c r="M1024" s="2">
        <v>0.5</v>
      </c>
      <c r="N1024" s="2">
        <v>0.5</v>
      </c>
      <c r="O1024" s="2">
        <v>0.5</v>
      </c>
      <c r="P1024" s="2">
        <v>0.5</v>
      </c>
      <c r="Q1024" s="2">
        <v>0.5</v>
      </c>
      <c r="R1024" s="2">
        <v>0.5</v>
      </c>
      <c r="S1024" s="2">
        <v>0.5</v>
      </c>
      <c r="T1024" s="2">
        <v>0.5</v>
      </c>
      <c r="U1024" s="2">
        <v>0.5</v>
      </c>
      <c r="V1024" s="2">
        <v>0.5</v>
      </c>
      <c r="W1024" s="2">
        <v>0.5</v>
      </c>
    </row>
    <row r="1025" spans="1:23" ht="12.75">
      <c r="A1025" s="5"/>
    </row>
    <row r="1026" spans="1:23" ht="15">
      <c r="A1026" s="42" t="s">
        <v>117</v>
      </c>
      <c r="B1026" s="15" t="s">
        <v>24</v>
      </c>
      <c r="C1026" s="15" t="s">
        <v>25</v>
      </c>
      <c r="D1026" s="15" t="s">
        <v>26</v>
      </c>
      <c r="E1026" s="15" t="s">
        <v>27</v>
      </c>
      <c r="F1026" s="43" t="s">
        <v>28</v>
      </c>
      <c r="G1026" s="43" t="s">
        <v>74</v>
      </c>
      <c r="H1026" s="43" t="s">
        <v>75</v>
      </c>
      <c r="I1026" s="43" t="s">
        <v>76</v>
      </c>
      <c r="J1026" s="43" t="s">
        <v>77</v>
      </c>
      <c r="K1026" s="43" t="s">
        <v>78</v>
      </c>
      <c r="L1026" s="43" t="s">
        <v>79</v>
      </c>
      <c r="M1026" s="43" t="s">
        <v>80</v>
      </c>
      <c r="N1026" s="15" t="s">
        <v>81</v>
      </c>
      <c r="O1026" s="15" t="s">
        <v>82</v>
      </c>
      <c r="P1026" s="15" t="s">
        <v>83</v>
      </c>
      <c r="Q1026" s="15" t="s">
        <v>84</v>
      </c>
      <c r="R1026" s="15" t="s">
        <v>85</v>
      </c>
      <c r="S1026" s="15" t="s">
        <v>86</v>
      </c>
      <c r="T1026" s="15" t="s">
        <v>87</v>
      </c>
      <c r="U1026" s="15" t="s">
        <v>88</v>
      </c>
      <c r="V1026" s="15" t="s">
        <v>89</v>
      </c>
      <c r="W1026" s="15" t="s">
        <v>90</v>
      </c>
    </row>
    <row r="1027" spans="1:23" ht="12.75">
      <c r="A1027" s="42" t="s">
        <v>5</v>
      </c>
      <c r="B1027" s="18">
        <v>1</v>
      </c>
      <c r="C1027" s="18">
        <f t="shared" ref="C1027:F1027" si="43">AVERAGE(C1034:C1035)</f>
        <v>1</v>
      </c>
      <c r="D1027" s="18">
        <f t="shared" si="43"/>
        <v>1</v>
      </c>
      <c r="E1027" s="18">
        <f t="shared" si="43"/>
        <v>1</v>
      </c>
      <c r="F1027" s="18">
        <f t="shared" si="43"/>
        <v>1</v>
      </c>
      <c r="G1027" s="18">
        <f t="shared" ref="G1027:W1027" si="44">AVERAGE(G1034:G1037)</f>
        <v>0.964119066773934</v>
      </c>
      <c r="H1027" s="18">
        <f t="shared" si="44"/>
        <v>0.91926790024135152</v>
      </c>
      <c r="I1027" s="18">
        <f t="shared" si="44"/>
        <v>0.84750603378921963</v>
      </c>
      <c r="J1027" s="18">
        <f t="shared" si="44"/>
        <v>0.76677393403057126</v>
      </c>
      <c r="K1027" s="18">
        <f t="shared" si="44"/>
        <v>0.69501206757843925</v>
      </c>
      <c r="L1027" s="18">
        <f t="shared" si="44"/>
        <v>0.6188254223652454</v>
      </c>
      <c r="M1027" s="18">
        <f t="shared" si="44"/>
        <v>0.60543041029766698</v>
      </c>
      <c r="N1027" s="18">
        <f t="shared" si="44"/>
        <v>0.60543041029766698</v>
      </c>
      <c r="O1027" s="18">
        <f t="shared" si="44"/>
        <v>0.60088495575221246</v>
      </c>
      <c r="P1027" s="18">
        <f t="shared" si="44"/>
        <v>0.59646017699115039</v>
      </c>
      <c r="Q1027" s="18">
        <f t="shared" si="44"/>
        <v>0.59646017699115039</v>
      </c>
      <c r="R1027" s="18">
        <f t="shared" si="44"/>
        <v>0.59191472244569598</v>
      </c>
      <c r="S1027" s="18">
        <f t="shared" si="44"/>
        <v>0.58748994368463392</v>
      </c>
      <c r="T1027" s="18">
        <f t="shared" si="44"/>
        <v>0.58748994368463392</v>
      </c>
      <c r="U1027" s="18">
        <f t="shared" si="44"/>
        <v>0.57839903459372488</v>
      </c>
      <c r="V1027" s="18">
        <f t="shared" si="44"/>
        <v>0.57397425583266293</v>
      </c>
      <c r="W1027" s="18">
        <f t="shared" si="44"/>
        <v>0.57397425583266293</v>
      </c>
    </row>
    <row r="1028" spans="1:23" ht="12.75">
      <c r="A1028" s="109" t="s">
        <v>55</v>
      </c>
      <c r="B1028" s="58">
        <v>116</v>
      </c>
      <c r="C1028" s="58">
        <v>116</v>
      </c>
      <c r="D1028" s="58">
        <v>116</v>
      </c>
      <c r="E1028" s="58">
        <v>116</v>
      </c>
      <c r="F1028" s="58">
        <v>116</v>
      </c>
      <c r="G1028" s="58">
        <v>111</v>
      </c>
      <c r="H1028" s="58">
        <v>107</v>
      </c>
      <c r="I1028" s="58">
        <v>98</v>
      </c>
      <c r="J1028" s="58">
        <v>89</v>
      </c>
      <c r="K1028" s="58">
        <v>81</v>
      </c>
      <c r="L1028" s="58">
        <v>72</v>
      </c>
      <c r="M1028" s="58">
        <v>71</v>
      </c>
      <c r="N1028" s="58">
        <v>71</v>
      </c>
      <c r="O1028" s="58">
        <v>70</v>
      </c>
      <c r="P1028" s="58">
        <v>70</v>
      </c>
      <c r="Q1028" s="58">
        <v>70</v>
      </c>
      <c r="R1028" s="58">
        <v>68</v>
      </c>
      <c r="S1028" s="58">
        <v>68</v>
      </c>
      <c r="T1028" s="58">
        <v>68</v>
      </c>
      <c r="U1028" s="58">
        <v>67</v>
      </c>
      <c r="V1028" s="58">
        <v>67</v>
      </c>
      <c r="W1028" s="58">
        <v>67</v>
      </c>
    </row>
    <row r="1029" spans="1:23" ht="12.75">
      <c r="A1029" s="246" t="s">
        <v>61</v>
      </c>
      <c r="B1029" s="13">
        <v>113</v>
      </c>
      <c r="C1029" s="13">
        <v>113</v>
      </c>
      <c r="D1029" s="13">
        <v>113</v>
      </c>
      <c r="E1029" s="13">
        <v>113</v>
      </c>
      <c r="F1029" s="13">
        <v>113</v>
      </c>
      <c r="G1029" s="13">
        <v>109</v>
      </c>
      <c r="H1029" s="13">
        <v>104</v>
      </c>
      <c r="I1029" s="13">
        <v>96</v>
      </c>
      <c r="J1029" s="13">
        <v>87</v>
      </c>
      <c r="K1029" s="13">
        <v>79</v>
      </c>
      <c r="L1029" s="13">
        <v>70</v>
      </c>
      <c r="M1029" s="13">
        <v>68</v>
      </c>
      <c r="N1029" s="13">
        <v>68</v>
      </c>
      <c r="O1029" s="13">
        <v>68</v>
      </c>
      <c r="P1029" s="13">
        <v>67</v>
      </c>
      <c r="Q1029" s="13">
        <v>67</v>
      </c>
      <c r="R1029" s="13">
        <v>67</v>
      </c>
      <c r="S1029" s="13">
        <v>66</v>
      </c>
      <c r="T1029" s="13">
        <v>66</v>
      </c>
      <c r="U1029" s="13">
        <v>66</v>
      </c>
      <c r="V1029" s="13">
        <v>65</v>
      </c>
      <c r="W1029" s="13">
        <v>65</v>
      </c>
    </row>
    <row r="1030" spans="1:23" ht="12.75">
      <c r="A1030" s="246" t="s">
        <v>326</v>
      </c>
      <c r="B1030" s="13">
        <v>110</v>
      </c>
      <c r="C1030" s="13">
        <v>110</v>
      </c>
      <c r="D1030" s="13">
        <v>110</v>
      </c>
      <c r="E1030" s="13">
        <v>110</v>
      </c>
      <c r="F1030" s="13">
        <v>110</v>
      </c>
      <c r="G1030" s="13">
        <v>106</v>
      </c>
      <c r="H1030" s="13">
        <v>101</v>
      </c>
      <c r="I1030" s="13">
        <v>93</v>
      </c>
      <c r="J1030" s="13">
        <v>84</v>
      </c>
      <c r="K1030" s="13">
        <v>76</v>
      </c>
      <c r="L1030" s="13">
        <v>68</v>
      </c>
      <c r="M1030" s="13">
        <v>67</v>
      </c>
      <c r="N1030" s="13">
        <v>67</v>
      </c>
      <c r="O1030" s="13">
        <v>66</v>
      </c>
      <c r="P1030" s="13">
        <v>66</v>
      </c>
      <c r="Q1030" s="13">
        <v>66</v>
      </c>
      <c r="R1030" s="13">
        <v>65</v>
      </c>
      <c r="S1030" s="13">
        <v>65</v>
      </c>
      <c r="T1030" s="13">
        <v>65</v>
      </c>
      <c r="U1030" s="13">
        <v>63</v>
      </c>
      <c r="V1030" s="13">
        <v>63</v>
      </c>
      <c r="W1030" s="13">
        <v>63</v>
      </c>
    </row>
    <row r="1031" spans="1:23" ht="12.75">
      <c r="A1031" s="242" t="s">
        <v>401</v>
      </c>
      <c r="B1031" s="241">
        <v>109</v>
      </c>
      <c r="C1031" s="241">
        <v>109</v>
      </c>
      <c r="D1031" s="241">
        <v>109</v>
      </c>
      <c r="E1031" s="241">
        <v>109</v>
      </c>
      <c r="F1031" s="241">
        <v>109</v>
      </c>
      <c r="G1031" s="241">
        <v>105</v>
      </c>
      <c r="H1031" s="241">
        <v>100</v>
      </c>
      <c r="I1031" s="241">
        <v>92</v>
      </c>
      <c r="J1031" s="241">
        <v>84</v>
      </c>
      <c r="K1031" s="241">
        <v>75</v>
      </c>
      <c r="L1031" s="241">
        <v>67</v>
      </c>
      <c r="M1031" s="241">
        <v>66</v>
      </c>
      <c r="N1031" s="241">
        <v>66</v>
      </c>
      <c r="O1031" s="241">
        <v>66</v>
      </c>
      <c r="P1031" s="241">
        <v>65</v>
      </c>
      <c r="Q1031" s="241">
        <v>65</v>
      </c>
      <c r="R1031" s="241">
        <v>65</v>
      </c>
      <c r="S1031" s="241">
        <v>63</v>
      </c>
      <c r="T1031" s="241">
        <v>63</v>
      </c>
      <c r="U1031" s="241">
        <v>63</v>
      </c>
      <c r="V1031" s="241">
        <v>63</v>
      </c>
      <c r="W1031" s="241">
        <v>62</v>
      </c>
    </row>
    <row r="1032" spans="1:23" ht="12.75">
      <c r="A1032" s="109" t="s">
        <v>402</v>
      </c>
      <c r="B1032" s="58">
        <v>106</v>
      </c>
      <c r="C1032" s="58">
        <v>106</v>
      </c>
      <c r="D1032" s="58">
        <v>106</v>
      </c>
      <c r="E1032" s="58">
        <v>106</v>
      </c>
      <c r="F1032" s="58">
        <v>106</v>
      </c>
      <c r="G1032" s="58">
        <v>102</v>
      </c>
      <c r="H1032" s="58">
        <v>98</v>
      </c>
      <c r="I1032" s="58">
        <v>89</v>
      </c>
      <c r="J1032" s="58">
        <v>81</v>
      </c>
      <c r="K1032" s="58">
        <v>74</v>
      </c>
      <c r="L1032" s="58">
        <v>66</v>
      </c>
      <c r="M1032" s="58">
        <v>65</v>
      </c>
      <c r="N1032" s="58">
        <v>65</v>
      </c>
      <c r="O1032" s="58">
        <v>63</v>
      </c>
      <c r="P1032" s="58">
        <v>63</v>
      </c>
      <c r="Q1032" s="58">
        <v>63</v>
      </c>
      <c r="R1032" s="58">
        <v>63</v>
      </c>
      <c r="S1032" s="58">
        <v>62</v>
      </c>
      <c r="T1032" s="58">
        <v>62</v>
      </c>
      <c r="U1032" s="58">
        <v>62</v>
      </c>
      <c r="V1032" s="58">
        <v>61</v>
      </c>
      <c r="W1032" s="58">
        <v>61</v>
      </c>
    </row>
    <row r="1033" spans="1:23" ht="12.75">
      <c r="A1033" s="5"/>
      <c r="B1033" s="2" t="b">
        <f t="array" aca="1" ref="B1033" ca="1">IF(COUNTA(B1029:B1030)=COUNTA(UNIQUE(B1029:B1030)), "no duplicate numbers")</f>
        <v>0</v>
      </c>
    </row>
    <row r="1034" spans="1:23" ht="12.75">
      <c r="A1034" s="5"/>
      <c r="C1034" s="2">
        <f t="array" ref="C1034:W1035">C1029:W1030/B1029:B1030</f>
        <v>1</v>
      </c>
      <c r="D1034" s="2">
        <v>1</v>
      </c>
      <c r="E1034" s="2">
        <v>1</v>
      </c>
      <c r="F1034" s="2">
        <v>1</v>
      </c>
      <c r="G1034" s="2">
        <v>0.96460176991150437</v>
      </c>
      <c r="H1034" s="2">
        <v>0.92035398230088494</v>
      </c>
      <c r="I1034" s="2">
        <v>0.84955752212389379</v>
      </c>
      <c r="J1034" s="2">
        <v>0.76991150442477874</v>
      </c>
      <c r="K1034" s="2">
        <v>0.69911504424778759</v>
      </c>
      <c r="L1034" s="2">
        <v>0.61946902654867253</v>
      </c>
      <c r="M1034" s="2">
        <v>0.60176991150442483</v>
      </c>
      <c r="N1034" s="2">
        <v>0.60176991150442483</v>
      </c>
      <c r="O1034" s="2">
        <v>0.60176991150442483</v>
      </c>
      <c r="P1034" s="2">
        <v>0.59292035398230092</v>
      </c>
      <c r="Q1034" s="2">
        <v>0.59292035398230092</v>
      </c>
      <c r="R1034" s="2">
        <v>0.59292035398230092</v>
      </c>
      <c r="S1034" s="2">
        <v>0.58407079646017701</v>
      </c>
      <c r="T1034" s="2">
        <v>0.58407079646017701</v>
      </c>
      <c r="U1034" s="2">
        <v>0.58407079646017701</v>
      </c>
      <c r="V1034" s="2">
        <v>0.5752212389380531</v>
      </c>
      <c r="W1034" s="2">
        <v>0.5752212389380531</v>
      </c>
    </row>
    <row r="1035" spans="1:23" ht="12.75">
      <c r="A1035" s="5"/>
      <c r="C1035" s="2">
        <v>1</v>
      </c>
      <c r="D1035" s="2">
        <v>1</v>
      </c>
      <c r="E1035" s="2">
        <v>1</v>
      </c>
      <c r="F1035" s="2">
        <v>1</v>
      </c>
      <c r="G1035" s="2">
        <v>0.96363636363636362</v>
      </c>
      <c r="H1035" s="2">
        <v>0.91818181818181821</v>
      </c>
      <c r="I1035" s="2">
        <v>0.84545454545454546</v>
      </c>
      <c r="J1035" s="2">
        <v>0.76363636363636367</v>
      </c>
      <c r="K1035" s="2">
        <v>0.69090909090909092</v>
      </c>
      <c r="L1035" s="2">
        <v>0.61818181818181817</v>
      </c>
      <c r="M1035" s="2">
        <v>0.60909090909090913</v>
      </c>
      <c r="N1035" s="2">
        <v>0.60909090909090913</v>
      </c>
      <c r="O1035" s="2">
        <v>0.6</v>
      </c>
      <c r="P1035" s="2">
        <v>0.6</v>
      </c>
      <c r="Q1035" s="2">
        <v>0.6</v>
      </c>
      <c r="R1035" s="2">
        <v>0.59090909090909094</v>
      </c>
      <c r="S1035" s="2">
        <v>0.59090909090909094</v>
      </c>
      <c r="T1035" s="2">
        <v>0.59090909090909094</v>
      </c>
      <c r="U1035" s="2">
        <v>0.57272727272727275</v>
      </c>
      <c r="V1035" s="2">
        <v>0.57272727272727275</v>
      </c>
      <c r="W1035" s="2">
        <v>0.57272727272727275</v>
      </c>
    </row>
    <row r="1036" spans="1:23" ht="12.75">
      <c r="A1036" s="5"/>
    </row>
    <row r="1037" spans="1:23" ht="12.75">
      <c r="A1037" s="5"/>
    </row>
    <row r="1038" spans="1:23" ht="15">
      <c r="A1038" s="50" t="s">
        <v>413</v>
      </c>
      <c r="B1038" s="15" t="s">
        <v>24</v>
      </c>
      <c r="C1038" s="15" t="s">
        <v>25</v>
      </c>
      <c r="D1038" s="15" t="s">
        <v>26</v>
      </c>
      <c r="E1038" s="15" t="s">
        <v>27</v>
      </c>
      <c r="F1038" s="43" t="s">
        <v>28</v>
      </c>
      <c r="G1038" s="43" t="s">
        <v>74</v>
      </c>
      <c r="H1038" s="43" t="s">
        <v>75</v>
      </c>
      <c r="I1038" s="43" t="s">
        <v>76</v>
      </c>
      <c r="J1038" s="43" t="s">
        <v>77</v>
      </c>
      <c r="K1038" s="43" t="s">
        <v>78</v>
      </c>
      <c r="L1038" s="43" t="s">
        <v>79</v>
      </c>
      <c r="M1038" s="43" t="s">
        <v>80</v>
      </c>
      <c r="N1038" s="15" t="s">
        <v>81</v>
      </c>
      <c r="O1038" s="15" t="s">
        <v>82</v>
      </c>
      <c r="P1038" s="15" t="s">
        <v>83</v>
      </c>
      <c r="Q1038" s="15" t="s">
        <v>84</v>
      </c>
      <c r="R1038" s="15" t="s">
        <v>85</v>
      </c>
      <c r="S1038" s="15" t="s">
        <v>86</v>
      </c>
      <c r="T1038" s="15" t="s">
        <v>87</v>
      </c>
      <c r="U1038" s="15" t="s">
        <v>88</v>
      </c>
      <c r="V1038" s="15" t="s">
        <v>89</v>
      </c>
      <c r="W1038" s="15" t="s">
        <v>90</v>
      </c>
    </row>
    <row r="1039" spans="1:23" ht="12.75">
      <c r="A1039" s="42" t="s">
        <v>62</v>
      </c>
      <c r="B1039" s="18">
        <v>1</v>
      </c>
      <c r="C1039" s="18">
        <f t="shared" ref="C1039:W1039" si="45">AVERAGE(C1041)</f>
        <v>1</v>
      </c>
      <c r="D1039" s="18">
        <f t="shared" si="45"/>
        <v>1</v>
      </c>
      <c r="E1039" s="18">
        <f t="shared" si="45"/>
        <v>0.90384615384615385</v>
      </c>
      <c r="F1039" s="18">
        <f t="shared" si="45"/>
        <v>0.81730769230769229</v>
      </c>
      <c r="G1039" s="18">
        <f t="shared" si="45"/>
        <v>0.75</v>
      </c>
      <c r="H1039" s="18">
        <f t="shared" si="45"/>
        <v>0.65384615384615385</v>
      </c>
      <c r="I1039" s="18">
        <f t="shared" si="45"/>
        <v>0.48076923076923078</v>
      </c>
      <c r="J1039" s="18">
        <f t="shared" si="45"/>
        <v>0.44230769230769229</v>
      </c>
      <c r="K1039" s="18">
        <f t="shared" si="45"/>
        <v>0.44230769230769229</v>
      </c>
      <c r="L1039" s="18">
        <f t="shared" si="45"/>
        <v>0.44230769230769229</v>
      </c>
      <c r="M1039" s="18">
        <f t="shared" si="45"/>
        <v>0.44230769230769229</v>
      </c>
      <c r="N1039" s="18">
        <f t="shared" si="45"/>
        <v>0.44230769230769229</v>
      </c>
      <c r="O1039" s="18">
        <f t="shared" si="45"/>
        <v>0.44230769230769229</v>
      </c>
      <c r="P1039" s="18">
        <f t="shared" si="45"/>
        <v>0.44230769230769229</v>
      </c>
      <c r="Q1039" s="18">
        <f t="shared" si="45"/>
        <v>0.44230769230769229</v>
      </c>
      <c r="R1039" s="18">
        <f t="shared" si="45"/>
        <v>0.44230769230769229</v>
      </c>
      <c r="S1039" s="18">
        <f t="shared" si="45"/>
        <v>0.44230769230769229</v>
      </c>
      <c r="T1039" s="18">
        <f t="shared" si="45"/>
        <v>0.44230769230769229</v>
      </c>
      <c r="U1039" s="18">
        <f t="shared" si="45"/>
        <v>0.44230769230769229</v>
      </c>
      <c r="V1039" s="18">
        <f t="shared" si="45"/>
        <v>0.44230769230769229</v>
      </c>
      <c r="W1039" s="18">
        <f t="shared" si="45"/>
        <v>0.44230769230769229</v>
      </c>
    </row>
    <row r="1040" spans="1:23" ht="14.25">
      <c r="A1040" s="253" t="s">
        <v>460</v>
      </c>
      <c r="B1040" s="280">
        <v>104</v>
      </c>
      <c r="C1040" s="280">
        <v>104</v>
      </c>
      <c r="D1040" s="280">
        <v>104</v>
      </c>
      <c r="E1040" s="280">
        <v>94</v>
      </c>
      <c r="F1040" s="280">
        <v>85</v>
      </c>
      <c r="G1040" s="280">
        <v>78</v>
      </c>
      <c r="H1040" s="280">
        <v>68</v>
      </c>
      <c r="I1040" s="281">
        <v>50</v>
      </c>
      <c r="J1040" s="281">
        <v>46</v>
      </c>
      <c r="K1040" s="281">
        <v>46</v>
      </c>
      <c r="L1040" s="281">
        <v>46</v>
      </c>
      <c r="M1040" s="281">
        <v>46</v>
      </c>
      <c r="N1040" s="281">
        <v>46</v>
      </c>
      <c r="O1040" s="281">
        <v>46</v>
      </c>
      <c r="P1040" s="281">
        <v>46</v>
      </c>
      <c r="Q1040" s="281">
        <v>46</v>
      </c>
      <c r="R1040" s="281">
        <v>46</v>
      </c>
      <c r="S1040" s="281">
        <v>46</v>
      </c>
      <c r="T1040" s="281">
        <v>46</v>
      </c>
      <c r="U1040" s="281">
        <v>46</v>
      </c>
      <c r="V1040" s="281">
        <v>46</v>
      </c>
      <c r="W1040" s="281">
        <v>46</v>
      </c>
    </row>
    <row r="1041" spans="1:23" ht="14.25">
      <c r="A1041" s="254"/>
      <c r="C1041" s="133">
        <f t="array" ref="C1041:W1041">C1040:W1040/B1040</f>
        <v>1</v>
      </c>
      <c r="D1041" s="133">
        <v>1</v>
      </c>
      <c r="E1041" s="133">
        <v>0.90384615384615385</v>
      </c>
      <c r="F1041" s="133">
        <v>0.81730769230769229</v>
      </c>
      <c r="G1041" s="133">
        <v>0.75</v>
      </c>
      <c r="H1041" s="133">
        <v>0.65384615384615385</v>
      </c>
      <c r="I1041" s="133">
        <v>0.48076923076923078</v>
      </c>
      <c r="J1041" s="133">
        <v>0.44230769230769229</v>
      </c>
      <c r="K1041" s="133">
        <v>0.44230769230769229</v>
      </c>
      <c r="L1041" s="133">
        <v>0.44230769230769229</v>
      </c>
      <c r="M1041" s="133">
        <v>0.44230769230769229</v>
      </c>
      <c r="N1041" s="133">
        <v>0.44230769230769229</v>
      </c>
      <c r="O1041" s="133">
        <v>0.44230769230769229</v>
      </c>
      <c r="P1041" s="133">
        <v>0.44230769230769229</v>
      </c>
      <c r="Q1041" s="133">
        <v>0.44230769230769229</v>
      </c>
      <c r="R1041" s="133">
        <v>0.44230769230769229</v>
      </c>
      <c r="S1041" s="133">
        <v>0.44230769230769229</v>
      </c>
      <c r="T1041" s="133">
        <v>0.44230769230769229</v>
      </c>
      <c r="U1041" s="133">
        <v>0.44230769230769229</v>
      </c>
      <c r="V1041" s="133">
        <v>0.44230769230769229</v>
      </c>
      <c r="W1041" s="133">
        <v>0.44230769230769229</v>
      </c>
    </row>
    <row r="1042" spans="1:23" ht="15">
      <c r="A1042" s="50" t="s">
        <v>413</v>
      </c>
      <c r="B1042" s="15" t="s">
        <v>24</v>
      </c>
      <c r="C1042" s="15" t="s">
        <v>25</v>
      </c>
      <c r="D1042" s="15" t="s">
        <v>26</v>
      </c>
      <c r="E1042" s="15" t="s">
        <v>27</v>
      </c>
      <c r="F1042" s="43" t="s">
        <v>28</v>
      </c>
      <c r="G1042" s="43" t="s">
        <v>74</v>
      </c>
      <c r="H1042" s="43" t="s">
        <v>75</v>
      </c>
      <c r="I1042" s="43" t="s">
        <v>76</v>
      </c>
      <c r="J1042" s="43" t="s">
        <v>77</v>
      </c>
      <c r="K1042" s="43" t="s">
        <v>78</v>
      </c>
      <c r="L1042" s="43" t="s">
        <v>79</v>
      </c>
      <c r="M1042" s="43" t="s">
        <v>80</v>
      </c>
      <c r="N1042" s="15" t="s">
        <v>81</v>
      </c>
      <c r="O1042" s="15" t="s">
        <v>82</v>
      </c>
      <c r="P1042" s="15" t="s">
        <v>83</v>
      </c>
      <c r="Q1042" s="15" t="s">
        <v>84</v>
      </c>
      <c r="R1042" s="15" t="s">
        <v>85</v>
      </c>
      <c r="S1042" s="15" t="s">
        <v>86</v>
      </c>
      <c r="T1042" s="15" t="s">
        <v>87</v>
      </c>
      <c r="U1042" s="15" t="s">
        <v>88</v>
      </c>
      <c r="V1042" s="15" t="s">
        <v>89</v>
      </c>
      <c r="W1042" s="15" t="s">
        <v>90</v>
      </c>
    </row>
    <row r="1043" spans="1:23" ht="12.75">
      <c r="A1043" s="42" t="s">
        <v>54</v>
      </c>
      <c r="B1043" s="18">
        <v>1</v>
      </c>
      <c r="C1043" s="18">
        <f t="shared" ref="C1043:W1043" si="46">AVERAGE(C1048:C1050)</f>
        <v>1</v>
      </c>
      <c r="D1043" s="18">
        <f t="shared" si="46"/>
        <v>1</v>
      </c>
      <c r="E1043" s="18">
        <f t="shared" si="46"/>
        <v>1</v>
      </c>
      <c r="F1043" s="18">
        <f t="shared" si="46"/>
        <v>1</v>
      </c>
      <c r="G1043" s="18">
        <f t="shared" si="46"/>
        <v>0.91981994925596577</v>
      </c>
      <c r="H1043" s="18">
        <f t="shared" si="46"/>
        <v>0.82864882817095553</v>
      </c>
      <c r="I1043" s="18">
        <f t="shared" si="46"/>
        <v>0.66022163295009817</v>
      </c>
      <c r="J1043" s="18">
        <f t="shared" si="46"/>
        <v>0.48914739819699388</v>
      </c>
      <c r="K1043" s="18">
        <f t="shared" si="46"/>
        <v>0.45194985564915191</v>
      </c>
      <c r="L1043" s="18">
        <f t="shared" si="46"/>
        <v>0.45194985564915191</v>
      </c>
      <c r="M1043" s="18">
        <f t="shared" si="46"/>
        <v>0.45194985564915191</v>
      </c>
      <c r="N1043" s="18">
        <f t="shared" si="46"/>
        <v>0.45194985564915191</v>
      </c>
      <c r="O1043" s="18">
        <f t="shared" si="46"/>
        <v>0.45194985564915191</v>
      </c>
      <c r="P1043" s="18">
        <f t="shared" si="46"/>
        <v>0.45194985564915191</v>
      </c>
      <c r="Q1043" s="18">
        <f t="shared" si="46"/>
        <v>0.45194985564915191</v>
      </c>
      <c r="R1043" s="18">
        <f t="shared" si="46"/>
        <v>0.45194985564915191</v>
      </c>
      <c r="S1043" s="18">
        <f t="shared" si="46"/>
        <v>0.45194985564915191</v>
      </c>
      <c r="T1043" s="18">
        <f t="shared" si="46"/>
        <v>0.45194985564915191</v>
      </c>
      <c r="U1043" s="18">
        <f t="shared" si="46"/>
        <v>0.45194985564915191</v>
      </c>
      <c r="V1043" s="18">
        <f t="shared" si="46"/>
        <v>0.45194985564915191</v>
      </c>
      <c r="W1043" s="18">
        <f t="shared" si="46"/>
        <v>0.45194985564915191</v>
      </c>
    </row>
    <row r="1044" spans="1:23" ht="12.75">
      <c r="A1044" s="109" t="s">
        <v>461</v>
      </c>
      <c r="B1044" s="58">
        <v>137</v>
      </c>
      <c r="C1044" s="58">
        <v>137</v>
      </c>
      <c r="D1044" s="58">
        <v>137</v>
      </c>
      <c r="E1044" s="58">
        <v>137</v>
      </c>
      <c r="F1044" s="58">
        <v>137</v>
      </c>
      <c r="G1044" s="58">
        <v>126</v>
      </c>
      <c r="H1044" s="58">
        <v>114</v>
      </c>
      <c r="I1044" s="58">
        <v>91</v>
      </c>
      <c r="J1044" s="58">
        <v>67</v>
      </c>
      <c r="K1044" s="58">
        <v>62</v>
      </c>
      <c r="L1044" s="58">
        <v>62</v>
      </c>
      <c r="M1044" s="58">
        <v>62</v>
      </c>
      <c r="N1044" s="58">
        <v>62</v>
      </c>
      <c r="O1044" s="58">
        <v>62</v>
      </c>
      <c r="P1044" s="58">
        <v>62</v>
      </c>
      <c r="Q1044" s="58">
        <v>62</v>
      </c>
      <c r="R1044" s="58">
        <v>62</v>
      </c>
      <c r="S1044" s="58">
        <v>62</v>
      </c>
      <c r="T1044" s="58">
        <v>62</v>
      </c>
      <c r="U1044" s="58">
        <v>62</v>
      </c>
      <c r="V1044" s="58">
        <v>62</v>
      </c>
      <c r="W1044" s="58">
        <v>62</v>
      </c>
    </row>
    <row r="1045" spans="1:23" ht="12.75">
      <c r="A1045" s="246" t="s">
        <v>142</v>
      </c>
      <c r="B1045" s="13">
        <v>123</v>
      </c>
      <c r="C1045" s="13">
        <v>123</v>
      </c>
      <c r="D1045" s="13">
        <v>123</v>
      </c>
      <c r="E1045" s="13">
        <v>123</v>
      </c>
      <c r="F1045" s="13">
        <v>123</v>
      </c>
      <c r="G1045" s="13">
        <v>113</v>
      </c>
      <c r="H1045" s="13">
        <v>102</v>
      </c>
      <c r="I1045" s="13">
        <v>81</v>
      </c>
      <c r="J1045" s="13">
        <v>61</v>
      </c>
      <c r="K1045" s="13">
        <v>55</v>
      </c>
      <c r="L1045" s="13">
        <v>55</v>
      </c>
      <c r="M1045" s="13">
        <v>55</v>
      </c>
      <c r="N1045" s="13">
        <v>55</v>
      </c>
      <c r="O1045" s="13">
        <v>55</v>
      </c>
      <c r="P1045" s="13">
        <v>55</v>
      </c>
      <c r="Q1045" s="13">
        <v>55</v>
      </c>
      <c r="R1045" s="13">
        <v>55</v>
      </c>
      <c r="S1045" s="13">
        <v>55</v>
      </c>
      <c r="T1045" s="13">
        <v>55</v>
      </c>
      <c r="U1045" s="13">
        <v>55</v>
      </c>
      <c r="V1045" s="13">
        <v>55</v>
      </c>
      <c r="W1045" s="13">
        <v>55</v>
      </c>
    </row>
    <row r="1046" spans="1:23" ht="12.75">
      <c r="A1046" s="246" t="s">
        <v>462</v>
      </c>
      <c r="B1046" s="13">
        <v>114</v>
      </c>
      <c r="C1046" s="13">
        <v>114</v>
      </c>
      <c r="D1046" s="13">
        <v>114</v>
      </c>
      <c r="E1046" s="13">
        <v>114</v>
      </c>
      <c r="F1046" s="13">
        <v>114</v>
      </c>
      <c r="G1046" s="13">
        <v>105</v>
      </c>
      <c r="H1046" s="13">
        <v>94</v>
      </c>
      <c r="I1046" s="13">
        <v>75</v>
      </c>
      <c r="J1046" s="13">
        <v>55</v>
      </c>
      <c r="K1046" s="13">
        <v>52</v>
      </c>
      <c r="L1046" s="13">
        <v>52</v>
      </c>
      <c r="M1046" s="13">
        <v>52</v>
      </c>
      <c r="N1046" s="13">
        <v>52</v>
      </c>
      <c r="O1046" s="13">
        <v>52</v>
      </c>
      <c r="P1046" s="13">
        <v>52</v>
      </c>
      <c r="Q1046" s="13">
        <v>52</v>
      </c>
      <c r="R1046" s="13">
        <v>52</v>
      </c>
      <c r="S1046" s="13">
        <v>52</v>
      </c>
      <c r="T1046" s="13">
        <v>52</v>
      </c>
      <c r="U1046" s="13">
        <v>52</v>
      </c>
      <c r="V1046" s="13">
        <v>52</v>
      </c>
      <c r="W1046" s="13">
        <v>52</v>
      </c>
    </row>
    <row r="1047" spans="1:23" ht="12.75">
      <c r="A1047" s="5"/>
      <c r="B1047" s="2" t="b">
        <f t="array" aca="1" ref="B1047" ca="1">IF(COUNTA(B1045:B1046)=COUNTA(UNIQUE(B1045:B1046)), "no duplicate numbers")</f>
        <v>0</v>
      </c>
    </row>
    <row r="1048" spans="1:23" ht="12.75">
      <c r="A1048" s="5"/>
      <c r="C1048" s="2">
        <f t="array" ref="C1048:W1050">C1044:W1046/B1044:B1046</f>
        <v>1</v>
      </c>
      <c r="D1048" s="2">
        <v>1</v>
      </c>
      <c r="E1048" s="2">
        <v>1</v>
      </c>
      <c r="F1048" s="2">
        <v>1</v>
      </c>
      <c r="G1048" s="2">
        <v>0.91970802919708028</v>
      </c>
      <c r="H1048" s="2">
        <v>0.83211678832116787</v>
      </c>
      <c r="I1048" s="2">
        <v>0.66423357664233573</v>
      </c>
      <c r="J1048" s="2">
        <v>0.48905109489051096</v>
      </c>
      <c r="K1048" s="2">
        <v>0.45255474452554745</v>
      </c>
      <c r="L1048" s="2">
        <v>0.45255474452554745</v>
      </c>
      <c r="M1048" s="2">
        <v>0.45255474452554745</v>
      </c>
      <c r="N1048" s="2">
        <v>0.45255474452554745</v>
      </c>
      <c r="O1048" s="2">
        <v>0.45255474452554745</v>
      </c>
      <c r="P1048" s="2">
        <v>0.45255474452554745</v>
      </c>
      <c r="Q1048" s="2">
        <v>0.45255474452554745</v>
      </c>
      <c r="R1048" s="2">
        <v>0.45255474452554745</v>
      </c>
      <c r="S1048" s="2">
        <v>0.45255474452554745</v>
      </c>
      <c r="T1048" s="2">
        <v>0.45255474452554745</v>
      </c>
      <c r="U1048" s="2">
        <v>0.45255474452554745</v>
      </c>
      <c r="V1048" s="2">
        <v>0.45255474452554745</v>
      </c>
      <c r="W1048" s="2">
        <v>0.45255474452554745</v>
      </c>
    </row>
    <row r="1049" spans="1:23" ht="12.75">
      <c r="A1049" s="5"/>
      <c r="C1049" s="2">
        <v>1</v>
      </c>
      <c r="D1049" s="2">
        <v>1</v>
      </c>
      <c r="E1049" s="2">
        <v>1</v>
      </c>
      <c r="F1049" s="2">
        <v>1</v>
      </c>
      <c r="G1049" s="2">
        <v>0.91869918699186992</v>
      </c>
      <c r="H1049" s="2">
        <v>0.82926829268292679</v>
      </c>
      <c r="I1049" s="2">
        <v>0.65853658536585369</v>
      </c>
      <c r="J1049" s="2">
        <v>0.49593495934959347</v>
      </c>
      <c r="K1049" s="2">
        <v>0.44715447154471544</v>
      </c>
      <c r="L1049" s="2">
        <v>0.44715447154471544</v>
      </c>
      <c r="M1049" s="2">
        <v>0.44715447154471544</v>
      </c>
      <c r="N1049" s="2">
        <v>0.44715447154471544</v>
      </c>
      <c r="O1049" s="2">
        <v>0.44715447154471544</v>
      </c>
      <c r="P1049" s="2">
        <v>0.44715447154471544</v>
      </c>
      <c r="Q1049" s="2">
        <v>0.44715447154471544</v>
      </c>
      <c r="R1049" s="2">
        <v>0.44715447154471544</v>
      </c>
      <c r="S1049" s="2">
        <v>0.44715447154471544</v>
      </c>
      <c r="T1049" s="2">
        <v>0.44715447154471544</v>
      </c>
      <c r="U1049" s="2">
        <v>0.44715447154471544</v>
      </c>
      <c r="V1049" s="2">
        <v>0.44715447154471544</v>
      </c>
      <c r="W1049" s="2">
        <v>0.44715447154471544</v>
      </c>
    </row>
    <row r="1050" spans="1:23" ht="12.75">
      <c r="A1050" s="5"/>
      <c r="C1050" s="2">
        <v>1</v>
      </c>
      <c r="D1050" s="2">
        <v>1</v>
      </c>
      <c r="E1050" s="2">
        <v>1</v>
      </c>
      <c r="F1050" s="2">
        <v>1</v>
      </c>
      <c r="G1050" s="2">
        <v>0.92105263157894735</v>
      </c>
      <c r="H1050" s="2">
        <v>0.82456140350877194</v>
      </c>
      <c r="I1050" s="2">
        <v>0.65789473684210531</v>
      </c>
      <c r="J1050" s="2">
        <v>0.48245614035087719</v>
      </c>
      <c r="K1050" s="2">
        <v>0.45614035087719296</v>
      </c>
      <c r="L1050" s="2">
        <v>0.45614035087719296</v>
      </c>
      <c r="M1050" s="2">
        <v>0.45614035087719296</v>
      </c>
      <c r="N1050" s="2">
        <v>0.45614035087719296</v>
      </c>
      <c r="O1050" s="2">
        <v>0.45614035087719296</v>
      </c>
      <c r="P1050" s="2">
        <v>0.45614035087719296</v>
      </c>
      <c r="Q1050" s="2">
        <v>0.45614035087719296</v>
      </c>
      <c r="R1050" s="2">
        <v>0.45614035087719296</v>
      </c>
      <c r="S1050" s="2">
        <v>0.45614035087719296</v>
      </c>
      <c r="T1050" s="2">
        <v>0.45614035087719296</v>
      </c>
      <c r="U1050" s="2">
        <v>0.45614035087719296</v>
      </c>
      <c r="V1050" s="2">
        <v>0.45614035087719296</v>
      </c>
      <c r="W1050" s="2">
        <v>0.45614035087719296</v>
      </c>
    </row>
    <row r="1051" spans="1:23" ht="15">
      <c r="A1051" s="8" t="s">
        <v>413</v>
      </c>
      <c r="B1051" s="43" t="s">
        <v>24</v>
      </c>
      <c r="C1051" s="43" t="s">
        <v>25</v>
      </c>
      <c r="D1051" s="43" t="s">
        <v>26</v>
      </c>
      <c r="E1051" s="43" t="s">
        <v>27</v>
      </c>
      <c r="F1051" s="43" t="s">
        <v>28</v>
      </c>
      <c r="G1051" s="43" t="s">
        <v>74</v>
      </c>
      <c r="H1051" s="43" t="s">
        <v>75</v>
      </c>
      <c r="I1051" s="43" t="s">
        <v>76</v>
      </c>
      <c r="J1051" s="43" t="s">
        <v>77</v>
      </c>
      <c r="K1051" s="43" t="s">
        <v>78</v>
      </c>
      <c r="L1051" s="43" t="s">
        <v>79</v>
      </c>
      <c r="M1051" s="43" t="s">
        <v>80</v>
      </c>
      <c r="N1051" s="43" t="s">
        <v>81</v>
      </c>
      <c r="O1051" s="43" t="s">
        <v>82</v>
      </c>
      <c r="P1051" s="43" t="s">
        <v>83</v>
      </c>
      <c r="Q1051" s="43" t="s">
        <v>84</v>
      </c>
      <c r="R1051" s="43" t="s">
        <v>85</v>
      </c>
      <c r="S1051" s="43" t="s">
        <v>86</v>
      </c>
      <c r="T1051" s="43" t="s">
        <v>87</v>
      </c>
      <c r="U1051" s="43" t="s">
        <v>88</v>
      </c>
      <c r="V1051" s="43" t="s">
        <v>89</v>
      </c>
      <c r="W1051" s="43" t="s">
        <v>90</v>
      </c>
    </row>
    <row r="1052" spans="1:23" ht="12.75">
      <c r="A1052" s="232" t="s">
        <v>5</v>
      </c>
      <c r="B1052" s="18">
        <v>1</v>
      </c>
      <c r="C1052" s="18">
        <f t="shared" ref="C1052:W1052" si="47">AVERAGE(C1055:C1056)</f>
        <v>1</v>
      </c>
      <c r="D1052" s="18">
        <f t="shared" si="47"/>
        <v>1</v>
      </c>
      <c r="E1052" s="18">
        <f t="shared" si="47"/>
        <v>1</v>
      </c>
      <c r="F1052" s="18">
        <f t="shared" si="47"/>
        <v>1</v>
      </c>
      <c r="G1052" s="18">
        <f t="shared" si="47"/>
        <v>1</v>
      </c>
      <c r="H1052" s="18">
        <f t="shared" si="47"/>
        <v>1</v>
      </c>
      <c r="I1052" s="18">
        <f t="shared" si="47"/>
        <v>0.82879765786146775</v>
      </c>
      <c r="J1052" s="18">
        <f t="shared" si="47"/>
        <v>0.66268547474881889</v>
      </c>
      <c r="K1052" s="18">
        <f t="shared" si="47"/>
        <v>0.49148313261028675</v>
      </c>
      <c r="L1052" s="18">
        <f t="shared" si="47"/>
        <v>0.45941180384589791</v>
      </c>
      <c r="M1052" s="18">
        <f t="shared" si="47"/>
        <v>0.45941180384589791</v>
      </c>
      <c r="N1052" s="18">
        <f t="shared" si="47"/>
        <v>0.45941180384589791</v>
      </c>
      <c r="O1052" s="18">
        <f t="shared" si="47"/>
        <v>0.45941180384589791</v>
      </c>
      <c r="P1052" s="18">
        <f t="shared" si="47"/>
        <v>0.45941180384589791</v>
      </c>
      <c r="Q1052" s="18">
        <f t="shared" si="47"/>
        <v>0.45941180384589791</v>
      </c>
      <c r="R1052" s="18">
        <f t="shared" si="47"/>
        <v>0.45941180384589791</v>
      </c>
      <c r="S1052" s="18">
        <f t="shared" si="47"/>
        <v>0.45941180384589791</v>
      </c>
      <c r="T1052" s="18">
        <f t="shared" si="47"/>
        <v>0.45941180384589791</v>
      </c>
      <c r="U1052" s="18">
        <f t="shared" si="47"/>
        <v>0.45941180384589791</v>
      </c>
      <c r="V1052" s="18">
        <f t="shared" si="47"/>
        <v>0.45941180384589791</v>
      </c>
      <c r="W1052" s="18">
        <f t="shared" si="47"/>
        <v>0.45941180384589791</v>
      </c>
    </row>
    <row r="1053" spans="1:23" ht="12.75">
      <c r="A1053" s="109" t="s">
        <v>334</v>
      </c>
      <c r="B1053" s="58">
        <v>133</v>
      </c>
      <c r="C1053" s="58">
        <v>133</v>
      </c>
      <c r="D1053" s="58">
        <v>133</v>
      </c>
      <c r="E1053" s="58">
        <v>133</v>
      </c>
      <c r="F1053" s="58">
        <v>133</v>
      </c>
      <c r="G1053" s="58">
        <v>133</v>
      </c>
      <c r="H1053" s="58">
        <v>133</v>
      </c>
      <c r="I1053" s="58">
        <v>111</v>
      </c>
      <c r="J1053" s="58">
        <v>88</v>
      </c>
      <c r="K1053" s="58">
        <v>66</v>
      </c>
      <c r="L1053" s="58">
        <v>61</v>
      </c>
      <c r="M1053" s="58">
        <v>61</v>
      </c>
      <c r="N1053" s="58">
        <v>61</v>
      </c>
      <c r="O1053" s="58">
        <v>61</v>
      </c>
      <c r="P1053" s="58">
        <v>61</v>
      </c>
      <c r="Q1053" s="58">
        <v>61</v>
      </c>
      <c r="R1053" s="58">
        <v>61</v>
      </c>
      <c r="S1053" s="58">
        <v>61</v>
      </c>
      <c r="T1053" s="58">
        <v>61</v>
      </c>
      <c r="U1053" s="58">
        <v>61</v>
      </c>
      <c r="V1053" s="58">
        <v>61</v>
      </c>
      <c r="W1053" s="58">
        <v>61</v>
      </c>
    </row>
    <row r="1054" spans="1:23" ht="12.75">
      <c r="A1054" s="246" t="s">
        <v>335</v>
      </c>
      <c r="B1054" s="13">
        <v>113</v>
      </c>
      <c r="C1054" s="13">
        <v>113</v>
      </c>
      <c r="D1054" s="13">
        <v>113</v>
      </c>
      <c r="E1054" s="13">
        <v>113</v>
      </c>
      <c r="F1054" s="13">
        <v>113</v>
      </c>
      <c r="G1054" s="13">
        <v>113</v>
      </c>
      <c r="H1054" s="13">
        <v>113</v>
      </c>
      <c r="I1054" s="13">
        <v>93</v>
      </c>
      <c r="J1054" s="13">
        <v>75</v>
      </c>
      <c r="K1054" s="13">
        <v>55</v>
      </c>
      <c r="L1054" s="13">
        <v>52</v>
      </c>
      <c r="M1054" s="13">
        <v>52</v>
      </c>
      <c r="N1054" s="13">
        <v>52</v>
      </c>
      <c r="O1054" s="13">
        <v>52</v>
      </c>
      <c r="P1054" s="13">
        <v>52</v>
      </c>
      <c r="Q1054" s="13">
        <v>52</v>
      </c>
      <c r="R1054" s="13">
        <v>52</v>
      </c>
      <c r="S1054" s="13">
        <v>52</v>
      </c>
      <c r="T1054" s="13">
        <v>52</v>
      </c>
      <c r="U1054" s="13">
        <v>52</v>
      </c>
      <c r="V1054" s="13">
        <v>52</v>
      </c>
      <c r="W1054" s="13">
        <v>52</v>
      </c>
    </row>
    <row r="1055" spans="1:23" ht="22.5">
      <c r="A1055" s="219"/>
      <c r="C1055" s="2">
        <f t="array" ref="C1055:W1056">C1053:W1054/B1053:B1054</f>
        <v>1</v>
      </c>
      <c r="D1055" s="2">
        <v>1</v>
      </c>
      <c r="E1055" s="2">
        <v>1</v>
      </c>
      <c r="F1055" s="2">
        <v>1</v>
      </c>
      <c r="G1055" s="2">
        <v>1</v>
      </c>
      <c r="H1055" s="2">
        <v>1</v>
      </c>
      <c r="I1055" s="2">
        <v>0.83458646616541354</v>
      </c>
      <c r="J1055" s="2">
        <v>0.66165413533834583</v>
      </c>
      <c r="K1055" s="2">
        <v>0.49624060150375937</v>
      </c>
      <c r="L1055" s="2">
        <v>0.45864661654135336</v>
      </c>
      <c r="M1055" s="2">
        <v>0.45864661654135336</v>
      </c>
      <c r="N1055" s="2">
        <v>0.45864661654135336</v>
      </c>
      <c r="O1055" s="2">
        <v>0.45864661654135336</v>
      </c>
      <c r="P1055" s="2">
        <v>0.45864661654135336</v>
      </c>
      <c r="Q1055" s="2">
        <v>0.45864661654135336</v>
      </c>
      <c r="R1055" s="2">
        <v>0.45864661654135336</v>
      </c>
      <c r="S1055" s="2">
        <v>0.45864661654135336</v>
      </c>
      <c r="T1055" s="2">
        <v>0.45864661654135336</v>
      </c>
      <c r="U1055" s="2">
        <v>0.45864661654135336</v>
      </c>
      <c r="V1055" s="2">
        <v>0.45864661654135336</v>
      </c>
      <c r="W1055" s="2">
        <v>0.45864661654135336</v>
      </c>
    </row>
    <row r="1056" spans="1:23" ht="22.5">
      <c r="A1056" s="219"/>
      <c r="C1056" s="2">
        <v>1</v>
      </c>
      <c r="D1056" s="2">
        <v>1</v>
      </c>
      <c r="E1056" s="2">
        <v>1</v>
      </c>
      <c r="F1056" s="2">
        <v>1</v>
      </c>
      <c r="G1056" s="2">
        <v>1</v>
      </c>
      <c r="H1056" s="2">
        <v>1</v>
      </c>
      <c r="I1056" s="2">
        <v>0.82300884955752207</v>
      </c>
      <c r="J1056" s="2">
        <v>0.66371681415929207</v>
      </c>
      <c r="K1056" s="2">
        <v>0.48672566371681414</v>
      </c>
      <c r="L1056" s="2">
        <v>0.46017699115044247</v>
      </c>
      <c r="M1056" s="2">
        <v>0.46017699115044247</v>
      </c>
      <c r="N1056" s="2">
        <v>0.46017699115044247</v>
      </c>
      <c r="O1056" s="2">
        <v>0.46017699115044247</v>
      </c>
      <c r="P1056" s="2">
        <v>0.46017699115044247</v>
      </c>
      <c r="Q1056" s="2">
        <v>0.46017699115044247</v>
      </c>
      <c r="R1056" s="2">
        <v>0.46017699115044247</v>
      </c>
      <c r="S1056" s="2">
        <v>0.46017699115044247</v>
      </c>
      <c r="T1056" s="2">
        <v>0.46017699115044247</v>
      </c>
      <c r="U1056" s="2">
        <v>0.46017699115044247</v>
      </c>
      <c r="V1056" s="2">
        <v>0.46017699115044247</v>
      </c>
      <c r="W1056" s="2">
        <v>0.46017699115044247</v>
      </c>
    </row>
    <row r="1057" spans="1:23" ht="22.5">
      <c r="A1057" s="219"/>
    </row>
    <row r="1058" spans="1:23" ht="15">
      <c r="A1058" s="8" t="s">
        <v>413</v>
      </c>
      <c r="B1058" s="43" t="s">
        <v>24</v>
      </c>
      <c r="C1058" s="43" t="s">
        <v>25</v>
      </c>
      <c r="D1058" s="43" t="s">
        <v>26</v>
      </c>
      <c r="E1058" s="43" t="s">
        <v>27</v>
      </c>
      <c r="F1058" s="43" t="s">
        <v>28</v>
      </c>
      <c r="G1058" s="43" t="s">
        <v>74</v>
      </c>
      <c r="H1058" s="43" t="s">
        <v>75</v>
      </c>
      <c r="I1058" s="43" t="s">
        <v>76</v>
      </c>
      <c r="J1058" s="43" t="s">
        <v>77</v>
      </c>
      <c r="K1058" s="43" t="s">
        <v>78</v>
      </c>
      <c r="L1058" s="43" t="s">
        <v>79</v>
      </c>
      <c r="M1058" s="43" t="s">
        <v>80</v>
      </c>
      <c r="N1058" s="43" t="s">
        <v>81</v>
      </c>
      <c r="O1058" s="43" t="s">
        <v>82</v>
      </c>
      <c r="P1058" s="43" t="s">
        <v>83</v>
      </c>
      <c r="Q1058" s="43" t="s">
        <v>84</v>
      </c>
      <c r="R1058" s="43" t="s">
        <v>85</v>
      </c>
      <c r="S1058" s="43" t="s">
        <v>86</v>
      </c>
      <c r="T1058" s="43" t="s">
        <v>87</v>
      </c>
      <c r="U1058" s="43" t="s">
        <v>88</v>
      </c>
      <c r="V1058" s="43" t="s">
        <v>89</v>
      </c>
      <c r="W1058" s="43" t="s">
        <v>90</v>
      </c>
    </row>
    <row r="1059" spans="1:23" ht="12.75">
      <c r="A1059" s="232" t="s">
        <v>45</v>
      </c>
      <c r="B1059" s="18">
        <v>1</v>
      </c>
      <c r="C1059" s="18">
        <f t="shared" ref="C1059:W1059" si="48">AVERAGE(C1062:C1063)</f>
        <v>1</v>
      </c>
      <c r="D1059" s="18">
        <f t="shared" si="48"/>
        <v>1</v>
      </c>
      <c r="E1059" s="18">
        <f t="shared" si="48"/>
        <v>1</v>
      </c>
      <c r="F1059" s="18">
        <f t="shared" si="48"/>
        <v>1</v>
      </c>
      <c r="G1059" s="18">
        <f t="shared" si="48"/>
        <v>1</v>
      </c>
      <c r="H1059" s="18">
        <f t="shared" si="48"/>
        <v>1</v>
      </c>
      <c r="I1059" s="18">
        <f t="shared" si="48"/>
        <v>0.82706766917293228</v>
      </c>
      <c r="J1059" s="18">
        <f t="shared" si="48"/>
        <v>0.65413533834586468</v>
      </c>
      <c r="K1059" s="18">
        <f t="shared" si="48"/>
        <v>0.47368421052631576</v>
      </c>
      <c r="L1059" s="18">
        <f t="shared" si="48"/>
        <v>0.43609022556390975</v>
      </c>
      <c r="M1059" s="18">
        <f t="shared" si="48"/>
        <v>0.43609022556390975</v>
      </c>
      <c r="N1059" s="18">
        <f t="shared" si="48"/>
        <v>0.43609022556390975</v>
      </c>
      <c r="O1059" s="18">
        <f t="shared" si="48"/>
        <v>0.43609022556390975</v>
      </c>
      <c r="P1059" s="18">
        <f t="shared" si="48"/>
        <v>0.43609022556390975</v>
      </c>
      <c r="Q1059" s="18">
        <f t="shared" si="48"/>
        <v>0.43609022556390975</v>
      </c>
      <c r="R1059" s="18">
        <f t="shared" si="48"/>
        <v>0.43609022556390975</v>
      </c>
      <c r="S1059" s="18">
        <f t="shared" si="48"/>
        <v>0.43609022556390975</v>
      </c>
      <c r="T1059" s="18">
        <f t="shared" si="48"/>
        <v>0.43609022556390975</v>
      </c>
      <c r="U1059" s="18">
        <f t="shared" si="48"/>
        <v>0.43609022556390975</v>
      </c>
      <c r="V1059" s="18">
        <f t="shared" si="48"/>
        <v>0.43609022556390975</v>
      </c>
      <c r="W1059" s="18">
        <f t="shared" si="48"/>
        <v>0.43609022556390975</v>
      </c>
    </row>
    <row r="1060" spans="1:23" ht="12.75">
      <c r="A1060" s="109" t="s">
        <v>334</v>
      </c>
      <c r="B1060" s="241">
        <v>133</v>
      </c>
      <c r="C1060" s="241">
        <v>133</v>
      </c>
      <c r="D1060" s="241">
        <v>133</v>
      </c>
      <c r="E1060" s="241">
        <v>133</v>
      </c>
      <c r="F1060" s="241">
        <v>133</v>
      </c>
      <c r="G1060" s="241">
        <v>133</v>
      </c>
      <c r="H1060" s="241">
        <v>133</v>
      </c>
      <c r="I1060" s="241">
        <v>110</v>
      </c>
      <c r="J1060" s="241">
        <v>87</v>
      </c>
      <c r="K1060" s="241">
        <v>63</v>
      </c>
      <c r="L1060" s="241">
        <v>58</v>
      </c>
      <c r="M1060" s="241">
        <v>58</v>
      </c>
      <c r="N1060" s="241">
        <v>58</v>
      </c>
      <c r="O1060" s="241">
        <v>58</v>
      </c>
      <c r="P1060" s="241">
        <v>58</v>
      </c>
      <c r="Q1060" s="241">
        <v>58</v>
      </c>
      <c r="R1060" s="241">
        <v>58</v>
      </c>
      <c r="S1060" s="241">
        <v>58</v>
      </c>
      <c r="T1060" s="241">
        <v>58</v>
      </c>
      <c r="U1060" s="241">
        <v>58</v>
      </c>
      <c r="V1060" s="241">
        <v>58</v>
      </c>
      <c r="W1060" s="241">
        <v>58</v>
      </c>
    </row>
    <row r="1061" spans="1:23" ht="12.75">
      <c r="A1061" s="246"/>
    </row>
    <row r="1062" spans="1:23" ht="22.5">
      <c r="A1062" s="219"/>
      <c r="C1062" s="2">
        <f t="array" ref="C1062:W1062">C1060:W1060/B1060</f>
        <v>1</v>
      </c>
      <c r="D1062" s="2">
        <v>1</v>
      </c>
      <c r="E1062" s="2">
        <v>1</v>
      </c>
      <c r="F1062" s="2">
        <v>1</v>
      </c>
      <c r="G1062" s="2">
        <v>1</v>
      </c>
      <c r="H1062" s="2">
        <v>1</v>
      </c>
      <c r="I1062" s="2">
        <v>0.82706766917293228</v>
      </c>
      <c r="J1062" s="2">
        <v>0.65413533834586468</v>
      </c>
      <c r="K1062" s="2">
        <v>0.47368421052631576</v>
      </c>
      <c r="L1062" s="2">
        <v>0.43609022556390975</v>
      </c>
      <c r="M1062" s="2">
        <v>0.43609022556390975</v>
      </c>
      <c r="N1062" s="2">
        <v>0.43609022556390975</v>
      </c>
      <c r="O1062" s="2">
        <v>0.43609022556390975</v>
      </c>
      <c r="P1062" s="2">
        <v>0.43609022556390975</v>
      </c>
      <c r="Q1062" s="2">
        <v>0.43609022556390975</v>
      </c>
      <c r="R1062" s="2">
        <v>0.43609022556390975</v>
      </c>
      <c r="S1062" s="2">
        <v>0.43609022556390975</v>
      </c>
      <c r="T1062" s="2">
        <v>0.43609022556390975</v>
      </c>
      <c r="U1062" s="2">
        <v>0.43609022556390975</v>
      </c>
      <c r="V1062" s="2">
        <v>0.43609022556390975</v>
      </c>
      <c r="W1062" s="2">
        <v>0.43609022556390975</v>
      </c>
    </row>
    <row r="1063" spans="1:23" ht="22.5">
      <c r="A1063" s="219"/>
    </row>
    <row r="1064" spans="1:23" ht="22.5">
      <c r="A1064" s="219" t="s">
        <v>403</v>
      </c>
    </row>
    <row r="1065" spans="1:23" ht="15">
      <c r="A1065" s="52" t="s">
        <v>404</v>
      </c>
      <c r="B1065" s="15" t="s">
        <v>121</v>
      </c>
      <c r="C1065" s="15" t="s">
        <v>122</v>
      </c>
      <c r="D1065" s="15" t="s">
        <v>123</v>
      </c>
      <c r="E1065" s="15" t="s">
        <v>124</v>
      </c>
      <c r="F1065" s="15" t="s">
        <v>125</v>
      </c>
      <c r="G1065" s="15" t="s">
        <v>126</v>
      </c>
      <c r="H1065" s="15" t="s">
        <v>127</v>
      </c>
      <c r="I1065" s="15" t="s">
        <v>128</v>
      </c>
      <c r="J1065" s="15" t="s">
        <v>129</v>
      </c>
      <c r="K1065" s="15" t="s">
        <v>130</v>
      </c>
      <c r="L1065" s="15" t="s">
        <v>131</v>
      </c>
      <c r="M1065" s="15" t="s">
        <v>132</v>
      </c>
      <c r="N1065" s="15" t="s">
        <v>24</v>
      </c>
      <c r="O1065" s="15" t="s">
        <v>25</v>
      </c>
      <c r="P1065" s="15" t="s">
        <v>26</v>
      </c>
      <c r="Q1065" s="15" t="s">
        <v>27</v>
      </c>
      <c r="R1065" s="15" t="s">
        <v>28</v>
      </c>
      <c r="S1065" s="15" t="s">
        <v>74</v>
      </c>
      <c r="T1065" s="15" t="s">
        <v>75</v>
      </c>
      <c r="U1065" s="15" t="s">
        <v>133</v>
      </c>
      <c r="V1065" s="15" t="s">
        <v>76</v>
      </c>
      <c r="W1065" s="15" t="s">
        <v>134</v>
      </c>
    </row>
    <row r="1066" spans="1:23" ht="12.75">
      <c r="A1066" s="282" t="s">
        <v>463</v>
      </c>
      <c r="B1066" s="18">
        <f t="array" ref="B1066:W1066">B1067:W1067/H1067</f>
        <v>1.4134078212290502</v>
      </c>
      <c r="C1066" s="18">
        <v>1.3653631284916201</v>
      </c>
      <c r="D1066" s="18">
        <v>1.2877094972067038</v>
      </c>
      <c r="E1066" s="18">
        <v>1.1910614525139664</v>
      </c>
      <c r="F1066" s="19">
        <v>1.1039106145251396</v>
      </c>
      <c r="G1066" s="20">
        <v>1.0240223463687153</v>
      </c>
      <c r="H1066" s="30">
        <v>1</v>
      </c>
      <c r="I1066" s="30">
        <v>0.97318435754189936</v>
      </c>
      <c r="J1066" s="265">
        <v>0.9368715083798882</v>
      </c>
      <c r="K1066" s="31">
        <v>0.90782122905027929</v>
      </c>
      <c r="L1066" s="266">
        <v>0.87877094972067049</v>
      </c>
      <c r="M1066" s="267">
        <v>0.84972067039106147</v>
      </c>
      <c r="N1066" s="88">
        <v>0.78212290502793291</v>
      </c>
      <c r="O1066" s="79">
        <v>0.72625698324022347</v>
      </c>
      <c r="P1066" s="86">
        <v>0.64804469273743015</v>
      </c>
      <c r="Q1066" s="80">
        <v>0.56983240223463683</v>
      </c>
      <c r="R1066" s="88">
        <v>0.4972067039106145</v>
      </c>
      <c r="S1066" s="81">
        <v>0.42458100558659218</v>
      </c>
      <c r="T1066" s="81">
        <v>0.41340782122905029</v>
      </c>
      <c r="U1066" s="81">
        <v>0.4022346368715084</v>
      </c>
      <c r="V1066" s="81">
        <v>0.39664804469273746</v>
      </c>
      <c r="W1066" s="81">
        <v>0.39664804469273746</v>
      </c>
    </row>
    <row r="1067" spans="1:23" ht="14.25">
      <c r="A1067" s="254" t="s">
        <v>188</v>
      </c>
      <c r="B1067" s="271">
        <v>253</v>
      </c>
      <c r="C1067" s="271">
        <v>244.4</v>
      </c>
      <c r="D1067" s="271">
        <v>230.5</v>
      </c>
      <c r="E1067" s="271">
        <v>213.2</v>
      </c>
      <c r="F1067" s="271">
        <v>197.6</v>
      </c>
      <c r="G1067" s="271">
        <v>183.3</v>
      </c>
      <c r="H1067" s="13">
        <v>179</v>
      </c>
      <c r="I1067" s="271">
        <v>174.2</v>
      </c>
      <c r="J1067" s="271">
        <v>167.7</v>
      </c>
      <c r="K1067" s="271">
        <v>162.5</v>
      </c>
      <c r="L1067" s="271">
        <v>157.30000000000001</v>
      </c>
      <c r="M1067" s="271">
        <v>152.1</v>
      </c>
      <c r="N1067" s="13">
        <v>140</v>
      </c>
      <c r="O1067" s="13">
        <v>130</v>
      </c>
      <c r="P1067" s="13">
        <v>116</v>
      </c>
      <c r="Q1067" s="13">
        <v>102</v>
      </c>
      <c r="R1067" s="13">
        <v>89</v>
      </c>
      <c r="S1067" s="13">
        <v>76</v>
      </c>
      <c r="T1067" s="13">
        <v>74</v>
      </c>
      <c r="U1067" s="13">
        <v>72</v>
      </c>
      <c r="V1067" s="13">
        <v>71</v>
      </c>
      <c r="W1067" s="13">
        <v>71</v>
      </c>
    </row>
    <row r="1068" spans="1:23" ht="12.75">
      <c r="A1068" s="246" t="s">
        <v>189</v>
      </c>
      <c r="B1068" s="271">
        <v>194.66669999999999</v>
      </c>
      <c r="C1068" s="271">
        <v>188</v>
      </c>
      <c r="D1068" s="271">
        <v>177.33340000000001</v>
      </c>
      <c r="E1068" s="271">
        <v>164</v>
      </c>
      <c r="F1068" s="271">
        <v>152</v>
      </c>
      <c r="G1068" s="13">
        <v>141</v>
      </c>
      <c r="I1068" s="13">
        <v>134</v>
      </c>
      <c r="J1068" s="13">
        <v>129</v>
      </c>
      <c r="K1068" s="13">
        <v>125</v>
      </c>
      <c r="L1068" s="13">
        <v>121</v>
      </c>
      <c r="M1068" s="13">
        <v>117</v>
      </c>
    </row>
    <row r="1069" spans="1:23" ht="12.75">
      <c r="A1069" s="246" t="s">
        <v>190</v>
      </c>
      <c r="B1069" s="13">
        <v>146</v>
      </c>
      <c r="C1069" s="13">
        <v>141</v>
      </c>
      <c r="D1069" s="13">
        <v>133</v>
      </c>
      <c r="E1069" s="13">
        <v>123</v>
      </c>
      <c r="F1069" s="13">
        <v>114</v>
      </c>
      <c r="G1069" s="13">
        <v>106</v>
      </c>
      <c r="I1069" s="13">
        <v>100</v>
      </c>
      <c r="J1069" s="13">
        <v>96</v>
      </c>
      <c r="K1069" s="13">
        <v>93</v>
      </c>
      <c r="L1069" s="13">
        <v>90</v>
      </c>
      <c r="M1069" s="13">
        <v>87</v>
      </c>
    </row>
    <row r="1070" spans="1:23" ht="12.75">
      <c r="A1070" s="246" t="s">
        <v>191</v>
      </c>
      <c r="B1070" s="13">
        <v>97</v>
      </c>
      <c r="C1070" s="13">
        <v>94</v>
      </c>
      <c r="D1070" s="13">
        <v>88</v>
      </c>
      <c r="E1070" s="13">
        <v>82</v>
      </c>
      <c r="F1070" s="13">
        <v>76</v>
      </c>
      <c r="G1070" s="13">
        <v>70</v>
      </c>
      <c r="I1070" s="13">
        <v>67</v>
      </c>
      <c r="J1070" s="13">
        <v>64</v>
      </c>
    </row>
    <row r="1071" spans="1:23" ht="12.75">
      <c r="A1071" s="246" t="s">
        <v>464</v>
      </c>
    </row>
    <row r="1072" spans="1:23" ht="15">
      <c r="A1072" s="52" t="s">
        <v>120</v>
      </c>
      <c r="B1072" s="15" t="s">
        <v>121</v>
      </c>
      <c r="C1072" s="15" t="s">
        <v>122</v>
      </c>
      <c r="D1072" s="15" t="s">
        <v>123</v>
      </c>
      <c r="E1072" s="15" t="s">
        <v>124</v>
      </c>
      <c r="F1072" s="15" t="s">
        <v>125</v>
      </c>
      <c r="G1072" s="15" t="s">
        <v>126</v>
      </c>
      <c r="H1072" s="15" t="s">
        <v>127</v>
      </c>
      <c r="I1072" s="15" t="s">
        <v>128</v>
      </c>
      <c r="J1072" s="15" t="s">
        <v>129</v>
      </c>
      <c r="K1072" s="15" t="s">
        <v>130</v>
      </c>
      <c r="L1072" s="15" t="s">
        <v>131</v>
      </c>
      <c r="M1072" s="15" t="s">
        <v>132</v>
      </c>
      <c r="N1072" s="15" t="s">
        <v>24</v>
      </c>
      <c r="O1072" s="15" t="s">
        <v>25</v>
      </c>
      <c r="P1072" s="15" t="s">
        <v>26</v>
      </c>
      <c r="Q1072" s="15" t="s">
        <v>27</v>
      </c>
      <c r="R1072" s="15" t="s">
        <v>28</v>
      </c>
      <c r="S1072" s="15" t="s">
        <v>74</v>
      </c>
      <c r="T1072" s="15" t="s">
        <v>75</v>
      </c>
      <c r="U1072" s="15" t="s">
        <v>133</v>
      </c>
      <c r="V1072" s="15" t="s">
        <v>76</v>
      </c>
      <c r="W1072" s="15" t="s">
        <v>134</v>
      </c>
    </row>
    <row r="1073" spans="1:23" ht="12.75">
      <c r="A1073" s="283" t="s">
        <v>465</v>
      </c>
      <c r="B1073" s="18">
        <f t="array" ref="B1073:W1073">B1074:W1074/H1074</f>
        <v>1.5333333333333334</v>
      </c>
      <c r="C1073" s="18">
        <v>1.4812121212121212</v>
      </c>
      <c r="D1073" s="18">
        <v>1.3551515151515152</v>
      </c>
      <c r="E1073" s="18">
        <v>1.2606060606060605</v>
      </c>
      <c r="F1073" s="19">
        <v>1.1424242424242423</v>
      </c>
      <c r="G1073" s="20">
        <v>1.0321212121212122</v>
      </c>
      <c r="H1073" s="30">
        <v>1</v>
      </c>
      <c r="I1073" s="30">
        <v>0.96909090909090911</v>
      </c>
      <c r="J1073" s="265">
        <v>0.94545454545454544</v>
      </c>
      <c r="K1073" s="31">
        <v>0.92181818181818176</v>
      </c>
      <c r="L1073" s="266">
        <v>0.90303030303030307</v>
      </c>
      <c r="M1073" s="267">
        <v>0.88484848484848488</v>
      </c>
      <c r="N1073" s="88">
        <v>0.79393939393939394</v>
      </c>
      <c r="O1073" s="79">
        <v>0.69090909090909092</v>
      </c>
      <c r="P1073" s="86">
        <v>0.61818181818181817</v>
      </c>
      <c r="Q1073" s="80">
        <v>0.55151515151515151</v>
      </c>
      <c r="R1073" s="88">
        <v>0.47878787878787876</v>
      </c>
      <c r="S1073" s="81">
        <v>0.40606060606060607</v>
      </c>
      <c r="T1073" s="81">
        <v>0.4</v>
      </c>
      <c r="U1073" s="81">
        <v>0.4</v>
      </c>
      <c r="V1073" s="81">
        <v>0.39393939393939392</v>
      </c>
      <c r="W1073" s="81">
        <v>0.39393939393939392</v>
      </c>
    </row>
    <row r="1074" spans="1:23" ht="14.25">
      <c r="A1074" s="254" t="s">
        <v>188</v>
      </c>
      <c r="B1074" s="271">
        <v>253</v>
      </c>
      <c r="C1074" s="271">
        <v>244.4</v>
      </c>
      <c r="D1074" s="271">
        <v>223.6</v>
      </c>
      <c r="E1074" s="271">
        <v>208</v>
      </c>
      <c r="F1074" s="271">
        <v>188.5</v>
      </c>
      <c r="G1074" s="271">
        <v>170.3</v>
      </c>
      <c r="H1074" s="13">
        <v>165</v>
      </c>
      <c r="I1074" s="271">
        <v>159.9</v>
      </c>
      <c r="J1074" s="271">
        <v>156</v>
      </c>
      <c r="K1074" s="271">
        <v>152.1</v>
      </c>
      <c r="L1074" s="13">
        <v>149</v>
      </c>
      <c r="M1074" s="13">
        <v>146</v>
      </c>
      <c r="N1074" s="13">
        <v>131</v>
      </c>
      <c r="O1074" s="13">
        <v>114</v>
      </c>
      <c r="P1074" s="13">
        <v>102</v>
      </c>
      <c r="Q1074" s="13">
        <v>91</v>
      </c>
      <c r="R1074" s="13">
        <v>79</v>
      </c>
      <c r="S1074" s="13">
        <v>67</v>
      </c>
      <c r="T1074" s="13">
        <v>66</v>
      </c>
      <c r="U1074" s="13">
        <v>66</v>
      </c>
      <c r="V1074" s="13">
        <v>65</v>
      </c>
      <c r="W1074" s="13">
        <v>65</v>
      </c>
    </row>
    <row r="1075" spans="1:23" ht="12.75">
      <c r="A1075" s="246" t="s">
        <v>189</v>
      </c>
      <c r="B1075" s="271">
        <v>194.66669999999999</v>
      </c>
      <c r="C1075" s="271">
        <v>188</v>
      </c>
      <c r="D1075" s="271">
        <v>172</v>
      </c>
      <c r="E1075" s="271">
        <v>160</v>
      </c>
      <c r="F1075" s="13">
        <v>145</v>
      </c>
      <c r="G1075" s="13">
        <v>131</v>
      </c>
      <c r="I1075" s="13">
        <v>123</v>
      </c>
      <c r="J1075" s="13">
        <v>120</v>
      </c>
      <c r="K1075" s="13">
        <v>117</v>
      </c>
      <c r="L1075" s="13">
        <v>115</v>
      </c>
    </row>
    <row r="1076" spans="1:23" ht="12.75">
      <c r="A1076" s="246" t="s">
        <v>190</v>
      </c>
      <c r="B1076" s="13">
        <v>146</v>
      </c>
      <c r="C1076" s="13">
        <v>141</v>
      </c>
      <c r="D1076" s="13">
        <v>129</v>
      </c>
      <c r="E1076" s="13">
        <v>120</v>
      </c>
      <c r="F1076" s="13">
        <v>108</v>
      </c>
      <c r="G1076" s="13">
        <v>98</v>
      </c>
      <c r="I1076" s="13">
        <v>92</v>
      </c>
      <c r="L1076" s="13">
        <v>86</v>
      </c>
    </row>
    <row r="1077" spans="1:23" ht="12.75">
      <c r="A1077" s="246" t="s">
        <v>191</v>
      </c>
      <c r="B1077" s="13">
        <v>97</v>
      </c>
      <c r="C1077" s="13">
        <v>93</v>
      </c>
      <c r="D1077" s="13">
        <v>85</v>
      </c>
      <c r="E1077" s="13">
        <v>79</v>
      </c>
      <c r="F1077" s="13">
        <v>72</v>
      </c>
      <c r="G1077" s="13">
        <v>65</v>
      </c>
      <c r="I1077" s="13">
        <v>61</v>
      </c>
      <c r="L1077" s="13">
        <v>57</v>
      </c>
    </row>
    <row r="1078" spans="1:23" ht="12.75">
      <c r="A1078" s="246" t="s">
        <v>464</v>
      </c>
    </row>
    <row r="1079" spans="1:23" ht="15">
      <c r="A1079" s="52" t="s">
        <v>120</v>
      </c>
      <c r="B1079" s="15" t="s">
        <v>121</v>
      </c>
      <c r="C1079" s="15" t="s">
        <v>122</v>
      </c>
      <c r="D1079" s="15" t="s">
        <v>123</v>
      </c>
      <c r="E1079" s="15" t="s">
        <v>124</v>
      </c>
      <c r="F1079" s="15" t="s">
        <v>125</v>
      </c>
      <c r="G1079" s="15" t="s">
        <v>126</v>
      </c>
      <c r="H1079" s="15" t="s">
        <v>127</v>
      </c>
      <c r="I1079" s="15" t="s">
        <v>128</v>
      </c>
      <c r="J1079" s="15" t="s">
        <v>129</v>
      </c>
      <c r="K1079" s="15" t="s">
        <v>130</v>
      </c>
      <c r="L1079" s="15" t="s">
        <v>131</v>
      </c>
      <c r="M1079" s="15" t="s">
        <v>132</v>
      </c>
      <c r="N1079" s="15" t="s">
        <v>24</v>
      </c>
      <c r="O1079" s="15" t="s">
        <v>25</v>
      </c>
      <c r="P1079" s="15" t="s">
        <v>26</v>
      </c>
      <c r="Q1079" s="15" t="s">
        <v>27</v>
      </c>
      <c r="R1079" s="15" t="s">
        <v>28</v>
      </c>
      <c r="S1079" s="15" t="s">
        <v>74</v>
      </c>
      <c r="T1079" s="15" t="s">
        <v>75</v>
      </c>
      <c r="U1079" s="15" t="s">
        <v>133</v>
      </c>
      <c r="V1079" s="15" t="s">
        <v>76</v>
      </c>
      <c r="W1079" s="15" t="s">
        <v>134</v>
      </c>
    </row>
    <row r="1080" spans="1:23" ht="12.75">
      <c r="A1080" s="283" t="s">
        <v>466</v>
      </c>
      <c r="B1080" s="18">
        <f t="array" ref="B1080:W1080">B1081:W1081/H1081</f>
        <v>1.6114649681528663</v>
      </c>
      <c r="C1080" s="18">
        <v>1.5566878980891721</v>
      </c>
      <c r="D1080" s="18">
        <v>1.4242038216560509</v>
      </c>
      <c r="E1080" s="18">
        <v>1.2917197452229301</v>
      </c>
      <c r="F1080" s="19">
        <v>1.1675159235668791</v>
      </c>
      <c r="G1080" s="20">
        <v>1.0350318471337581</v>
      </c>
      <c r="H1080" s="284">
        <v>1</v>
      </c>
      <c r="I1080" s="30">
        <v>0.96050955414012751</v>
      </c>
      <c r="J1080" s="265">
        <v>0.92993630573248409</v>
      </c>
      <c r="K1080" s="31">
        <v>0.91082802547770703</v>
      </c>
      <c r="L1080" s="266">
        <v>0.87261146496815289</v>
      </c>
      <c r="M1080" s="267">
        <v>0.84713375796178347</v>
      </c>
      <c r="N1080" s="88">
        <v>0.70700636942675155</v>
      </c>
      <c r="O1080" s="79">
        <v>0.56687898089171973</v>
      </c>
      <c r="P1080" s="86">
        <v>0.51592356687898089</v>
      </c>
      <c r="Q1080" s="80">
        <v>0.47770700636942676</v>
      </c>
      <c r="R1080" s="88">
        <v>0.43312101910828027</v>
      </c>
      <c r="S1080" s="81">
        <v>0.40127388535031849</v>
      </c>
      <c r="T1080" s="81">
        <v>0.38853503184713378</v>
      </c>
      <c r="U1080" s="81">
        <v>0.38853503184713378</v>
      </c>
      <c r="V1080" s="81">
        <v>0.37579617834394907</v>
      </c>
      <c r="W1080" s="81">
        <v>0.36942675159235666</v>
      </c>
    </row>
    <row r="1081" spans="1:23" ht="14.25">
      <c r="A1081" s="254" t="s">
        <v>188</v>
      </c>
      <c r="B1081" s="271">
        <v>253</v>
      </c>
      <c r="C1081" s="271">
        <v>244.4</v>
      </c>
      <c r="D1081" s="271">
        <v>223.6</v>
      </c>
      <c r="E1081" s="271">
        <v>202.8</v>
      </c>
      <c r="F1081" s="271">
        <v>183.3</v>
      </c>
      <c r="G1081" s="271">
        <v>162.5</v>
      </c>
      <c r="H1081" s="2">
        <v>157</v>
      </c>
      <c r="I1081" s="271">
        <v>150.80000000000001</v>
      </c>
      <c r="J1081" s="13">
        <v>146</v>
      </c>
      <c r="K1081" s="13">
        <v>143</v>
      </c>
      <c r="L1081" s="13">
        <v>137</v>
      </c>
      <c r="M1081" s="13">
        <v>133</v>
      </c>
      <c r="N1081" s="13">
        <v>111</v>
      </c>
      <c r="O1081" s="13">
        <v>89</v>
      </c>
      <c r="P1081" s="13">
        <v>81</v>
      </c>
      <c r="Q1081" s="13">
        <v>75</v>
      </c>
      <c r="R1081" s="13">
        <v>68</v>
      </c>
      <c r="S1081" s="13">
        <v>63</v>
      </c>
      <c r="T1081" s="13">
        <v>61</v>
      </c>
      <c r="U1081" s="13">
        <v>61</v>
      </c>
      <c r="V1081" s="13">
        <v>59</v>
      </c>
      <c r="W1081" s="13">
        <v>58</v>
      </c>
    </row>
    <row r="1082" spans="1:23" ht="12.75">
      <c r="A1082" s="246" t="s">
        <v>189</v>
      </c>
      <c r="B1082" s="271">
        <v>194.66669999999999</v>
      </c>
      <c r="C1082" s="271">
        <v>188</v>
      </c>
      <c r="D1082" s="271">
        <v>172</v>
      </c>
      <c r="E1082" s="271">
        <v>156</v>
      </c>
      <c r="F1082" s="13">
        <v>141</v>
      </c>
      <c r="G1082" s="13">
        <v>125</v>
      </c>
      <c r="I1082" s="13">
        <v>116</v>
      </c>
      <c r="J1082" s="13">
        <v>113</v>
      </c>
    </row>
    <row r="1083" spans="1:23" ht="12.75">
      <c r="A1083" s="246" t="s">
        <v>190</v>
      </c>
      <c r="B1083" s="13">
        <v>146</v>
      </c>
      <c r="C1083" s="13">
        <v>141</v>
      </c>
      <c r="D1083" s="13">
        <v>129</v>
      </c>
      <c r="E1083" s="13">
        <v>117</v>
      </c>
      <c r="F1083" s="13">
        <v>105</v>
      </c>
      <c r="G1083" s="13">
        <v>94</v>
      </c>
      <c r="I1083" s="13">
        <v>87</v>
      </c>
      <c r="J1083" s="13">
        <v>84</v>
      </c>
    </row>
    <row r="1084" spans="1:23" ht="12.75">
      <c r="A1084" s="246" t="s">
        <v>191</v>
      </c>
      <c r="B1084" s="13">
        <v>97</v>
      </c>
      <c r="C1084" s="13">
        <v>93</v>
      </c>
      <c r="D1084" s="13">
        <v>85</v>
      </c>
      <c r="E1084" s="13">
        <v>78</v>
      </c>
      <c r="F1084" s="13">
        <v>70</v>
      </c>
      <c r="G1084" s="13">
        <v>62</v>
      </c>
      <c r="I1084" s="13">
        <v>58</v>
      </c>
      <c r="J1084" s="13">
        <v>56</v>
      </c>
    </row>
    <row r="1085" spans="1:23" ht="12.75">
      <c r="A1085" s="246" t="s">
        <v>464</v>
      </c>
    </row>
    <row r="1086" spans="1:23" ht="12.75">
      <c r="A1086" s="246" t="s">
        <v>467</v>
      </c>
      <c r="J1086" s="13">
        <v>146</v>
      </c>
    </row>
    <row r="1087" spans="1:23" ht="12.75">
      <c r="A1087" s="246" t="s">
        <v>189</v>
      </c>
      <c r="F1087" s="13">
        <v>141</v>
      </c>
      <c r="G1087" s="13">
        <v>125</v>
      </c>
      <c r="I1087" s="13">
        <v>116</v>
      </c>
      <c r="J1087" s="13">
        <v>113</v>
      </c>
    </row>
    <row r="1088" spans="1:23" ht="12.75">
      <c r="A1088" s="246" t="s">
        <v>190</v>
      </c>
      <c r="B1088" s="13">
        <v>146</v>
      </c>
      <c r="C1088" s="13">
        <v>140</v>
      </c>
      <c r="D1088" s="13">
        <v>129</v>
      </c>
      <c r="E1088" s="13">
        <v>117</v>
      </c>
      <c r="F1088" s="13">
        <v>105</v>
      </c>
      <c r="G1088" s="13">
        <v>94</v>
      </c>
      <c r="I1088" s="13">
        <v>87</v>
      </c>
      <c r="J1088" s="13">
        <v>84</v>
      </c>
    </row>
    <row r="1089" spans="1:23" ht="12.75">
      <c r="A1089" s="246" t="s">
        <v>191</v>
      </c>
      <c r="B1089" s="13">
        <v>97</v>
      </c>
      <c r="C1089" s="13">
        <v>93</v>
      </c>
      <c r="D1089" s="13">
        <v>85</v>
      </c>
      <c r="E1089" s="13">
        <v>78</v>
      </c>
      <c r="F1089" s="13">
        <v>70</v>
      </c>
      <c r="G1089" s="13">
        <v>62</v>
      </c>
      <c r="I1089" s="13">
        <v>58</v>
      </c>
      <c r="J1089" s="13">
        <v>56</v>
      </c>
    </row>
    <row r="1090" spans="1:23" ht="12.75">
      <c r="A1090" s="5"/>
    </row>
    <row r="1091" spans="1:23" ht="12.75">
      <c r="A1091" s="5"/>
    </row>
    <row r="1092" spans="1:23" ht="12.75">
      <c r="A1092" s="246" t="s">
        <v>53</v>
      </c>
      <c r="J1092" s="13">
        <v>146</v>
      </c>
    </row>
    <row r="1093" spans="1:23" ht="12.75">
      <c r="A1093" s="246" t="s">
        <v>189</v>
      </c>
      <c r="F1093" s="13">
        <v>141</v>
      </c>
      <c r="J1093" s="13">
        <v>113</v>
      </c>
    </row>
    <row r="1094" spans="1:23" ht="12.75">
      <c r="A1094" s="246" t="s">
        <v>190</v>
      </c>
      <c r="B1094" s="13">
        <v>146</v>
      </c>
      <c r="C1094" s="13">
        <v>141</v>
      </c>
      <c r="D1094" s="13">
        <v>129</v>
      </c>
      <c r="E1094" s="13">
        <v>117</v>
      </c>
      <c r="F1094" s="13"/>
      <c r="J1094" s="13">
        <v>84</v>
      </c>
    </row>
    <row r="1095" spans="1:23" ht="12.75">
      <c r="A1095" s="246" t="s">
        <v>191</v>
      </c>
      <c r="B1095" s="13">
        <v>97</v>
      </c>
      <c r="C1095" s="13">
        <v>93</v>
      </c>
      <c r="D1095" s="13">
        <v>85</v>
      </c>
      <c r="E1095" s="13">
        <v>78</v>
      </c>
      <c r="J1095" s="13">
        <v>56</v>
      </c>
    </row>
    <row r="1096" spans="1:23" ht="12.75">
      <c r="A1096" s="5"/>
    </row>
    <row r="1097" spans="1:23" ht="12.75">
      <c r="A1097" s="5"/>
    </row>
    <row r="1098" spans="1:23" ht="12.75">
      <c r="A1098" s="246" t="s">
        <v>468</v>
      </c>
    </row>
    <row r="1099" spans="1:23" ht="12.75">
      <c r="A1099" s="246" t="s">
        <v>469</v>
      </c>
    </row>
    <row r="1100" spans="1:23" ht="12.75">
      <c r="A1100" s="246" t="s">
        <v>470</v>
      </c>
    </row>
    <row r="1101" spans="1:23" ht="12.75">
      <c r="A1101" s="246" t="s">
        <v>471</v>
      </c>
    </row>
    <row r="1102" spans="1:23" ht="12.75">
      <c r="A1102" s="5"/>
    </row>
    <row r="1103" spans="1:23" ht="12.75">
      <c r="A1103" s="285" t="s">
        <v>472</v>
      </c>
    </row>
    <row r="1104" spans="1:23" ht="15">
      <c r="A1104" s="286" t="s">
        <v>473</v>
      </c>
      <c r="B1104" s="56" t="s">
        <v>121</v>
      </c>
      <c r="C1104" s="56" t="s">
        <v>126</v>
      </c>
      <c r="D1104" s="56" t="s">
        <v>132</v>
      </c>
      <c r="E1104" s="57" t="s">
        <v>24</v>
      </c>
      <c r="F1104" s="43" t="s">
        <v>25</v>
      </c>
      <c r="G1104" s="43" t="s">
        <v>26</v>
      </c>
      <c r="H1104" s="43" t="s">
        <v>27</v>
      </c>
      <c r="I1104" s="43" t="s">
        <v>28</v>
      </c>
      <c r="J1104" s="43" t="s">
        <v>74</v>
      </c>
      <c r="K1104" s="43" t="s">
        <v>75</v>
      </c>
      <c r="L1104" s="43" t="s">
        <v>76</v>
      </c>
      <c r="M1104" s="43" t="s">
        <v>77</v>
      </c>
      <c r="N1104" s="43" t="s">
        <v>78</v>
      </c>
      <c r="O1104" s="43" t="s">
        <v>79</v>
      </c>
      <c r="P1104" s="43" t="s">
        <v>80</v>
      </c>
      <c r="Q1104" s="43" t="s">
        <v>81</v>
      </c>
      <c r="R1104" s="43" t="s">
        <v>82</v>
      </c>
      <c r="S1104" s="43" t="s">
        <v>83</v>
      </c>
      <c r="T1104" s="43" t="s">
        <v>84</v>
      </c>
      <c r="U1104" s="43" t="s">
        <v>85</v>
      </c>
      <c r="V1104" s="43" t="s">
        <v>86</v>
      </c>
      <c r="W1104" s="43" t="s">
        <v>87</v>
      </c>
    </row>
    <row r="1105" spans="1:23" ht="15">
      <c r="A1105" s="287" t="s">
        <v>156</v>
      </c>
      <c r="B1105" s="18">
        <v>1</v>
      </c>
      <c r="C1105" s="18">
        <v>0.8828125</v>
      </c>
      <c r="D1105" s="18">
        <v>0.7578125</v>
      </c>
      <c r="E1105" s="18">
        <v>0.6640625</v>
      </c>
      <c r="F1105" s="19">
        <v>0.59375</v>
      </c>
      <c r="G1105" s="20">
        <v>0.5078125</v>
      </c>
      <c r="H1105" s="30">
        <v>0.4765625</v>
      </c>
      <c r="I1105" s="265">
        <v>0.4453125</v>
      </c>
      <c r="J1105" s="31">
        <v>0.421875</v>
      </c>
      <c r="K1105" s="266">
        <v>0.39538842103554067</v>
      </c>
      <c r="L1105" s="267">
        <v>0.3537685872423259</v>
      </c>
      <c r="M1105" s="78">
        <v>0.31561707293187896</v>
      </c>
      <c r="N1105" s="79">
        <v>0.27746555862143207</v>
      </c>
      <c r="O1105" s="86">
        <v>0.23584572482821725</v>
      </c>
      <c r="P1105" s="80">
        <v>0.19769421051777034</v>
      </c>
      <c r="Q1105" s="88">
        <v>0.19769421051777034</v>
      </c>
      <c r="R1105" s="81">
        <v>0.19769421051777034</v>
      </c>
      <c r="S1105" s="81">
        <v>0.19769421051777034</v>
      </c>
      <c r="T1105" s="81">
        <v>0.19769421051777034</v>
      </c>
      <c r="U1105" s="81">
        <v>0.19769421051777034</v>
      </c>
      <c r="V1105" s="81">
        <v>0.19769421051777034</v>
      </c>
      <c r="W1105" s="81">
        <v>0.19769421051777034</v>
      </c>
    </row>
    <row r="1106" spans="1:23" ht="15">
      <c r="A1106" s="287" t="s">
        <v>155</v>
      </c>
      <c r="B1106" s="18">
        <f t="array" ref="B1106:W1106">B1107:W1107/C1107</f>
        <v>1.1440000000000001</v>
      </c>
      <c r="C1106" s="18">
        <v>1</v>
      </c>
      <c r="D1106" s="18">
        <v>0.87398234651119966</v>
      </c>
      <c r="E1106" s="18">
        <v>0.76586081910775239</v>
      </c>
      <c r="F1106" s="19">
        <v>0.68476967355516682</v>
      </c>
      <c r="G1106" s="20">
        <v>0.57600000000000007</v>
      </c>
      <c r="H1106" s="30">
        <v>0.54181818181818187</v>
      </c>
      <c r="I1106" s="265">
        <v>0.5127272727272727</v>
      </c>
      <c r="J1106" s="31">
        <v>0.48363636363636364</v>
      </c>
      <c r="K1106" s="266">
        <v>0.45818181818181819</v>
      </c>
      <c r="L1106" s="267">
        <v>0.41090909090909089</v>
      </c>
      <c r="M1106" s="78">
        <v>0.36363636363636365</v>
      </c>
      <c r="N1106" s="79">
        <v>0.32</v>
      </c>
      <c r="O1106" s="86">
        <v>0.27272727272727271</v>
      </c>
      <c r="P1106" s="80">
        <v>0.22545454545454546</v>
      </c>
      <c r="Q1106" s="88">
        <v>0.22545454545454546</v>
      </c>
      <c r="R1106" s="81">
        <v>0.22545454545454546</v>
      </c>
      <c r="S1106" s="81">
        <v>0.22545454545454546</v>
      </c>
      <c r="T1106" s="81">
        <v>0.22545454545454546</v>
      </c>
      <c r="U1106" s="81">
        <v>0.22545454545454546</v>
      </c>
      <c r="V1106" s="81">
        <v>0.22545454545454546</v>
      </c>
      <c r="W1106" s="81">
        <v>0.22545454545454546</v>
      </c>
    </row>
    <row r="1107" spans="1:23" ht="12.75">
      <c r="A1107" s="288" t="s">
        <v>473</v>
      </c>
      <c r="B1107" s="2">
        <v>314.60000000000002</v>
      </c>
      <c r="C1107" s="2">
        <v>275</v>
      </c>
      <c r="D1107" s="2">
        <v>240.34514529057989</v>
      </c>
      <c r="E1107" s="2">
        <v>210.61172525463189</v>
      </c>
      <c r="F1107" s="2">
        <v>188.31166022767087</v>
      </c>
      <c r="G1107" s="2">
        <v>158.4</v>
      </c>
      <c r="H1107" s="2">
        <v>149</v>
      </c>
      <c r="I1107" s="2">
        <v>141</v>
      </c>
      <c r="J1107" s="2">
        <v>133</v>
      </c>
      <c r="K1107" s="2">
        <v>126</v>
      </c>
      <c r="L1107" s="2">
        <v>113</v>
      </c>
      <c r="M1107" s="2">
        <v>100</v>
      </c>
      <c r="N1107" s="2">
        <v>88</v>
      </c>
      <c r="O1107" s="2">
        <v>75</v>
      </c>
      <c r="P1107" s="2">
        <v>62</v>
      </c>
      <c r="Q1107" s="2">
        <v>62</v>
      </c>
      <c r="R1107" s="2">
        <v>62</v>
      </c>
      <c r="S1107" s="2">
        <v>62</v>
      </c>
      <c r="T1107" s="2">
        <v>62</v>
      </c>
      <c r="U1107" s="2">
        <v>62</v>
      </c>
      <c r="V1107" s="2">
        <v>62</v>
      </c>
      <c r="W1107" s="2">
        <v>62</v>
      </c>
    </row>
    <row r="1108" spans="1:23" ht="12.75">
      <c r="A1108" s="289"/>
    </row>
    <row r="1109" spans="1:23" ht="12.75">
      <c r="A1109" s="289" t="s">
        <v>424</v>
      </c>
      <c r="B1109" s="13">
        <v>286</v>
      </c>
      <c r="C1109" s="13">
        <v>250</v>
      </c>
      <c r="D1109" s="2">
        <v>218.4955866277999</v>
      </c>
      <c r="E1109" s="2">
        <v>191.46520477693807</v>
      </c>
      <c r="F1109" s="2">
        <v>171.19241838879168</v>
      </c>
      <c r="G1109" s="2">
        <v>144</v>
      </c>
      <c r="H1109" s="2">
        <v>135</v>
      </c>
      <c r="I1109" s="2">
        <v>128</v>
      </c>
      <c r="J1109" s="2">
        <v>122</v>
      </c>
      <c r="K1109" s="2">
        <v>114</v>
      </c>
      <c r="L1109" s="2">
        <v>102</v>
      </c>
      <c r="M1109" s="2">
        <v>91</v>
      </c>
      <c r="N1109" s="2">
        <v>80</v>
      </c>
      <c r="O1109" s="2">
        <v>68</v>
      </c>
      <c r="P1109" s="2">
        <v>57</v>
      </c>
      <c r="Q1109" s="2">
        <v>57</v>
      </c>
      <c r="R1109" s="2">
        <v>57</v>
      </c>
      <c r="S1109" s="2">
        <v>57</v>
      </c>
      <c r="T1109" s="2">
        <v>57</v>
      </c>
      <c r="U1109" s="2">
        <v>57</v>
      </c>
      <c r="V1109" s="2">
        <v>57</v>
      </c>
      <c r="W1109" s="2">
        <v>57</v>
      </c>
    </row>
    <row r="1110" spans="1:23" ht="15">
      <c r="A1110" s="287" t="s">
        <v>474</v>
      </c>
      <c r="B1110" s="56" t="s">
        <v>121</v>
      </c>
      <c r="C1110" s="56" t="s">
        <v>126</v>
      </c>
      <c r="D1110" s="56" t="s">
        <v>132</v>
      </c>
      <c r="E1110" s="57" t="s">
        <v>24</v>
      </c>
      <c r="F1110" s="43" t="s">
        <v>25</v>
      </c>
      <c r="G1110" s="43" t="s">
        <v>26</v>
      </c>
      <c r="H1110" s="43" t="s">
        <v>27</v>
      </c>
      <c r="I1110" s="43" t="s">
        <v>28</v>
      </c>
      <c r="J1110" s="43" t="s">
        <v>74</v>
      </c>
      <c r="K1110" s="43" t="s">
        <v>75</v>
      </c>
      <c r="L1110" s="43" t="s">
        <v>76</v>
      </c>
      <c r="M1110" s="43" t="s">
        <v>77</v>
      </c>
      <c r="N1110" s="43" t="s">
        <v>78</v>
      </c>
      <c r="O1110" s="43" t="s">
        <v>79</v>
      </c>
      <c r="P1110" s="43" t="s">
        <v>80</v>
      </c>
      <c r="Q1110" s="43" t="s">
        <v>81</v>
      </c>
      <c r="R1110" s="43" t="s">
        <v>82</v>
      </c>
      <c r="S1110" s="43" t="s">
        <v>83</v>
      </c>
      <c r="T1110" s="43" t="s">
        <v>84</v>
      </c>
      <c r="U1110" s="43" t="s">
        <v>85</v>
      </c>
      <c r="V1110" s="43" t="s">
        <v>86</v>
      </c>
      <c r="W1110" s="43" t="s">
        <v>87</v>
      </c>
    </row>
    <row r="1111" spans="1:23" ht="12.75">
      <c r="A1111" s="286" t="s">
        <v>473</v>
      </c>
      <c r="B1111" s="2">
        <f t="array" ref="B1111:W1111">B1107:W1107/1.3</f>
        <v>242</v>
      </c>
      <c r="C1111" s="2">
        <v>211.53846153846152</v>
      </c>
      <c r="D1111" s="2">
        <v>184.88088099275376</v>
      </c>
      <c r="E1111" s="2">
        <v>162.00901942663992</v>
      </c>
      <c r="F1111" s="2">
        <v>144.85512325205451</v>
      </c>
      <c r="G1111" s="2">
        <v>121.84615384615384</v>
      </c>
      <c r="H1111" s="2">
        <v>114.61538461538461</v>
      </c>
      <c r="I1111" s="2">
        <v>108.46153846153845</v>
      </c>
      <c r="J1111" s="2">
        <v>102.30769230769231</v>
      </c>
      <c r="K1111" s="2">
        <v>96.92307692307692</v>
      </c>
      <c r="L1111" s="2">
        <v>86.92307692307692</v>
      </c>
      <c r="M1111" s="2">
        <v>76.92307692307692</v>
      </c>
      <c r="N1111" s="2">
        <v>67.692307692307693</v>
      </c>
      <c r="O1111" s="2">
        <v>57.692307692307693</v>
      </c>
      <c r="P1111" s="2">
        <v>47.692307692307693</v>
      </c>
      <c r="Q1111" s="2">
        <v>47.692307692307693</v>
      </c>
      <c r="R1111" s="2">
        <v>47.692307692307693</v>
      </c>
      <c r="S1111" s="2">
        <v>47.692307692307693</v>
      </c>
      <c r="T1111" s="2">
        <v>47.692307692307693</v>
      </c>
      <c r="U1111" s="2">
        <v>47.692307692307693</v>
      </c>
      <c r="V1111" s="2">
        <v>47.692307692307693</v>
      </c>
      <c r="W1111" s="2">
        <v>47.692307692307693</v>
      </c>
    </row>
    <row r="1112" spans="1:23" ht="12.75">
      <c r="A1112" s="289"/>
    </row>
    <row r="1113" spans="1:23" ht="12.75">
      <c r="A1113" s="289"/>
      <c r="L1113" s="13">
        <v>79</v>
      </c>
    </row>
    <row r="1114" spans="1:23" ht="12.75">
      <c r="A1114" s="289"/>
    </row>
    <row r="1115" spans="1:23" ht="15">
      <c r="A1115" s="287" t="s">
        <v>475</v>
      </c>
      <c r="B1115" s="56" t="s">
        <v>121</v>
      </c>
      <c r="C1115" s="56" t="s">
        <v>126</v>
      </c>
      <c r="D1115" s="56" t="s">
        <v>132</v>
      </c>
      <c r="E1115" s="57" t="s">
        <v>24</v>
      </c>
      <c r="F1115" s="43" t="s">
        <v>25</v>
      </c>
      <c r="G1115" s="43" t="s">
        <v>26</v>
      </c>
      <c r="H1115" s="43" t="s">
        <v>27</v>
      </c>
      <c r="I1115" s="43" t="s">
        <v>28</v>
      </c>
      <c r="J1115" s="43" t="s">
        <v>74</v>
      </c>
      <c r="K1115" s="43" t="s">
        <v>75</v>
      </c>
      <c r="L1115" s="43" t="s">
        <v>76</v>
      </c>
      <c r="M1115" s="43" t="s">
        <v>77</v>
      </c>
      <c r="N1115" s="43" t="s">
        <v>78</v>
      </c>
      <c r="O1115" s="43" t="s">
        <v>79</v>
      </c>
      <c r="P1115" s="43" t="s">
        <v>80</v>
      </c>
      <c r="Q1115" s="43" t="s">
        <v>81</v>
      </c>
      <c r="R1115" s="43" t="s">
        <v>82</v>
      </c>
      <c r="S1115" s="43" t="s">
        <v>83</v>
      </c>
      <c r="T1115" s="43" t="s">
        <v>84</v>
      </c>
      <c r="U1115" s="43" t="s">
        <v>85</v>
      </c>
      <c r="V1115" s="43" t="s">
        <v>86</v>
      </c>
      <c r="W1115" s="43" t="s">
        <v>87</v>
      </c>
    </row>
    <row r="1116" spans="1:23" ht="12.75">
      <c r="A1116" s="286" t="s">
        <v>473</v>
      </c>
      <c r="B1116" s="2">
        <f t="array" ref="B1116:W1116">B1111:W1111*0.7</f>
        <v>169.39999999999998</v>
      </c>
      <c r="C1116" s="2">
        <v>148.07692307692307</v>
      </c>
      <c r="D1116" s="2">
        <v>129.41661669492763</v>
      </c>
      <c r="E1116" s="2">
        <v>113.40631359864794</v>
      </c>
      <c r="F1116" s="2">
        <v>101.39858627643815</v>
      </c>
      <c r="G1116" s="2">
        <v>85.292307692307688</v>
      </c>
      <c r="H1116" s="2">
        <v>80.230769230769226</v>
      </c>
      <c r="I1116" s="2">
        <v>75.923076923076906</v>
      </c>
      <c r="J1116" s="2">
        <v>71.615384615384613</v>
      </c>
      <c r="K1116" s="2">
        <v>67.84615384615384</v>
      </c>
      <c r="L1116" s="2">
        <v>60.84615384615384</v>
      </c>
      <c r="M1116" s="2">
        <v>53.84615384615384</v>
      </c>
      <c r="N1116" s="2">
        <v>47.38461538461538</v>
      </c>
      <c r="O1116" s="2">
        <v>40.38461538461538</v>
      </c>
      <c r="P1116" s="2">
        <v>33.384615384615387</v>
      </c>
      <c r="Q1116" s="2">
        <v>33.384615384615387</v>
      </c>
      <c r="R1116" s="2">
        <v>33.384615384615387</v>
      </c>
      <c r="S1116" s="2">
        <v>33.384615384615387</v>
      </c>
      <c r="T1116" s="2">
        <v>33.384615384615387</v>
      </c>
      <c r="U1116" s="2">
        <v>33.384615384615387</v>
      </c>
      <c r="V1116" s="2">
        <v>33.384615384615387</v>
      </c>
      <c r="W1116" s="2">
        <v>33.384615384615387</v>
      </c>
    </row>
    <row r="1117" spans="1:23" ht="12.75">
      <c r="A1117" s="289"/>
    </row>
    <row r="1118" spans="1:23" ht="12.75">
      <c r="A1118" s="289"/>
    </row>
    <row r="1119" spans="1:23" ht="12.75">
      <c r="A1119" s="289"/>
    </row>
    <row r="1120" spans="1:23" ht="15">
      <c r="A1120" s="287" t="s">
        <v>476</v>
      </c>
      <c r="B1120" s="56" t="s">
        <v>121</v>
      </c>
      <c r="C1120" s="56" t="s">
        <v>126</v>
      </c>
      <c r="D1120" s="56" t="s">
        <v>132</v>
      </c>
      <c r="E1120" s="57" t="s">
        <v>24</v>
      </c>
      <c r="F1120" s="43" t="s">
        <v>25</v>
      </c>
      <c r="G1120" s="43" t="s">
        <v>26</v>
      </c>
      <c r="H1120" s="43" t="s">
        <v>27</v>
      </c>
      <c r="I1120" s="43" t="s">
        <v>28</v>
      </c>
      <c r="J1120" s="43" t="s">
        <v>74</v>
      </c>
      <c r="K1120" s="43" t="s">
        <v>75</v>
      </c>
      <c r="L1120" s="43" t="s">
        <v>76</v>
      </c>
      <c r="M1120" s="43" t="s">
        <v>77</v>
      </c>
      <c r="N1120" s="43" t="s">
        <v>78</v>
      </c>
      <c r="O1120" s="43" t="s">
        <v>79</v>
      </c>
      <c r="P1120" s="43" t="s">
        <v>80</v>
      </c>
      <c r="Q1120" s="43" t="s">
        <v>81</v>
      </c>
      <c r="R1120" s="43" t="s">
        <v>82</v>
      </c>
      <c r="S1120" s="43" t="s">
        <v>83</v>
      </c>
      <c r="T1120" s="43" t="s">
        <v>84</v>
      </c>
      <c r="U1120" s="43" t="s">
        <v>85</v>
      </c>
      <c r="V1120" s="43" t="s">
        <v>86</v>
      </c>
      <c r="W1120" s="43" t="s">
        <v>87</v>
      </c>
    </row>
    <row r="1121" spans="1:23" ht="12.75">
      <c r="A1121" s="286" t="s">
        <v>473</v>
      </c>
      <c r="B1121" s="2">
        <f t="array" ref="B1121:W1121">B1111:W1111*0.65</f>
        <v>157.30000000000001</v>
      </c>
      <c r="C1121" s="2">
        <v>137.5</v>
      </c>
      <c r="D1121" s="2">
        <v>120.17257264528995</v>
      </c>
      <c r="E1121" s="2">
        <v>105.30586262731596</v>
      </c>
      <c r="F1121" s="2">
        <v>94.155830113835435</v>
      </c>
      <c r="G1121" s="2">
        <v>79.2</v>
      </c>
      <c r="H1121" s="2">
        <v>74.5</v>
      </c>
      <c r="I1121" s="2">
        <v>70.5</v>
      </c>
      <c r="J1121" s="2">
        <v>66.5</v>
      </c>
      <c r="K1121" s="2">
        <v>63</v>
      </c>
      <c r="L1121" s="2">
        <v>56.5</v>
      </c>
      <c r="M1121" s="2">
        <v>50</v>
      </c>
      <c r="N1121" s="2">
        <v>44</v>
      </c>
      <c r="O1121" s="2">
        <v>37.5</v>
      </c>
      <c r="P1121" s="2">
        <v>31</v>
      </c>
      <c r="Q1121" s="2">
        <v>31</v>
      </c>
      <c r="R1121" s="2">
        <v>31</v>
      </c>
      <c r="S1121" s="2">
        <v>31</v>
      </c>
      <c r="T1121" s="2">
        <v>31</v>
      </c>
      <c r="U1121" s="2">
        <v>31</v>
      </c>
      <c r="V1121" s="2">
        <v>31</v>
      </c>
      <c r="W1121" s="2">
        <v>31</v>
      </c>
    </row>
    <row r="1122" spans="1:23" ht="12.75">
      <c r="A1122" s="5"/>
    </row>
    <row r="1123" spans="1:23" ht="15">
      <c r="A1123" s="242" t="s">
        <v>477</v>
      </c>
      <c r="B1123" s="57" t="s">
        <v>121</v>
      </c>
      <c r="C1123" s="57" t="s">
        <v>126</v>
      </c>
      <c r="D1123" s="57" t="s">
        <v>132</v>
      </c>
      <c r="E1123" s="57" t="s">
        <v>24</v>
      </c>
      <c r="F1123" s="43" t="s">
        <v>25</v>
      </c>
      <c r="G1123" s="43" t="s">
        <v>26</v>
      </c>
      <c r="H1123" s="43" t="s">
        <v>27</v>
      </c>
      <c r="I1123" s="43" t="s">
        <v>28</v>
      </c>
      <c r="J1123" s="43" t="s">
        <v>74</v>
      </c>
      <c r="K1123" s="43" t="s">
        <v>75</v>
      </c>
      <c r="L1123" s="43" t="s">
        <v>76</v>
      </c>
      <c r="M1123" s="43" t="s">
        <v>77</v>
      </c>
      <c r="N1123" s="43" t="s">
        <v>78</v>
      </c>
      <c r="O1123" s="43" t="s">
        <v>79</v>
      </c>
      <c r="P1123" s="290" t="s">
        <v>80</v>
      </c>
      <c r="Q1123" s="43" t="s">
        <v>81</v>
      </c>
      <c r="R1123" s="43" t="s">
        <v>82</v>
      </c>
      <c r="S1123" s="43" t="s">
        <v>83</v>
      </c>
      <c r="T1123" s="43" t="s">
        <v>84</v>
      </c>
      <c r="U1123" s="43" t="s">
        <v>85</v>
      </c>
      <c r="V1123" s="43" t="s">
        <v>86</v>
      </c>
      <c r="W1123" s="43" t="s">
        <v>87</v>
      </c>
    </row>
    <row r="1124" spans="1:23" ht="15">
      <c r="A1124" s="291" t="s">
        <v>156</v>
      </c>
      <c r="B1124" s="18">
        <v>1</v>
      </c>
      <c r="C1124" s="33">
        <v>0.8828125</v>
      </c>
      <c r="D1124" s="292">
        <v>0.7578125</v>
      </c>
      <c r="E1124" s="87">
        <v>0.6640625</v>
      </c>
      <c r="F1124" s="81">
        <v>0.59375</v>
      </c>
      <c r="G1124" s="293">
        <v>0.5078125</v>
      </c>
      <c r="H1124" s="294">
        <v>0.4765625</v>
      </c>
      <c r="I1124" s="295">
        <v>0.4453125</v>
      </c>
      <c r="J1124" s="83">
        <v>0.421875</v>
      </c>
      <c r="K1124" s="296">
        <v>0.39538842103554067</v>
      </c>
      <c r="L1124" s="297">
        <v>0.3537685872423259</v>
      </c>
      <c r="M1124" s="99">
        <v>0.31561707293187896</v>
      </c>
      <c r="N1124" s="298">
        <v>0.27746555862143207</v>
      </c>
      <c r="O1124" s="299">
        <v>0.23584572482821725</v>
      </c>
      <c r="P1124" s="94">
        <v>0.19769421051777034</v>
      </c>
      <c r="Q1124" s="94">
        <v>0.19769421051777034</v>
      </c>
      <c r="R1124" s="94">
        <v>0.19769421051777034</v>
      </c>
      <c r="S1124" s="94">
        <v>0.19769421051777034</v>
      </c>
      <c r="T1124" s="94">
        <v>0.19769421051777034</v>
      </c>
      <c r="U1124" s="94">
        <v>0.19769421051777034</v>
      </c>
      <c r="V1124" s="94">
        <v>0.19769421051777034</v>
      </c>
      <c r="W1124" s="94">
        <v>0.19769421051777034</v>
      </c>
    </row>
    <row r="1125" spans="1:23" ht="15">
      <c r="A1125" s="291" t="s">
        <v>155</v>
      </c>
      <c r="B1125" s="18" t="e">
        <f t="array" ref="B1125:W1125">B1128:W1128/C1128</f>
        <v>#DIV/0!</v>
      </c>
      <c r="C1125" s="18" t="e">
        <v>#DIV/0!</v>
      </c>
      <c r="D1125" s="300" t="e">
        <v>#DIV/0!</v>
      </c>
      <c r="E1125" s="301" t="e">
        <v>#DIV/0!</v>
      </c>
      <c r="F1125" s="80" t="e">
        <v>#DIV/0!</v>
      </c>
      <c r="G1125" s="89" t="e">
        <v>#DIV/0!</v>
      </c>
      <c r="H1125" s="302" t="e">
        <v>#DIV/0!</v>
      </c>
      <c r="I1125" s="82" t="e">
        <v>#DIV/0!</v>
      </c>
      <c r="J1125" s="303" t="e">
        <v>#DIV/0!</v>
      </c>
      <c r="K1125" s="304" t="e">
        <v>#DIV/0!</v>
      </c>
      <c r="L1125" s="305" t="e">
        <v>#DIV/0!</v>
      </c>
      <c r="M1125" s="306" t="e">
        <v>#DIV/0!</v>
      </c>
      <c r="N1125" s="307" t="e">
        <v>#DIV/0!</v>
      </c>
      <c r="O1125" s="308" t="e">
        <v>#DIV/0!</v>
      </c>
      <c r="P1125" s="309" t="e">
        <v>#DIV/0!</v>
      </c>
      <c r="Q1125" s="309" t="e">
        <v>#DIV/0!</v>
      </c>
      <c r="R1125" s="309" t="e">
        <v>#DIV/0!</v>
      </c>
      <c r="S1125" s="309" t="e">
        <v>#DIV/0!</v>
      </c>
      <c r="T1125" s="309" t="e">
        <v>#DIV/0!</v>
      </c>
      <c r="U1125" s="309" t="e">
        <v>#DIV/0!</v>
      </c>
      <c r="V1125" s="309" t="e">
        <v>#DIV/0!</v>
      </c>
      <c r="W1125" s="309" t="e">
        <v>#DIV/0!</v>
      </c>
    </row>
    <row r="1126" spans="1:23" ht="12.75">
      <c r="A1126" s="242" t="s">
        <v>423</v>
      </c>
      <c r="B1126" s="241">
        <v>128</v>
      </c>
      <c r="C1126" s="241">
        <v>113</v>
      </c>
      <c r="D1126" s="241">
        <v>97</v>
      </c>
      <c r="E1126" s="241">
        <v>85</v>
      </c>
      <c r="F1126" s="241">
        <v>74</v>
      </c>
      <c r="G1126" s="241">
        <v>62</v>
      </c>
      <c r="H1126" s="241">
        <v>58</v>
      </c>
      <c r="I1126" s="241">
        <v>55</v>
      </c>
      <c r="J1126" s="241">
        <v>53</v>
      </c>
      <c r="K1126" s="241">
        <v>50</v>
      </c>
      <c r="L1126" s="241">
        <v>45</v>
      </c>
      <c r="M1126" s="241">
        <v>40</v>
      </c>
      <c r="N1126" s="241">
        <v>35</v>
      </c>
      <c r="O1126" s="241">
        <v>29</v>
      </c>
      <c r="P1126" s="241">
        <v>24</v>
      </c>
      <c r="Q1126" s="241">
        <v>24</v>
      </c>
      <c r="R1126" s="241">
        <v>24</v>
      </c>
      <c r="S1126" s="241">
        <v>24</v>
      </c>
      <c r="T1126" s="241">
        <v>24</v>
      </c>
      <c r="U1126" s="241">
        <v>24</v>
      </c>
      <c r="V1126" s="241">
        <v>24</v>
      </c>
      <c r="W1126" s="241">
        <v>24</v>
      </c>
    </row>
    <row r="1127" spans="1:23" ht="12.75">
      <c r="A1127" s="109" t="s">
        <v>424</v>
      </c>
      <c r="B1127" s="58"/>
      <c r="C1127" s="58"/>
      <c r="D1127" s="58"/>
      <c r="E1127" s="58"/>
      <c r="F1127" s="58"/>
      <c r="G1127" s="241">
        <v>139</v>
      </c>
      <c r="H1127" s="241">
        <v>131</v>
      </c>
      <c r="I1127" s="241">
        <v>126</v>
      </c>
      <c r="J1127" s="241">
        <v>119</v>
      </c>
      <c r="K1127" s="241">
        <v>114</v>
      </c>
      <c r="L1127" s="241">
        <v>102</v>
      </c>
      <c r="M1127" s="241">
        <v>91</v>
      </c>
      <c r="N1127" s="241">
        <v>80</v>
      </c>
      <c r="O1127" s="241">
        <v>68</v>
      </c>
      <c r="P1127" s="241">
        <v>57</v>
      </c>
      <c r="Q1127" s="241">
        <v>57</v>
      </c>
      <c r="R1127" s="241">
        <v>57</v>
      </c>
      <c r="S1127" s="241">
        <v>57</v>
      </c>
      <c r="T1127" s="241">
        <v>57</v>
      </c>
      <c r="U1127" s="241">
        <v>57</v>
      </c>
      <c r="V1127" s="241">
        <v>57</v>
      </c>
      <c r="W1127" s="241">
        <v>57</v>
      </c>
    </row>
    <row r="1128" spans="1:23" ht="12.75">
      <c r="A1128" s="109" t="s">
        <v>473</v>
      </c>
      <c r="B1128" s="58"/>
      <c r="C1128" s="58"/>
      <c r="D1128" s="58"/>
      <c r="E1128" s="58"/>
      <c r="F1128" s="58"/>
      <c r="G1128" s="58"/>
      <c r="H1128" s="241">
        <v>144</v>
      </c>
      <c r="I1128" s="241">
        <v>137</v>
      </c>
      <c r="J1128" s="241">
        <v>132</v>
      </c>
      <c r="K1128" s="241">
        <v>126</v>
      </c>
      <c r="L1128" s="241">
        <v>113</v>
      </c>
      <c r="M1128" s="241">
        <v>100</v>
      </c>
      <c r="N1128" s="241">
        <v>88</v>
      </c>
      <c r="O1128" s="241">
        <v>75</v>
      </c>
      <c r="P1128" s="241">
        <v>62</v>
      </c>
      <c r="Q1128" s="241">
        <v>62</v>
      </c>
      <c r="R1128" s="241">
        <v>62</v>
      </c>
      <c r="S1128" s="241">
        <v>62</v>
      </c>
      <c r="T1128" s="241">
        <v>62</v>
      </c>
      <c r="U1128" s="241">
        <v>62</v>
      </c>
      <c r="V1128" s="241">
        <v>62</v>
      </c>
      <c r="W1128" s="241">
        <v>62</v>
      </c>
    </row>
    <row r="1130" spans="1:23" ht="15">
      <c r="A1130" s="291" t="s">
        <v>478</v>
      </c>
      <c r="B1130" s="57" t="s">
        <v>121</v>
      </c>
      <c r="C1130" s="57" t="s">
        <v>126</v>
      </c>
      <c r="D1130" s="57" t="s">
        <v>132</v>
      </c>
      <c r="E1130" s="57" t="s">
        <v>24</v>
      </c>
      <c r="F1130" s="43" t="s">
        <v>25</v>
      </c>
      <c r="G1130" s="43" t="s">
        <v>26</v>
      </c>
      <c r="H1130" s="43" t="s">
        <v>27</v>
      </c>
      <c r="I1130" s="43" t="s">
        <v>28</v>
      </c>
      <c r="J1130" s="43" t="s">
        <v>74</v>
      </c>
      <c r="K1130" s="43" t="s">
        <v>75</v>
      </c>
      <c r="L1130" s="43" t="s">
        <v>76</v>
      </c>
      <c r="M1130" s="43" t="s">
        <v>77</v>
      </c>
      <c r="N1130" s="43" t="s">
        <v>78</v>
      </c>
      <c r="O1130" s="43" t="s">
        <v>79</v>
      </c>
      <c r="P1130" s="290" t="s">
        <v>80</v>
      </c>
      <c r="Q1130" s="43" t="s">
        <v>81</v>
      </c>
      <c r="R1130" s="43" t="s">
        <v>82</v>
      </c>
      <c r="S1130" s="43" t="s">
        <v>83</v>
      </c>
      <c r="T1130" s="43" t="s">
        <v>84</v>
      </c>
      <c r="U1130" s="43" t="s">
        <v>85</v>
      </c>
      <c r="V1130" s="43" t="s">
        <v>86</v>
      </c>
      <c r="W1130" s="43" t="s">
        <v>87</v>
      </c>
    </row>
    <row r="1131" spans="1:23" ht="12.75">
      <c r="A1131" s="242" t="s">
        <v>423</v>
      </c>
      <c r="B1131" s="13">
        <v>99</v>
      </c>
      <c r="C1131" s="13">
        <v>87</v>
      </c>
      <c r="D1131" s="13">
        <v>75</v>
      </c>
      <c r="E1131" s="269">
        <f t="array" ref="E1131:W1131">ROUNDUP(E1126:W1126/1.3,0)</f>
        <v>66</v>
      </c>
      <c r="F1131" s="269">
        <v>57</v>
      </c>
      <c r="G1131" s="269">
        <v>48</v>
      </c>
      <c r="H1131" s="269">
        <v>45</v>
      </c>
      <c r="I1131" s="269">
        <v>43</v>
      </c>
      <c r="J1131" s="269">
        <v>41</v>
      </c>
      <c r="K1131" s="269">
        <v>39</v>
      </c>
      <c r="L1131" s="269">
        <v>35</v>
      </c>
      <c r="M1131" s="269">
        <v>31</v>
      </c>
      <c r="N1131" s="269">
        <v>27</v>
      </c>
      <c r="O1131" s="269">
        <v>23</v>
      </c>
      <c r="P1131" s="269">
        <v>19</v>
      </c>
      <c r="Q1131" s="269">
        <v>19</v>
      </c>
      <c r="R1131" s="269">
        <v>19</v>
      </c>
      <c r="S1131" s="269">
        <v>19</v>
      </c>
      <c r="T1131" s="269">
        <v>19</v>
      </c>
      <c r="U1131" s="269">
        <v>19</v>
      </c>
      <c r="V1131" s="269">
        <v>19</v>
      </c>
      <c r="W1131" s="269">
        <v>19</v>
      </c>
    </row>
    <row r="1132" spans="1:23" ht="12.75">
      <c r="A1132" s="109" t="s">
        <v>424</v>
      </c>
      <c r="B1132" s="269">
        <f t="array" ref="B1132:D1132">ROUNDUP(B1142:D1142/0.65,0)</f>
        <v>220</v>
      </c>
      <c r="C1132" s="269">
        <v>194</v>
      </c>
      <c r="D1132" s="269">
        <v>167</v>
      </c>
      <c r="E1132" s="13">
        <v>147</v>
      </c>
      <c r="F1132" s="13">
        <v>127</v>
      </c>
      <c r="G1132" s="269">
        <f t="array" ref="G1132:W1132">ROUNDUP(G1127:W1127/1.3,0)</f>
        <v>107</v>
      </c>
      <c r="H1132" s="269">
        <v>101</v>
      </c>
      <c r="I1132" s="269">
        <v>97</v>
      </c>
      <c r="J1132" s="269">
        <v>92</v>
      </c>
      <c r="K1132" s="269">
        <v>88</v>
      </c>
      <c r="L1132" s="269">
        <v>79</v>
      </c>
      <c r="M1132" s="269">
        <v>70</v>
      </c>
      <c r="N1132" s="269">
        <v>62</v>
      </c>
      <c r="O1132" s="269">
        <v>53</v>
      </c>
      <c r="P1132" s="269">
        <v>44</v>
      </c>
      <c r="Q1132" s="269">
        <v>44</v>
      </c>
      <c r="R1132" s="269">
        <v>44</v>
      </c>
      <c r="S1132" s="269">
        <v>44</v>
      </c>
      <c r="T1132" s="269">
        <v>44</v>
      </c>
      <c r="U1132" s="269">
        <v>44</v>
      </c>
      <c r="V1132" s="269">
        <v>44</v>
      </c>
      <c r="W1132" s="269">
        <v>44</v>
      </c>
    </row>
    <row r="1133" spans="1:23" ht="12.75">
      <c r="A1133" s="109" t="s">
        <v>473</v>
      </c>
      <c r="B1133" s="310">
        <f t="array" ref="B1133:E1133">ROUNDUP(B1143:E1143/0.65,0)</f>
        <v>242</v>
      </c>
      <c r="C1133" s="310">
        <v>214</v>
      </c>
      <c r="D1133" s="310">
        <v>184</v>
      </c>
      <c r="E1133" s="310">
        <v>160</v>
      </c>
      <c r="F1133" s="241">
        <v>139</v>
      </c>
      <c r="G1133" s="241">
        <v>118</v>
      </c>
      <c r="H1133" s="310">
        <f t="array" ref="H1133:W1133">ROUNDUP(H1128:W1128/1.3,0)</f>
        <v>111</v>
      </c>
      <c r="I1133" s="310">
        <v>106</v>
      </c>
      <c r="J1133" s="310">
        <v>102</v>
      </c>
      <c r="K1133" s="310">
        <v>97</v>
      </c>
      <c r="L1133" s="310">
        <v>87</v>
      </c>
      <c r="M1133" s="310">
        <v>77</v>
      </c>
      <c r="N1133" s="310">
        <v>68</v>
      </c>
      <c r="O1133" s="310">
        <v>58</v>
      </c>
      <c r="P1133" s="310">
        <v>48</v>
      </c>
      <c r="Q1133" s="310">
        <v>48</v>
      </c>
      <c r="R1133" s="310">
        <v>48</v>
      </c>
      <c r="S1133" s="310">
        <v>48</v>
      </c>
      <c r="T1133" s="310">
        <v>48</v>
      </c>
      <c r="U1133" s="310">
        <v>48</v>
      </c>
      <c r="V1133" s="310">
        <v>48</v>
      </c>
      <c r="W1133" s="310">
        <v>48</v>
      </c>
    </row>
    <row r="1134" spans="1:23" ht="12.75">
      <c r="A1134" s="109"/>
      <c r="B1134" s="109"/>
      <c r="C1134" s="109"/>
      <c r="D1134" s="109"/>
      <c r="E1134" s="109"/>
      <c r="F1134" s="109"/>
      <c r="G1134" s="109"/>
      <c r="H1134" s="109"/>
      <c r="I1134" s="109"/>
      <c r="J1134" s="109"/>
      <c r="K1134" s="109"/>
      <c r="L1134" s="109"/>
      <c r="M1134" s="109"/>
      <c r="N1134" s="109"/>
      <c r="O1134" s="109"/>
      <c r="P1134" s="109"/>
      <c r="Q1134" s="109"/>
      <c r="R1134" s="109"/>
      <c r="S1134" s="109"/>
      <c r="T1134" s="109"/>
      <c r="U1134" s="109"/>
      <c r="V1134" s="109"/>
      <c r="W1134" s="109"/>
    </row>
    <row r="1135" spans="1:23" ht="15">
      <c r="A1135" s="291" t="s">
        <v>479</v>
      </c>
      <c r="B1135" s="57" t="s">
        <v>121</v>
      </c>
      <c r="C1135" s="57" t="s">
        <v>126</v>
      </c>
      <c r="D1135" s="57" t="s">
        <v>132</v>
      </c>
      <c r="E1135" s="57" t="s">
        <v>24</v>
      </c>
      <c r="F1135" s="43" t="s">
        <v>25</v>
      </c>
      <c r="G1135" s="43" t="s">
        <v>26</v>
      </c>
      <c r="H1135" s="43" t="s">
        <v>27</v>
      </c>
      <c r="I1135" s="43" t="s">
        <v>28</v>
      </c>
      <c r="J1135" s="43" t="s">
        <v>74</v>
      </c>
      <c r="K1135" s="43" t="s">
        <v>75</v>
      </c>
      <c r="L1135" s="43" t="s">
        <v>76</v>
      </c>
      <c r="M1135" s="43" t="s">
        <v>77</v>
      </c>
      <c r="N1135" s="43" t="s">
        <v>78</v>
      </c>
      <c r="O1135" s="43" t="s">
        <v>79</v>
      </c>
      <c r="P1135" s="290" t="s">
        <v>80</v>
      </c>
      <c r="Q1135" s="43" t="s">
        <v>81</v>
      </c>
      <c r="R1135" s="43" t="s">
        <v>82</v>
      </c>
      <c r="S1135" s="43" t="s">
        <v>83</v>
      </c>
      <c r="T1135" s="43" t="s">
        <v>84</v>
      </c>
      <c r="U1135" s="43" t="s">
        <v>85</v>
      </c>
      <c r="V1135" s="43" t="s">
        <v>86</v>
      </c>
      <c r="W1135" s="43" t="s">
        <v>87</v>
      </c>
    </row>
    <row r="1136" spans="1:23" ht="12.75">
      <c r="A1136" s="242" t="s">
        <v>423</v>
      </c>
      <c r="B1136" s="13">
        <v>69</v>
      </c>
      <c r="C1136" s="13">
        <v>60</v>
      </c>
      <c r="D1136" s="13">
        <v>52</v>
      </c>
    </row>
    <row r="1137" spans="1:23" ht="12.75">
      <c r="A1137" s="109" t="s">
        <v>424</v>
      </c>
      <c r="B1137" s="109"/>
      <c r="C1137" s="242">
        <v>136</v>
      </c>
      <c r="D1137" s="242">
        <v>116</v>
      </c>
      <c r="E1137" s="109"/>
      <c r="F1137" s="109"/>
      <c r="G1137" s="109"/>
      <c r="H1137" s="109"/>
      <c r="I1137" s="109"/>
      <c r="J1137" s="109"/>
      <c r="K1137" s="109"/>
      <c r="L1137" s="109"/>
      <c r="M1137" s="109"/>
      <c r="N1137" s="109"/>
      <c r="O1137" s="109"/>
      <c r="P1137" s="109"/>
      <c r="Q1137" s="109"/>
      <c r="R1137" s="109"/>
      <c r="S1137" s="109"/>
      <c r="T1137" s="109"/>
      <c r="U1137" s="109"/>
      <c r="V1137" s="109"/>
      <c r="W1137" s="109"/>
    </row>
    <row r="1138" spans="1:23" ht="12.75">
      <c r="A1138" s="109" t="s">
        <v>473</v>
      </c>
      <c r="B1138" s="58"/>
      <c r="C1138" s="241">
        <v>149</v>
      </c>
      <c r="D1138" s="241">
        <v>128</v>
      </c>
      <c r="E1138" s="241">
        <v>112</v>
      </c>
      <c r="F1138" s="58"/>
      <c r="G1138" s="58"/>
      <c r="H1138" s="58"/>
      <c r="I1138" s="58"/>
      <c r="J1138" s="58"/>
      <c r="K1138" s="58"/>
      <c r="L1138" s="58"/>
      <c r="M1138" s="58"/>
      <c r="N1138" s="58"/>
      <c r="O1138" s="58"/>
      <c r="P1138" s="58"/>
      <c r="Q1138" s="58"/>
      <c r="R1138" s="58"/>
      <c r="S1138" s="58"/>
      <c r="T1138" s="58"/>
      <c r="U1138" s="58"/>
      <c r="V1138" s="58"/>
      <c r="W1138" s="58"/>
    </row>
    <row r="1139" spans="1:23" ht="12.75">
      <c r="A1139" s="109"/>
      <c r="B1139" s="109"/>
      <c r="C1139" s="109"/>
      <c r="D1139" s="109"/>
      <c r="E1139" s="109"/>
      <c r="F1139" s="109"/>
      <c r="G1139" s="109"/>
      <c r="H1139" s="109"/>
      <c r="I1139" s="109"/>
      <c r="J1139" s="109"/>
      <c r="K1139" s="109"/>
      <c r="L1139" s="109"/>
      <c r="M1139" s="109"/>
      <c r="N1139" s="109"/>
      <c r="O1139" s="109"/>
      <c r="P1139" s="109"/>
      <c r="Q1139" s="109"/>
      <c r="R1139" s="109"/>
      <c r="S1139" s="109"/>
      <c r="T1139" s="109"/>
      <c r="U1139" s="109"/>
      <c r="V1139" s="109"/>
      <c r="W1139" s="109"/>
    </row>
    <row r="1140" spans="1:23" ht="15">
      <c r="A1140" s="291" t="s">
        <v>480</v>
      </c>
      <c r="B1140" s="57" t="s">
        <v>121</v>
      </c>
      <c r="C1140" s="57" t="s">
        <v>126</v>
      </c>
      <c r="D1140" s="57" t="s">
        <v>132</v>
      </c>
      <c r="E1140" s="57" t="s">
        <v>24</v>
      </c>
      <c r="F1140" s="43" t="s">
        <v>25</v>
      </c>
      <c r="G1140" s="43" t="s">
        <v>26</v>
      </c>
      <c r="H1140" s="43" t="s">
        <v>27</v>
      </c>
      <c r="I1140" s="43" t="s">
        <v>28</v>
      </c>
      <c r="J1140" s="43" t="s">
        <v>74</v>
      </c>
      <c r="K1140" s="43" t="s">
        <v>75</v>
      </c>
      <c r="L1140" s="43" t="s">
        <v>76</v>
      </c>
      <c r="M1140" s="43" t="s">
        <v>77</v>
      </c>
      <c r="N1140" s="43" t="s">
        <v>78</v>
      </c>
      <c r="O1140" s="43" t="s">
        <v>79</v>
      </c>
      <c r="P1140" s="290" t="s">
        <v>80</v>
      </c>
      <c r="Q1140" s="43" t="s">
        <v>81</v>
      </c>
      <c r="R1140" s="43" t="s">
        <v>82</v>
      </c>
      <c r="S1140" s="43" t="s">
        <v>83</v>
      </c>
      <c r="T1140" s="43" t="s">
        <v>84</v>
      </c>
      <c r="U1140" s="43" t="s">
        <v>85</v>
      </c>
      <c r="V1140" s="43" t="s">
        <v>86</v>
      </c>
      <c r="W1140" s="43" t="s">
        <v>87</v>
      </c>
    </row>
    <row r="1141" spans="1:23" ht="12.75">
      <c r="A1141" s="242" t="s">
        <v>423</v>
      </c>
      <c r="B1141" s="241">
        <v>64</v>
      </c>
      <c r="C1141" s="241">
        <v>56</v>
      </c>
      <c r="D1141" s="241">
        <v>48</v>
      </c>
      <c r="E1141" s="248"/>
      <c r="F1141" s="58"/>
      <c r="G1141" s="58"/>
      <c r="H1141" s="58"/>
      <c r="I1141" s="58"/>
      <c r="J1141" s="58"/>
      <c r="K1141" s="58"/>
      <c r="L1141" s="58"/>
      <c r="M1141" s="58"/>
      <c r="N1141" s="58"/>
      <c r="O1141" s="58"/>
      <c r="P1141" s="58"/>
      <c r="Q1141" s="58"/>
      <c r="R1141" s="58"/>
      <c r="S1141" s="58"/>
      <c r="T1141" s="58"/>
      <c r="U1141" s="58"/>
      <c r="V1141" s="58"/>
      <c r="W1141" s="58"/>
    </row>
    <row r="1142" spans="1:23" ht="12.75">
      <c r="A1142" s="109" t="s">
        <v>424</v>
      </c>
      <c r="B1142" s="13">
        <v>143</v>
      </c>
      <c r="C1142" s="13">
        <v>126</v>
      </c>
      <c r="D1142" s="13">
        <v>108</v>
      </c>
      <c r="E1142" s="13"/>
    </row>
    <row r="1143" spans="1:23" ht="12.75">
      <c r="A1143" s="109" t="s">
        <v>473</v>
      </c>
      <c r="B1143" s="13">
        <v>157</v>
      </c>
      <c r="C1143" s="13">
        <v>139</v>
      </c>
      <c r="D1143" s="13">
        <v>119</v>
      </c>
      <c r="E1143" s="13">
        <v>104</v>
      </c>
    </row>
    <row r="1144" spans="1:23" ht="12.75">
      <c r="A1144" s="246"/>
      <c r="B1144" s="13"/>
      <c r="C1144" s="13"/>
      <c r="D1144" s="13"/>
      <c r="E1144" s="13"/>
    </row>
    <row r="1145" spans="1:23" ht="12.75">
      <c r="A1145" s="246" t="s">
        <v>223</v>
      </c>
      <c r="B1145" s="13">
        <v>150</v>
      </c>
      <c r="C1145" s="13">
        <v>139</v>
      </c>
      <c r="D1145" s="13">
        <v>92</v>
      </c>
      <c r="E1145" s="13">
        <v>81</v>
      </c>
    </row>
    <row r="1146" spans="1:23" ht="12.75">
      <c r="A1146" s="246" t="s">
        <v>210</v>
      </c>
      <c r="B1146" s="13">
        <v>162</v>
      </c>
      <c r="C1146" s="108" t="s">
        <v>201</v>
      </c>
      <c r="D1146" s="108">
        <v>100</v>
      </c>
      <c r="E1146" s="13">
        <v>87</v>
      </c>
    </row>
    <row r="1147" spans="1:23" ht="12.75">
      <c r="A1147" s="246" t="s">
        <v>200</v>
      </c>
      <c r="B1147" s="13">
        <v>200</v>
      </c>
      <c r="C1147" s="108" t="s">
        <v>201</v>
      </c>
      <c r="D1147" s="108" t="s">
        <v>201</v>
      </c>
      <c r="E1147" s="13">
        <v>110</v>
      </c>
    </row>
    <row r="1148" spans="1:23" ht="12.75">
      <c r="A1148" s="5"/>
    </row>
    <row r="1149" spans="1:23" ht="15">
      <c r="A1149" s="50" t="s">
        <v>481</v>
      </c>
      <c r="B1149" s="56" t="s">
        <v>121</v>
      </c>
      <c r="C1149" s="56" t="s">
        <v>126</v>
      </c>
      <c r="D1149" s="56" t="s">
        <v>132</v>
      </c>
      <c r="E1149" s="57" t="s">
        <v>24</v>
      </c>
      <c r="F1149" s="43" t="s">
        <v>25</v>
      </c>
      <c r="G1149" s="43" t="s">
        <v>26</v>
      </c>
      <c r="H1149" s="43" t="s">
        <v>27</v>
      </c>
      <c r="I1149" s="43" t="s">
        <v>28</v>
      </c>
      <c r="J1149" s="43" t="s">
        <v>74</v>
      </c>
      <c r="K1149" s="43" t="s">
        <v>75</v>
      </c>
      <c r="L1149" s="43" t="s">
        <v>76</v>
      </c>
      <c r="M1149" s="43" t="s">
        <v>77</v>
      </c>
      <c r="N1149" s="43" t="s">
        <v>78</v>
      </c>
      <c r="O1149" s="43" t="s">
        <v>79</v>
      </c>
      <c r="P1149" s="43" t="s">
        <v>80</v>
      </c>
      <c r="Q1149" s="43" t="s">
        <v>81</v>
      </c>
      <c r="R1149" s="43" t="s">
        <v>82</v>
      </c>
      <c r="S1149" s="43" t="s">
        <v>83</v>
      </c>
      <c r="T1149" s="43" t="s">
        <v>84</v>
      </c>
      <c r="U1149" s="43" t="s">
        <v>85</v>
      </c>
      <c r="V1149" s="43" t="s">
        <v>86</v>
      </c>
      <c r="W1149" s="43" t="s">
        <v>87</v>
      </c>
    </row>
    <row r="1150" spans="1:23" ht="12.75">
      <c r="A1150" s="5"/>
    </row>
    <row r="1151" spans="1:23" ht="12.75">
      <c r="A1151" s="246" t="s">
        <v>188</v>
      </c>
      <c r="B1151" s="272">
        <v>158.6</v>
      </c>
      <c r="C1151" s="13">
        <v>150</v>
      </c>
      <c r="D1151" s="13">
        <v>140</v>
      </c>
      <c r="E1151" s="13">
        <v>130</v>
      </c>
      <c r="F1151" s="13">
        <v>119</v>
      </c>
      <c r="G1151" s="13">
        <v>106</v>
      </c>
      <c r="H1151" s="13">
        <v>93</v>
      </c>
      <c r="I1151" s="13">
        <v>79</v>
      </c>
      <c r="J1151" s="13">
        <v>75</v>
      </c>
      <c r="K1151" s="13">
        <v>72</v>
      </c>
      <c r="L1151" s="13">
        <v>66</v>
      </c>
      <c r="M1151" s="272">
        <v>58.5</v>
      </c>
      <c r="N1151" s="13">
        <v>49</v>
      </c>
      <c r="O1151" s="13">
        <v>40</v>
      </c>
      <c r="P1151" s="13">
        <v>31</v>
      </c>
      <c r="Q1151" s="272">
        <v>31</v>
      </c>
      <c r="R1151" s="272">
        <v>31</v>
      </c>
      <c r="S1151" s="272">
        <v>31</v>
      </c>
      <c r="T1151" s="272">
        <v>31</v>
      </c>
      <c r="U1151" s="272">
        <v>31</v>
      </c>
      <c r="V1151" s="272">
        <v>31</v>
      </c>
      <c r="W1151" s="272">
        <v>31</v>
      </c>
    </row>
    <row r="1152" spans="1:23" ht="12.75">
      <c r="A1152" s="246" t="s">
        <v>189</v>
      </c>
      <c r="B1152" s="13">
        <v>122</v>
      </c>
      <c r="C1152" s="13">
        <v>116</v>
      </c>
      <c r="D1152" s="13">
        <v>108</v>
      </c>
      <c r="E1152" s="272">
        <v>100</v>
      </c>
      <c r="F1152" s="272">
        <v>91.53</v>
      </c>
      <c r="G1152" s="272">
        <v>81.53</v>
      </c>
      <c r="H1152" s="272">
        <v>71.53</v>
      </c>
      <c r="I1152" s="272">
        <v>60.76</v>
      </c>
      <c r="J1152" s="272">
        <v>57.69</v>
      </c>
      <c r="K1152" s="272">
        <v>55.38</v>
      </c>
      <c r="L1152" s="272">
        <v>50.77</v>
      </c>
      <c r="M1152" s="13">
        <v>45</v>
      </c>
      <c r="N1152" s="272">
        <v>37.69</v>
      </c>
      <c r="O1152" s="272">
        <v>30.76</v>
      </c>
      <c r="P1152" s="2">
        <v>24</v>
      </c>
      <c r="Q1152" s="2">
        <v>24</v>
      </c>
      <c r="R1152" s="311">
        <v>24</v>
      </c>
      <c r="S1152" s="311">
        <v>24</v>
      </c>
      <c r="T1152" s="311">
        <v>24</v>
      </c>
      <c r="U1152" s="311">
        <v>24</v>
      </c>
      <c r="V1152" s="311">
        <v>24</v>
      </c>
      <c r="W1152" s="311">
        <v>24</v>
      </c>
    </row>
    <row r="1153" spans="1:23" ht="12.75">
      <c r="A1153" s="246" t="s">
        <v>366</v>
      </c>
      <c r="B1153" s="13">
        <v>91</v>
      </c>
      <c r="C1153" s="13">
        <v>87</v>
      </c>
      <c r="D1153" s="272">
        <v>81</v>
      </c>
      <c r="E1153" s="272">
        <v>75</v>
      </c>
      <c r="F1153" s="272">
        <v>68.650000000000006</v>
      </c>
      <c r="G1153" s="272">
        <v>61.15</v>
      </c>
      <c r="H1153" s="272">
        <v>53.65</v>
      </c>
      <c r="I1153" s="272">
        <v>45.57</v>
      </c>
      <c r="J1153" s="272">
        <v>43.27</v>
      </c>
      <c r="K1153" s="272">
        <v>41.53</v>
      </c>
      <c r="L1153" s="272">
        <v>38.07</v>
      </c>
      <c r="M1153" s="272">
        <v>33.75</v>
      </c>
      <c r="N1153" s="272">
        <v>28.27</v>
      </c>
      <c r="O1153" s="272">
        <v>23.07</v>
      </c>
      <c r="P1153" s="2">
        <v>18</v>
      </c>
      <c r="Q1153" s="311">
        <v>18</v>
      </c>
      <c r="R1153" s="2">
        <v>18</v>
      </c>
      <c r="S1153" s="311">
        <v>18</v>
      </c>
      <c r="T1153" s="311">
        <v>18</v>
      </c>
      <c r="U1153" s="311">
        <v>18</v>
      </c>
      <c r="V1153" s="311">
        <v>18</v>
      </c>
      <c r="W1153" s="311">
        <v>18</v>
      </c>
    </row>
    <row r="1154" spans="1:23" ht="12.75">
      <c r="A1154" s="246" t="s">
        <v>199</v>
      </c>
      <c r="B1154" s="13">
        <v>85</v>
      </c>
      <c r="C1154" s="13">
        <v>81</v>
      </c>
      <c r="D1154" s="272">
        <v>75.599999999999994</v>
      </c>
      <c r="E1154" s="272">
        <v>70</v>
      </c>
      <c r="F1154" s="272">
        <v>64.069999999999993</v>
      </c>
      <c r="G1154" s="272">
        <v>57.07</v>
      </c>
      <c r="H1154" s="272">
        <v>50.07</v>
      </c>
      <c r="I1154" s="272">
        <v>42.53</v>
      </c>
      <c r="J1154" s="272">
        <v>40.380000000000003</v>
      </c>
      <c r="K1154" s="272">
        <v>38.770000000000003</v>
      </c>
      <c r="L1154" s="272">
        <v>35.53</v>
      </c>
      <c r="M1154" s="272">
        <v>31.5</v>
      </c>
      <c r="N1154" s="272">
        <v>26.38</v>
      </c>
      <c r="O1154" s="272">
        <v>21.53</v>
      </c>
      <c r="P1154" s="2">
        <v>16</v>
      </c>
      <c r="Q1154" s="311">
        <v>16</v>
      </c>
      <c r="R1154" s="311">
        <v>16</v>
      </c>
      <c r="S1154" s="311">
        <v>16</v>
      </c>
      <c r="T1154" s="311">
        <v>16</v>
      </c>
      <c r="U1154" s="311">
        <v>16</v>
      </c>
      <c r="V1154" s="311">
        <v>16</v>
      </c>
      <c r="W1154" s="311">
        <v>16</v>
      </c>
    </row>
    <row r="1155" spans="1:23" ht="12.75">
      <c r="A1155" s="5"/>
      <c r="Q1155" s="13"/>
    </row>
    <row r="1156" spans="1:23" ht="12.75">
      <c r="A1156" s="5"/>
    </row>
    <row r="1157" spans="1:23" ht="14.25">
      <c r="A1157" s="254" t="s">
        <v>468</v>
      </c>
    </row>
    <row r="1158" spans="1:23" ht="14.25">
      <c r="A1158" s="254" t="s">
        <v>482</v>
      </c>
    </row>
    <row r="1159" spans="1:23" ht="14.25">
      <c r="A1159" s="254" t="s">
        <v>483</v>
      </c>
    </row>
    <row r="1160" spans="1:23" ht="14.25">
      <c r="A1160" s="254" t="s">
        <v>484</v>
      </c>
    </row>
    <row r="1161" spans="1:23" ht="12.75">
      <c r="A1161" s="5"/>
    </row>
    <row r="1162" spans="1:23" ht="12.75">
      <c r="A1162" s="5"/>
    </row>
    <row r="1163" spans="1:23" ht="15">
      <c r="A1163" s="50" t="s">
        <v>485</v>
      </c>
      <c r="B1163" s="312"/>
    </row>
    <row r="1164" spans="1:23" ht="15">
      <c r="A1164" s="50" t="s">
        <v>486</v>
      </c>
      <c r="B1164" s="56" t="s">
        <v>121</v>
      </c>
      <c r="C1164" s="56" t="s">
        <v>126</v>
      </c>
      <c r="D1164" s="56" t="s">
        <v>132</v>
      </c>
      <c r="E1164" s="57" t="s">
        <v>24</v>
      </c>
      <c r="F1164" s="43" t="s">
        <v>25</v>
      </c>
      <c r="G1164" s="43" t="s">
        <v>26</v>
      </c>
      <c r="H1164" s="43" t="s">
        <v>27</v>
      </c>
      <c r="I1164" s="43" t="s">
        <v>28</v>
      </c>
      <c r="J1164" s="43" t="s">
        <v>74</v>
      </c>
      <c r="K1164" s="43" t="s">
        <v>75</v>
      </c>
      <c r="L1164" s="43" t="s">
        <v>76</v>
      </c>
      <c r="M1164" s="43" t="s">
        <v>77</v>
      </c>
      <c r="N1164" s="43" t="s">
        <v>78</v>
      </c>
      <c r="O1164" s="43" t="s">
        <v>79</v>
      </c>
      <c r="P1164" s="43" t="s">
        <v>80</v>
      </c>
      <c r="Q1164" s="43" t="s">
        <v>81</v>
      </c>
      <c r="R1164" s="43" t="s">
        <v>82</v>
      </c>
      <c r="S1164" s="43" t="s">
        <v>83</v>
      </c>
      <c r="T1164" s="43" t="s">
        <v>84</v>
      </c>
      <c r="U1164" s="43" t="s">
        <v>85</v>
      </c>
      <c r="V1164" s="43" t="s">
        <v>86</v>
      </c>
      <c r="W1164" s="43" t="s">
        <v>87</v>
      </c>
    </row>
    <row r="1165" spans="1:23" ht="14.25">
      <c r="A1165" s="254" t="s">
        <v>188</v>
      </c>
      <c r="B1165" s="133">
        <v>260</v>
      </c>
      <c r="C1165" s="133">
        <v>260</v>
      </c>
      <c r="D1165" s="133">
        <v>260</v>
      </c>
      <c r="E1165" s="133">
        <v>260</v>
      </c>
      <c r="F1165" s="133">
        <v>260</v>
      </c>
      <c r="G1165" s="133">
        <v>260</v>
      </c>
      <c r="H1165" s="313">
        <v>229</v>
      </c>
      <c r="I1165" s="313">
        <v>195</v>
      </c>
      <c r="J1165" s="313">
        <v>163</v>
      </c>
      <c r="K1165" s="133">
        <v>132</v>
      </c>
      <c r="L1165" s="314">
        <v>114.4</v>
      </c>
      <c r="M1165" s="313">
        <v>99</v>
      </c>
      <c r="N1165" s="133">
        <v>83</v>
      </c>
      <c r="O1165" s="313">
        <v>66.599999999999994</v>
      </c>
      <c r="P1165" s="313">
        <v>52</v>
      </c>
      <c r="Q1165" s="272">
        <v>52</v>
      </c>
      <c r="R1165" s="133">
        <v>52</v>
      </c>
      <c r="S1165" s="272">
        <v>52</v>
      </c>
      <c r="T1165" s="272">
        <v>52</v>
      </c>
      <c r="U1165" s="272">
        <v>52</v>
      </c>
      <c r="V1165" s="272">
        <v>52</v>
      </c>
      <c r="W1165" s="272">
        <v>52</v>
      </c>
    </row>
    <row r="1166" spans="1:23" ht="14.25">
      <c r="A1166" s="254" t="s">
        <v>189</v>
      </c>
      <c r="B1166" s="313">
        <v>200</v>
      </c>
      <c r="C1166" s="272">
        <v>200</v>
      </c>
      <c r="D1166" s="272">
        <v>200</v>
      </c>
      <c r="E1166" s="272">
        <v>200</v>
      </c>
      <c r="F1166" s="272">
        <v>200</v>
      </c>
      <c r="G1166" s="272">
        <v>200</v>
      </c>
      <c r="H1166" s="313">
        <v>176</v>
      </c>
      <c r="I1166" s="133">
        <v>150</v>
      </c>
      <c r="J1166" s="133">
        <v>126</v>
      </c>
      <c r="K1166" s="133">
        <v>102</v>
      </c>
      <c r="L1166" s="133">
        <v>88</v>
      </c>
      <c r="M1166" s="313">
        <v>76</v>
      </c>
      <c r="N1166" s="133">
        <v>64</v>
      </c>
      <c r="O1166" s="313">
        <v>51.4</v>
      </c>
      <c r="P1166" s="313">
        <v>40</v>
      </c>
      <c r="Q1166" s="272">
        <v>40</v>
      </c>
      <c r="R1166" s="272">
        <v>40</v>
      </c>
      <c r="S1166" s="272">
        <v>40</v>
      </c>
      <c r="T1166" s="272">
        <v>40</v>
      </c>
      <c r="U1166" s="272">
        <v>40</v>
      </c>
      <c r="V1166" s="272">
        <v>40</v>
      </c>
      <c r="W1166" s="272">
        <v>40</v>
      </c>
    </row>
    <row r="1167" spans="1:23" ht="14.25">
      <c r="A1167" s="254" t="s">
        <v>366</v>
      </c>
      <c r="B1167" s="313">
        <v>150</v>
      </c>
      <c r="C1167" s="272">
        <v>150</v>
      </c>
      <c r="D1167" s="272">
        <v>150</v>
      </c>
      <c r="E1167" s="272">
        <v>150</v>
      </c>
      <c r="F1167" s="272">
        <v>150</v>
      </c>
      <c r="G1167" s="272">
        <v>150</v>
      </c>
      <c r="H1167" s="133">
        <v>132</v>
      </c>
      <c r="I1167" s="133">
        <v>113</v>
      </c>
      <c r="J1167" s="133">
        <v>93</v>
      </c>
      <c r="K1167" s="133">
        <v>76</v>
      </c>
      <c r="L1167" s="133">
        <v>66</v>
      </c>
      <c r="M1167" s="133">
        <v>57</v>
      </c>
      <c r="N1167" s="133">
        <v>48</v>
      </c>
      <c r="O1167" s="313">
        <v>38.6</v>
      </c>
      <c r="P1167" s="313">
        <v>30</v>
      </c>
      <c r="Q1167" s="272">
        <v>30</v>
      </c>
      <c r="R1167" s="272">
        <v>30</v>
      </c>
      <c r="S1167" s="272">
        <v>30</v>
      </c>
      <c r="T1167" s="272">
        <v>30</v>
      </c>
      <c r="U1167" s="272">
        <v>30</v>
      </c>
      <c r="V1167" s="272">
        <v>30</v>
      </c>
      <c r="W1167" s="272">
        <v>30</v>
      </c>
    </row>
    <row r="1168" spans="1:23" ht="14.25">
      <c r="A1168" s="254" t="s">
        <v>199</v>
      </c>
      <c r="B1168" s="133">
        <v>140</v>
      </c>
      <c r="C1168" s="133">
        <v>140</v>
      </c>
      <c r="D1168" s="133">
        <v>140</v>
      </c>
      <c r="E1168" s="133">
        <v>140</v>
      </c>
      <c r="F1168" s="133">
        <v>140</v>
      </c>
      <c r="G1168" s="133">
        <v>140</v>
      </c>
      <c r="H1168" s="133">
        <v>122</v>
      </c>
      <c r="I1168" s="133">
        <v>105</v>
      </c>
      <c r="J1168" s="133">
        <v>88</v>
      </c>
      <c r="K1168" s="133">
        <v>71</v>
      </c>
      <c r="L1168" s="133">
        <v>61</v>
      </c>
      <c r="M1168" s="133">
        <v>53</v>
      </c>
      <c r="N1168" s="133">
        <v>44</v>
      </c>
      <c r="O1168" s="133">
        <v>36</v>
      </c>
      <c r="P1168" s="133">
        <v>28</v>
      </c>
      <c r="Q1168" s="272">
        <v>28</v>
      </c>
      <c r="R1168" s="272">
        <v>28</v>
      </c>
      <c r="S1168" s="272">
        <v>28</v>
      </c>
      <c r="T1168" s="272">
        <v>28</v>
      </c>
      <c r="U1168" s="272">
        <v>28</v>
      </c>
      <c r="V1168" s="272">
        <v>28</v>
      </c>
      <c r="W1168" s="272">
        <v>28</v>
      </c>
    </row>
    <row r="1169" spans="1:23" ht="12.75">
      <c r="A1169" s="5"/>
    </row>
    <row r="1170" spans="1:23" ht="14.25">
      <c r="A1170" s="254" t="s">
        <v>468</v>
      </c>
    </row>
    <row r="1171" spans="1:23" ht="14.25">
      <c r="A1171" s="254" t="s">
        <v>482</v>
      </c>
    </row>
    <row r="1172" spans="1:23" ht="14.25">
      <c r="A1172" s="254" t="s">
        <v>483</v>
      </c>
    </row>
    <row r="1173" spans="1:23" ht="14.25">
      <c r="A1173" s="254" t="s">
        <v>484</v>
      </c>
    </row>
    <row r="1174" spans="1:23" ht="12.75">
      <c r="A1174" s="5"/>
    </row>
    <row r="1175" spans="1:23" ht="12.75">
      <c r="A1175" s="5"/>
    </row>
    <row r="1176" spans="1:23" ht="12.75">
      <c r="A1176" s="5"/>
    </row>
    <row r="1177" spans="1:23" ht="19.5">
      <c r="A1177" s="315" t="s">
        <v>487</v>
      </c>
      <c r="B1177" s="13"/>
    </row>
    <row r="1178" spans="1:23" ht="15">
      <c r="A1178" s="52" t="s">
        <v>404</v>
      </c>
      <c r="B1178" s="15" t="s">
        <v>121</v>
      </c>
      <c r="C1178" s="15" t="s">
        <v>122</v>
      </c>
      <c r="D1178" s="15" t="s">
        <v>123</v>
      </c>
      <c r="E1178" s="15" t="s">
        <v>124</v>
      </c>
      <c r="F1178" s="15" t="s">
        <v>125</v>
      </c>
      <c r="G1178" s="15" t="s">
        <v>126</v>
      </c>
      <c r="H1178" s="15" t="s">
        <v>127</v>
      </c>
      <c r="I1178" s="15" t="s">
        <v>128</v>
      </c>
      <c r="J1178" s="15" t="s">
        <v>129</v>
      </c>
      <c r="K1178" s="15" t="s">
        <v>130</v>
      </c>
      <c r="L1178" s="15" t="s">
        <v>131</v>
      </c>
      <c r="M1178" s="15" t="s">
        <v>132</v>
      </c>
      <c r="N1178" s="15" t="s">
        <v>488</v>
      </c>
      <c r="O1178" s="15" t="s">
        <v>489</v>
      </c>
      <c r="P1178" s="15" t="s">
        <v>490</v>
      </c>
      <c r="Q1178" s="15" t="s">
        <v>491</v>
      </c>
      <c r="R1178" s="15" t="s">
        <v>24</v>
      </c>
      <c r="S1178" s="15"/>
      <c r="T1178" s="15"/>
      <c r="U1178" s="15"/>
      <c r="V1178" s="15" t="s">
        <v>25</v>
      </c>
      <c r="W1178" s="15" t="s">
        <v>26</v>
      </c>
    </row>
    <row r="1179" spans="1:23" ht="14.25">
      <c r="A1179" s="254" t="s">
        <v>492</v>
      </c>
      <c r="B1179" s="113"/>
      <c r="C1179" s="113"/>
      <c r="D1179" s="113"/>
      <c r="E1179" s="113"/>
      <c r="F1179" s="113"/>
      <c r="G1179" s="113"/>
      <c r="H1179" s="111">
        <v>218</v>
      </c>
      <c r="I1179" s="113"/>
      <c r="J1179" s="113"/>
      <c r="K1179" s="111" t="s">
        <v>493</v>
      </c>
      <c r="L1179" s="111" t="s">
        <v>494</v>
      </c>
      <c r="M1179" s="111" t="s">
        <v>495</v>
      </c>
      <c r="N1179" s="111" t="s">
        <v>496</v>
      </c>
      <c r="O1179" s="111" t="s">
        <v>497</v>
      </c>
      <c r="P1179" s="113"/>
      <c r="Q1179" s="113"/>
      <c r="R1179" s="111" t="s">
        <v>498</v>
      </c>
      <c r="S1179" s="113"/>
      <c r="T1179" s="113"/>
      <c r="U1179" s="113"/>
      <c r="V1179" s="111" t="s">
        <v>499</v>
      </c>
      <c r="W1179" s="111" t="s">
        <v>500</v>
      </c>
    </row>
    <row r="1180" spans="1:23" ht="12.75">
      <c r="A1180" s="246" t="s">
        <v>189</v>
      </c>
      <c r="B1180" s="113"/>
      <c r="C1180" s="113"/>
      <c r="D1180" s="113"/>
      <c r="E1180" s="113"/>
      <c r="F1180" s="113"/>
      <c r="G1180" s="111"/>
      <c r="H1180" s="113"/>
      <c r="I1180" s="111" t="s">
        <v>493</v>
      </c>
      <c r="J1180" s="111" t="s">
        <v>493</v>
      </c>
      <c r="K1180" s="111" t="s">
        <v>501</v>
      </c>
      <c r="L1180" s="111" t="s">
        <v>502</v>
      </c>
      <c r="M1180" s="111" t="s">
        <v>503</v>
      </c>
      <c r="N1180" s="111" t="s">
        <v>504</v>
      </c>
      <c r="O1180" s="111" t="s">
        <v>505</v>
      </c>
      <c r="P1180" s="113"/>
      <c r="Q1180" s="113"/>
      <c r="R1180" s="113"/>
      <c r="S1180" s="113"/>
      <c r="T1180" s="113"/>
      <c r="U1180" s="113"/>
      <c r="V1180" s="113"/>
      <c r="W1180" s="113"/>
    </row>
    <row r="1181" spans="1:23" ht="12.75">
      <c r="A1181" s="246" t="s">
        <v>366</v>
      </c>
      <c r="B1181" s="113"/>
      <c r="C1181" s="113"/>
      <c r="D1181" s="113"/>
      <c r="E1181" s="113"/>
      <c r="F1181" s="113"/>
      <c r="G1181" s="113"/>
      <c r="H1181" s="113"/>
      <c r="I1181" s="113"/>
      <c r="J1181" s="113"/>
      <c r="K1181" s="113"/>
      <c r="L1181" s="113"/>
      <c r="M1181" s="113"/>
      <c r="N1181" s="113"/>
      <c r="O1181" s="113"/>
      <c r="P1181" s="113"/>
      <c r="Q1181" s="113"/>
      <c r="R1181" s="113"/>
      <c r="S1181" s="113"/>
      <c r="T1181" s="113"/>
      <c r="U1181" s="113"/>
      <c r="V1181" s="113"/>
      <c r="W1181" s="113"/>
    </row>
    <row r="1182" spans="1:23" ht="12.75">
      <c r="A1182" s="246" t="s">
        <v>191</v>
      </c>
      <c r="B1182" s="111">
        <v>135</v>
      </c>
      <c r="C1182" s="111">
        <v>120</v>
      </c>
      <c r="D1182" s="111">
        <v>120</v>
      </c>
      <c r="E1182" s="111" t="s">
        <v>506</v>
      </c>
      <c r="F1182" s="111" t="s">
        <v>507</v>
      </c>
      <c r="G1182" s="111" t="s">
        <v>508</v>
      </c>
      <c r="H1182" s="113"/>
      <c r="I1182" s="113"/>
      <c r="J1182" s="113"/>
      <c r="K1182" s="113"/>
      <c r="L1182" s="113"/>
      <c r="M1182" s="113"/>
      <c r="N1182" s="113"/>
      <c r="O1182" s="113"/>
      <c r="P1182" s="113"/>
      <c r="Q1182" s="113"/>
      <c r="R1182" s="113"/>
      <c r="S1182" s="113"/>
      <c r="T1182" s="113"/>
      <c r="U1182" s="113"/>
      <c r="V1182" s="113"/>
      <c r="W1182" s="113"/>
    </row>
    <row r="1183" spans="1:23" ht="12.75">
      <c r="A1183" s="246" t="s">
        <v>464</v>
      </c>
      <c r="B1183" s="113"/>
      <c r="C1183" s="113"/>
      <c r="D1183" s="113"/>
      <c r="E1183" s="113"/>
      <c r="F1183" s="113"/>
      <c r="G1183" s="113"/>
      <c r="H1183" s="113"/>
      <c r="I1183" s="113"/>
      <c r="J1183" s="113"/>
      <c r="K1183" s="113"/>
      <c r="L1183" s="113"/>
      <c r="M1183" s="113"/>
      <c r="N1183" s="113"/>
      <c r="O1183" s="113"/>
      <c r="P1183" s="113"/>
      <c r="Q1183" s="113"/>
      <c r="R1183" s="113"/>
      <c r="S1183" s="113"/>
      <c r="T1183" s="113"/>
      <c r="U1183" s="113"/>
      <c r="V1183" s="113"/>
      <c r="W1183" s="113"/>
    </row>
    <row r="1184" spans="1:23" ht="12.75">
      <c r="A1184" s="5"/>
    </row>
    <row r="1185" spans="1:22" ht="12.75">
      <c r="A1185" s="5"/>
    </row>
    <row r="1186" spans="1:22" ht="12.75">
      <c r="A1186" s="246" t="s">
        <v>509</v>
      </c>
    </row>
    <row r="1187" spans="1:22" ht="12.75">
      <c r="A1187" s="5"/>
    </row>
    <row r="1188" spans="1:22" ht="19.5">
      <c r="A1188" s="316" t="s">
        <v>510</v>
      </c>
      <c r="B1188" s="113"/>
      <c r="C1188" s="113"/>
      <c r="D1188" s="113"/>
      <c r="E1188" s="113"/>
      <c r="F1188" s="113"/>
      <c r="G1188" s="113"/>
      <c r="H1188" s="361" t="s">
        <v>511</v>
      </c>
      <c r="I1188" s="346"/>
      <c r="J1188" s="346"/>
      <c r="K1188" s="346"/>
      <c r="L1188" s="346"/>
      <c r="M1188" s="346"/>
      <c r="N1188" s="346"/>
      <c r="P1188" s="361" t="s">
        <v>511</v>
      </c>
      <c r="Q1188" s="346"/>
      <c r="R1188" s="346"/>
      <c r="S1188" s="346"/>
      <c r="T1188" s="346"/>
      <c r="U1188" s="346"/>
      <c r="V1188" s="346"/>
    </row>
    <row r="1189" spans="1:22">
      <c r="A1189" s="318" t="s">
        <v>512</v>
      </c>
      <c r="B1189" s="319" t="s">
        <v>513</v>
      </c>
      <c r="C1189" s="319" t="s">
        <v>514</v>
      </c>
      <c r="D1189" s="319" t="s">
        <v>515</v>
      </c>
      <c r="E1189" s="319" t="s">
        <v>516</v>
      </c>
      <c r="F1189" s="319" t="s">
        <v>517</v>
      </c>
      <c r="G1189" s="113"/>
      <c r="H1189" s="347" t="s">
        <v>518</v>
      </c>
      <c r="I1189" s="346"/>
      <c r="J1189" s="346"/>
      <c r="K1189" s="346"/>
      <c r="L1189" s="346"/>
      <c r="M1189" s="346"/>
      <c r="N1189" s="346"/>
      <c r="P1189" s="347" t="s">
        <v>519</v>
      </c>
      <c r="Q1189" s="346"/>
      <c r="R1189" s="346"/>
      <c r="S1189" s="346"/>
      <c r="T1189" s="346"/>
      <c r="U1189" s="346"/>
      <c r="V1189" s="346"/>
    </row>
    <row r="1190" spans="1:22" ht="15">
      <c r="A1190" s="318" t="s">
        <v>520</v>
      </c>
      <c r="B1190" s="319" t="s">
        <v>521</v>
      </c>
      <c r="C1190" s="319" t="s">
        <v>522</v>
      </c>
      <c r="D1190" s="319" t="s">
        <v>523</v>
      </c>
      <c r="E1190" s="319" t="s">
        <v>524</v>
      </c>
      <c r="F1190" s="319" t="s">
        <v>525</v>
      </c>
      <c r="G1190" s="113"/>
      <c r="H1190" s="345" t="s">
        <v>526</v>
      </c>
      <c r="I1190" s="346"/>
      <c r="J1190" s="346"/>
      <c r="K1190" s="346"/>
      <c r="L1190" s="346"/>
      <c r="M1190" s="346"/>
      <c r="N1190" s="346"/>
      <c r="P1190" s="345" t="s">
        <v>527</v>
      </c>
      <c r="Q1190" s="346"/>
      <c r="R1190" s="346"/>
      <c r="S1190" s="346"/>
      <c r="T1190" s="346"/>
      <c r="U1190" s="346"/>
      <c r="V1190" s="346"/>
    </row>
    <row r="1191" spans="1:22" ht="15">
      <c r="A1191" s="318" t="s">
        <v>528</v>
      </c>
      <c r="B1191" s="319" t="s">
        <v>529</v>
      </c>
      <c r="C1191" s="319" t="s">
        <v>530</v>
      </c>
      <c r="D1191" s="319" t="s">
        <v>531</v>
      </c>
      <c r="E1191" s="319" t="s">
        <v>532</v>
      </c>
      <c r="F1191" s="319" t="s">
        <v>533</v>
      </c>
      <c r="G1191" s="113"/>
      <c r="H1191" s="345" t="s">
        <v>534</v>
      </c>
      <c r="I1191" s="346"/>
      <c r="J1191" s="346"/>
      <c r="K1191" s="346"/>
      <c r="L1191" s="346"/>
      <c r="M1191" s="346"/>
      <c r="N1191" s="346"/>
      <c r="P1191" s="345" t="s">
        <v>535</v>
      </c>
      <c r="Q1191" s="346"/>
      <c r="R1191" s="346"/>
      <c r="S1191" s="346"/>
      <c r="T1191" s="346"/>
      <c r="U1191" s="346"/>
      <c r="V1191" s="346"/>
    </row>
    <row r="1192" spans="1:22">
      <c r="A1192" s="318" t="s">
        <v>536</v>
      </c>
      <c r="B1192" s="319" t="s">
        <v>537</v>
      </c>
      <c r="C1192" s="319" t="s">
        <v>538</v>
      </c>
      <c r="D1192" s="319" t="s">
        <v>539</v>
      </c>
      <c r="E1192" s="319" t="s">
        <v>532</v>
      </c>
      <c r="F1192" s="319" t="s">
        <v>533</v>
      </c>
      <c r="G1192" s="113"/>
      <c r="H1192" s="347" t="s">
        <v>540</v>
      </c>
      <c r="I1192" s="346"/>
      <c r="J1192" s="346"/>
      <c r="K1192" s="346"/>
      <c r="L1192" s="346"/>
      <c r="M1192" s="346"/>
      <c r="N1192" s="346"/>
      <c r="P1192" s="347" t="s">
        <v>541</v>
      </c>
      <c r="Q1192" s="346"/>
      <c r="R1192" s="346"/>
      <c r="S1192" s="346"/>
      <c r="T1192" s="346"/>
      <c r="U1192" s="346"/>
      <c r="V1192" s="346"/>
    </row>
    <row r="1193" spans="1:22">
      <c r="A1193" s="318" t="s">
        <v>542</v>
      </c>
      <c r="B1193" s="321" t="s">
        <v>543</v>
      </c>
      <c r="C1193" s="321" t="s">
        <v>544</v>
      </c>
      <c r="D1193" s="321" t="s">
        <v>545</v>
      </c>
      <c r="E1193" s="321" t="s">
        <v>546</v>
      </c>
      <c r="F1193" s="322"/>
      <c r="G1193" s="113"/>
      <c r="H1193" s="347" t="s">
        <v>547</v>
      </c>
      <c r="I1193" s="346"/>
      <c r="J1193" s="346"/>
      <c r="K1193" s="346"/>
      <c r="L1193" s="346"/>
      <c r="M1193" s="346"/>
      <c r="N1193" s="346"/>
      <c r="P1193" s="347" t="s">
        <v>548</v>
      </c>
      <c r="Q1193" s="346"/>
      <c r="R1193" s="346"/>
      <c r="S1193" s="346"/>
      <c r="T1193" s="346"/>
      <c r="U1193" s="346"/>
      <c r="V1193" s="346"/>
    </row>
    <row r="1194" spans="1:22" ht="15">
      <c r="A1194" s="318" t="s">
        <v>549</v>
      </c>
      <c r="B1194" s="321" t="s">
        <v>550</v>
      </c>
      <c r="C1194" s="321" t="s">
        <v>551</v>
      </c>
      <c r="D1194" s="321" t="s">
        <v>552</v>
      </c>
      <c r="E1194" s="321" t="s">
        <v>553</v>
      </c>
      <c r="F1194" s="319" t="s">
        <v>554</v>
      </c>
      <c r="G1194" s="113"/>
      <c r="H1194" s="345" t="s">
        <v>555</v>
      </c>
      <c r="I1194" s="346"/>
      <c r="J1194" s="346"/>
      <c r="K1194" s="346"/>
      <c r="L1194" s="346"/>
      <c r="M1194" s="346"/>
      <c r="N1194" s="346"/>
      <c r="P1194" s="345" t="s">
        <v>556</v>
      </c>
      <c r="Q1194" s="346"/>
      <c r="R1194" s="346"/>
      <c r="S1194" s="346"/>
      <c r="T1194" s="346"/>
      <c r="U1194" s="346"/>
      <c r="V1194" s="346"/>
    </row>
    <row r="1195" spans="1:22" ht="15">
      <c r="A1195" s="318" t="s">
        <v>557</v>
      </c>
      <c r="B1195" s="321" t="s">
        <v>558</v>
      </c>
      <c r="C1195" s="321" t="s">
        <v>559</v>
      </c>
      <c r="D1195" s="321" t="s">
        <v>560</v>
      </c>
      <c r="E1195" s="321" t="s">
        <v>561</v>
      </c>
      <c r="F1195" s="322"/>
      <c r="G1195" s="113"/>
      <c r="H1195" s="345" t="s">
        <v>562</v>
      </c>
      <c r="I1195" s="346"/>
      <c r="J1195" s="346"/>
      <c r="K1195" s="346"/>
      <c r="L1195" s="346"/>
      <c r="M1195" s="346"/>
      <c r="N1195" s="346"/>
      <c r="P1195" s="345" t="s">
        <v>563</v>
      </c>
      <c r="Q1195" s="346"/>
      <c r="R1195" s="346"/>
      <c r="S1195" s="346"/>
      <c r="T1195" s="346"/>
      <c r="U1195" s="346"/>
      <c r="V1195" s="346"/>
    </row>
    <row r="1196" spans="1:22" ht="15">
      <c r="A1196" s="318" t="s">
        <v>564</v>
      </c>
      <c r="B1196" s="319" t="s">
        <v>565</v>
      </c>
      <c r="C1196" s="319" t="s">
        <v>566</v>
      </c>
      <c r="D1196" s="319" t="s">
        <v>567</v>
      </c>
      <c r="E1196" s="319" t="s">
        <v>568</v>
      </c>
      <c r="F1196" s="319" t="s">
        <v>569</v>
      </c>
      <c r="G1196" s="113"/>
      <c r="H1196" s="345" t="s">
        <v>570</v>
      </c>
      <c r="I1196" s="346"/>
      <c r="J1196" s="346"/>
      <c r="K1196" s="346"/>
      <c r="L1196" s="346"/>
      <c r="M1196" s="346"/>
      <c r="N1196" s="346"/>
      <c r="P1196" s="345" t="s">
        <v>571</v>
      </c>
      <c r="Q1196" s="346"/>
      <c r="R1196" s="346"/>
      <c r="S1196" s="346"/>
      <c r="T1196" s="346"/>
      <c r="U1196" s="346"/>
      <c r="V1196" s="346"/>
    </row>
    <row r="1197" spans="1:22" ht="15">
      <c r="A1197" s="318" t="s">
        <v>572</v>
      </c>
      <c r="B1197" s="321" t="s">
        <v>573</v>
      </c>
      <c r="C1197" s="321" t="s">
        <v>574</v>
      </c>
      <c r="D1197" s="321" t="s">
        <v>575</v>
      </c>
      <c r="E1197" s="321" t="s">
        <v>576</v>
      </c>
      <c r="F1197" s="322"/>
      <c r="G1197" s="113"/>
      <c r="H1197" s="345" t="s">
        <v>577</v>
      </c>
      <c r="I1197" s="346"/>
      <c r="J1197" s="346"/>
      <c r="K1197" s="346"/>
      <c r="L1197" s="346"/>
      <c r="M1197" s="346"/>
      <c r="N1197" s="346"/>
      <c r="P1197" s="345" t="s">
        <v>578</v>
      </c>
      <c r="Q1197" s="346"/>
      <c r="R1197" s="346"/>
      <c r="S1197" s="346"/>
      <c r="T1197" s="346"/>
      <c r="U1197" s="346"/>
      <c r="V1197" s="346"/>
    </row>
    <row r="1198" spans="1:22">
      <c r="A1198" s="318" t="s">
        <v>579</v>
      </c>
      <c r="B1198" s="319" t="s">
        <v>580</v>
      </c>
      <c r="C1198" s="319" t="s">
        <v>581</v>
      </c>
      <c r="D1198" s="321" t="s">
        <v>582</v>
      </c>
      <c r="E1198" s="319" t="s">
        <v>583</v>
      </c>
      <c r="F1198" s="319" t="s">
        <v>584</v>
      </c>
      <c r="G1198" s="113"/>
      <c r="H1198" s="345" t="s">
        <v>585</v>
      </c>
      <c r="I1198" s="346"/>
      <c r="J1198" s="346"/>
      <c r="K1198" s="346"/>
      <c r="L1198" s="346"/>
      <c r="M1198" s="346"/>
      <c r="N1198" s="346"/>
      <c r="P1198" s="362" t="s">
        <v>586</v>
      </c>
      <c r="Q1198" s="346"/>
      <c r="R1198" s="346"/>
      <c r="S1198" s="346"/>
      <c r="T1198" s="346"/>
      <c r="U1198" s="346"/>
      <c r="V1198" s="346"/>
    </row>
    <row r="1199" spans="1:22" ht="15">
      <c r="A1199" s="318" t="s">
        <v>587</v>
      </c>
      <c r="B1199" s="321" t="s">
        <v>588</v>
      </c>
      <c r="C1199" s="321" t="s">
        <v>589</v>
      </c>
      <c r="D1199" s="321" t="s">
        <v>590</v>
      </c>
      <c r="E1199" s="321" t="s">
        <v>591</v>
      </c>
      <c r="F1199" s="322"/>
      <c r="G1199" s="113"/>
      <c r="H1199" s="345" t="s">
        <v>592</v>
      </c>
      <c r="I1199" s="346"/>
      <c r="J1199" s="346"/>
      <c r="K1199" s="346"/>
      <c r="L1199" s="346"/>
      <c r="M1199" s="346"/>
      <c r="N1199" s="346"/>
      <c r="P1199" s="345" t="s">
        <v>593</v>
      </c>
      <c r="Q1199" s="346"/>
      <c r="R1199" s="346"/>
      <c r="S1199" s="346"/>
      <c r="T1199" s="346"/>
      <c r="U1199" s="346"/>
      <c r="V1199" s="346"/>
    </row>
    <row r="1200" spans="1:22">
      <c r="A1200" s="318" t="s">
        <v>594</v>
      </c>
      <c r="B1200" s="319" t="s">
        <v>581</v>
      </c>
      <c r="C1200" s="321" t="s">
        <v>595</v>
      </c>
      <c r="D1200" s="321" t="s">
        <v>596</v>
      </c>
      <c r="E1200" s="321" t="s">
        <v>597</v>
      </c>
      <c r="F1200" s="319" t="s">
        <v>598</v>
      </c>
      <c r="G1200" s="113"/>
      <c r="H1200" s="347" t="s">
        <v>599</v>
      </c>
      <c r="I1200" s="346"/>
      <c r="J1200" s="346"/>
      <c r="K1200" s="346"/>
      <c r="L1200" s="346"/>
      <c r="M1200" s="346"/>
      <c r="N1200" s="346"/>
      <c r="P1200" s="347" t="s">
        <v>600</v>
      </c>
      <c r="Q1200" s="346"/>
      <c r="R1200" s="346"/>
      <c r="S1200" s="346"/>
      <c r="T1200" s="346"/>
      <c r="U1200" s="346"/>
      <c r="V1200" s="346"/>
    </row>
    <row r="1201" spans="1:22">
      <c r="A1201" s="318" t="s">
        <v>601</v>
      </c>
      <c r="B1201" s="321" t="s">
        <v>589</v>
      </c>
      <c r="C1201" s="321" t="s">
        <v>602</v>
      </c>
      <c r="D1201" s="321" t="s">
        <v>603</v>
      </c>
      <c r="E1201" s="321" t="s">
        <v>604</v>
      </c>
      <c r="F1201" s="321" t="s">
        <v>605</v>
      </c>
      <c r="G1201" s="113"/>
      <c r="H1201" s="347" t="s">
        <v>606</v>
      </c>
      <c r="I1201" s="346"/>
      <c r="J1201" s="346"/>
      <c r="K1201" s="346"/>
      <c r="L1201" s="346"/>
      <c r="M1201" s="346"/>
      <c r="N1201" s="346"/>
      <c r="P1201" s="347" t="s">
        <v>607</v>
      </c>
      <c r="Q1201" s="346"/>
      <c r="R1201" s="346"/>
      <c r="S1201" s="346"/>
      <c r="T1201" s="346"/>
      <c r="U1201" s="346"/>
      <c r="V1201" s="346"/>
    </row>
    <row r="1202" spans="1:22" ht="45">
      <c r="A1202" s="318" t="s">
        <v>608</v>
      </c>
      <c r="B1202" s="321" t="s">
        <v>609</v>
      </c>
      <c r="C1202" s="321" t="s">
        <v>610</v>
      </c>
      <c r="D1202" s="321" t="s">
        <v>611</v>
      </c>
      <c r="E1202" s="321" t="s">
        <v>612</v>
      </c>
      <c r="F1202" s="322"/>
      <c r="G1202" s="113"/>
      <c r="H1202" s="348" t="s">
        <v>512</v>
      </c>
      <c r="I1202" s="344"/>
      <c r="J1202" s="323" t="s">
        <v>513</v>
      </c>
      <c r="K1202" s="323" t="s">
        <v>514</v>
      </c>
      <c r="L1202" s="323" t="s">
        <v>515</v>
      </c>
      <c r="M1202" s="323" t="s">
        <v>516</v>
      </c>
      <c r="N1202" s="323" t="s">
        <v>613</v>
      </c>
      <c r="P1202" s="348" t="s">
        <v>512</v>
      </c>
      <c r="Q1202" s="344"/>
      <c r="R1202" s="323" t="s">
        <v>513</v>
      </c>
      <c r="S1202" s="323" t="s">
        <v>614</v>
      </c>
      <c r="T1202" s="323" t="s">
        <v>515</v>
      </c>
      <c r="U1202" s="323" t="s">
        <v>516</v>
      </c>
      <c r="V1202" s="323" t="s">
        <v>613</v>
      </c>
    </row>
    <row r="1203" spans="1:22" ht="28.5">
      <c r="A1203" s="318" t="s">
        <v>615</v>
      </c>
      <c r="B1203" s="321" t="s">
        <v>616</v>
      </c>
      <c r="C1203" s="321" t="s">
        <v>617</v>
      </c>
      <c r="D1203" s="321" t="s">
        <v>618</v>
      </c>
      <c r="E1203" s="321" t="s">
        <v>619</v>
      </c>
      <c r="F1203" s="322"/>
      <c r="G1203" s="113"/>
      <c r="H1203" s="343" t="s">
        <v>520</v>
      </c>
      <c r="I1203" s="344"/>
      <c r="J1203" s="324" t="s">
        <v>521</v>
      </c>
      <c r="K1203" s="324" t="s">
        <v>522</v>
      </c>
      <c r="L1203" s="324" t="s">
        <v>523</v>
      </c>
      <c r="M1203" s="324" t="s">
        <v>524</v>
      </c>
      <c r="N1203" s="325" t="s">
        <v>620</v>
      </c>
      <c r="P1203" s="343" t="s">
        <v>520</v>
      </c>
      <c r="Q1203" s="344"/>
      <c r="R1203" s="324" t="s">
        <v>521</v>
      </c>
      <c r="S1203" s="324" t="s">
        <v>522</v>
      </c>
      <c r="T1203" s="324" t="s">
        <v>523</v>
      </c>
      <c r="U1203" s="324" t="s">
        <v>524</v>
      </c>
      <c r="V1203" s="325" t="s">
        <v>621</v>
      </c>
    </row>
    <row r="1204" spans="1:22" ht="28.5">
      <c r="A1204" s="318" t="s">
        <v>622</v>
      </c>
      <c r="B1204" s="321" t="s">
        <v>623</v>
      </c>
      <c r="C1204" s="321" t="s">
        <v>624</v>
      </c>
      <c r="D1204" s="321" t="s">
        <v>625</v>
      </c>
      <c r="E1204" s="321" t="s">
        <v>626</v>
      </c>
      <c r="F1204" s="322"/>
      <c r="G1204" s="113"/>
      <c r="H1204" s="343" t="s">
        <v>528</v>
      </c>
      <c r="I1204" s="344"/>
      <c r="J1204" s="324" t="s">
        <v>529</v>
      </c>
      <c r="K1204" s="324" t="s">
        <v>530</v>
      </c>
      <c r="L1204" s="324" t="s">
        <v>531</v>
      </c>
      <c r="M1204" s="324" t="s">
        <v>532</v>
      </c>
      <c r="N1204" s="325" t="s">
        <v>533</v>
      </c>
      <c r="P1204" s="343" t="s">
        <v>536</v>
      </c>
      <c r="Q1204" s="344"/>
      <c r="R1204" s="325" t="s">
        <v>537</v>
      </c>
      <c r="S1204" s="325" t="s">
        <v>538</v>
      </c>
      <c r="T1204" s="325" t="s">
        <v>539</v>
      </c>
      <c r="U1204" s="324" t="s">
        <v>532</v>
      </c>
      <c r="V1204" s="325" t="s">
        <v>533</v>
      </c>
    </row>
    <row r="1205" spans="1:22" ht="28.5">
      <c r="A1205" s="318" t="s">
        <v>627</v>
      </c>
      <c r="B1205" s="321" t="s">
        <v>628</v>
      </c>
      <c r="C1205" s="321" t="s">
        <v>629</v>
      </c>
      <c r="D1205" s="321" t="s">
        <v>630</v>
      </c>
      <c r="E1205" s="321" t="s">
        <v>631</v>
      </c>
      <c r="F1205" s="322"/>
      <c r="G1205" s="113"/>
      <c r="H1205" s="343" t="s">
        <v>536</v>
      </c>
      <c r="I1205" s="344"/>
      <c r="J1205" s="324" t="s">
        <v>537</v>
      </c>
      <c r="K1205" s="324" t="s">
        <v>538</v>
      </c>
      <c r="L1205" s="324" t="s">
        <v>539</v>
      </c>
      <c r="M1205" s="324" t="s">
        <v>532</v>
      </c>
      <c r="N1205" s="325" t="s">
        <v>533</v>
      </c>
      <c r="P1205" s="343" t="s">
        <v>564</v>
      </c>
      <c r="Q1205" s="344"/>
      <c r="R1205" s="324" t="s">
        <v>565</v>
      </c>
      <c r="S1205" s="324" t="s">
        <v>632</v>
      </c>
      <c r="T1205" s="324" t="s">
        <v>567</v>
      </c>
      <c r="U1205" s="324" t="s">
        <v>568</v>
      </c>
      <c r="V1205" s="324" t="s">
        <v>633</v>
      </c>
    </row>
    <row r="1206" spans="1:22" ht="30">
      <c r="A1206" s="318" t="s">
        <v>634</v>
      </c>
      <c r="B1206" s="319" t="s">
        <v>635</v>
      </c>
      <c r="C1206" s="319" t="s">
        <v>636</v>
      </c>
      <c r="D1206" s="321" t="s">
        <v>637</v>
      </c>
      <c r="E1206" s="319" t="s">
        <v>638</v>
      </c>
      <c r="F1206" s="319" t="s">
        <v>639</v>
      </c>
      <c r="G1206" s="113"/>
      <c r="H1206" s="343" t="s">
        <v>564</v>
      </c>
      <c r="I1206" s="344"/>
      <c r="J1206" s="324" t="s">
        <v>565</v>
      </c>
      <c r="K1206" s="324" t="s">
        <v>566</v>
      </c>
      <c r="L1206" s="324" t="s">
        <v>567</v>
      </c>
      <c r="M1206" s="324" t="s">
        <v>568</v>
      </c>
      <c r="N1206" s="324" t="s">
        <v>569</v>
      </c>
      <c r="P1206" s="343" t="s">
        <v>579</v>
      </c>
      <c r="Q1206" s="344"/>
      <c r="R1206" s="324" t="s">
        <v>580</v>
      </c>
      <c r="S1206" s="324" t="s">
        <v>640</v>
      </c>
      <c r="T1206" s="325" t="s">
        <v>582</v>
      </c>
      <c r="U1206" s="325" t="s">
        <v>583</v>
      </c>
      <c r="V1206" s="324" t="s">
        <v>584</v>
      </c>
    </row>
    <row r="1207" spans="1:22" ht="30">
      <c r="A1207" s="318" t="s">
        <v>641</v>
      </c>
      <c r="B1207" s="321" t="s">
        <v>642</v>
      </c>
      <c r="C1207" s="321" t="s">
        <v>643</v>
      </c>
      <c r="D1207" s="321" t="s">
        <v>644</v>
      </c>
      <c r="E1207" s="321" t="s">
        <v>645</v>
      </c>
      <c r="F1207" s="322"/>
      <c r="G1207" s="113"/>
      <c r="H1207" s="343" t="s">
        <v>579</v>
      </c>
      <c r="I1207" s="344"/>
      <c r="J1207" s="324" t="s">
        <v>580</v>
      </c>
      <c r="K1207" s="324" t="s">
        <v>581</v>
      </c>
      <c r="L1207" s="325" t="s">
        <v>582</v>
      </c>
      <c r="M1207" s="324" t="s">
        <v>583</v>
      </c>
      <c r="N1207" s="324" t="s">
        <v>584</v>
      </c>
      <c r="P1207" s="343" t="s">
        <v>594</v>
      </c>
      <c r="Q1207" s="344"/>
      <c r="R1207" s="324" t="s">
        <v>640</v>
      </c>
      <c r="S1207" s="325" t="s">
        <v>646</v>
      </c>
      <c r="T1207" s="325" t="s">
        <v>596</v>
      </c>
      <c r="U1207" s="325" t="s">
        <v>597</v>
      </c>
      <c r="V1207" s="324" t="s">
        <v>598</v>
      </c>
    </row>
    <row r="1208" spans="1:22" ht="30">
      <c r="A1208" s="318" t="s">
        <v>647</v>
      </c>
      <c r="B1208" s="321" t="s">
        <v>648</v>
      </c>
      <c r="C1208" s="321" t="s">
        <v>649</v>
      </c>
      <c r="D1208" s="321" t="s">
        <v>650</v>
      </c>
      <c r="E1208" s="321" t="s">
        <v>651</v>
      </c>
      <c r="F1208" s="322"/>
      <c r="G1208" s="113"/>
      <c r="H1208" s="343" t="s">
        <v>594</v>
      </c>
      <c r="I1208" s="344"/>
      <c r="J1208" s="324" t="s">
        <v>581</v>
      </c>
      <c r="K1208" s="325" t="s">
        <v>595</v>
      </c>
      <c r="L1208" s="325" t="s">
        <v>596</v>
      </c>
      <c r="M1208" s="325" t="s">
        <v>597</v>
      </c>
      <c r="N1208" s="324" t="s">
        <v>598</v>
      </c>
      <c r="P1208" s="343" t="s">
        <v>601</v>
      </c>
      <c r="Q1208" s="344"/>
      <c r="R1208" s="325" t="s">
        <v>589</v>
      </c>
      <c r="S1208" s="325" t="s">
        <v>652</v>
      </c>
      <c r="T1208" s="325" t="s">
        <v>603</v>
      </c>
      <c r="U1208" s="325" t="s">
        <v>604</v>
      </c>
      <c r="V1208" s="325" t="s">
        <v>653</v>
      </c>
    </row>
    <row r="1209" spans="1:22" ht="30">
      <c r="A1209" s="318" t="s">
        <v>654</v>
      </c>
      <c r="B1209" s="321" t="s">
        <v>655</v>
      </c>
      <c r="C1209" s="321" t="s">
        <v>656</v>
      </c>
      <c r="D1209" s="321" t="s">
        <v>657</v>
      </c>
      <c r="E1209" s="321" t="s">
        <v>658</v>
      </c>
      <c r="F1209" s="322"/>
      <c r="G1209" s="113"/>
      <c r="H1209" s="343" t="s">
        <v>601</v>
      </c>
      <c r="I1209" s="344"/>
      <c r="J1209" s="325" t="s">
        <v>659</v>
      </c>
      <c r="K1209" s="325" t="s">
        <v>660</v>
      </c>
      <c r="L1209" s="325" t="s">
        <v>661</v>
      </c>
      <c r="M1209" s="325" t="s">
        <v>662</v>
      </c>
      <c r="N1209" s="325" t="s">
        <v>605</v>
      </c>
      <c r="P1209" s="343" t="s">
        <v>634</v>
      </c>
      <c r="Q1209" s="344"/>
      <c r="R1209" s="324" t="s">
        <v>635</v>
      </c>
      <c r="S1209" s="325" t="s">
        <v>663</v>
      </c>
      <c r="T1209" s="325" t="s">
        <v>637</v>
      </c>
      <c r="U1209" s="324" t="s">
        <v>638</v>
      </c>
      <c r="V1209" s="324" t="s">
        <v>664</v>
      </c>
    </row>
    <row r="1210" spans="1:22" ht="30">
      <c r="A1210" s="318" t="s">
        <v>665</v>
      </c>
      <c r="B1210" s="321" t="s">
        <v>666</v>
      </c>
      <c r="C1210" s="321" t="s">
        <v>667</v>
      </c>
      <c r="D1210" s="321" t="s">
        <v>668</v>
      </c>
      <c r="E1210" s="321" t="s">
        <v>669</v>
      </c>
      <c r="F1210" s="322"/>
      <c r="H1210" s="343" t="s">
        <v>634</v>
      </c>
      <c r="I1210" s="344"/>
      <c r="J1210" s="324" t="s">
        <v>635</v>
      </c>
      <c r="K1210" s="324" t="s">
        <v>670</v>
      </c>
      <c r="L1210" s="325" t="s">
        <v>671</v>
      </c>
      <c r="M1210" s="324" t="s">
        <v>638</v>
      </c>
      <c r="N1210" s="325" t="s">
        <v>639</v>
      </c>
      <c r="P1210" s="343" t="s">
        <v>672</v>
      </c>
      <c r="Q1210" s="344"/>
      <c r="R1210" s="324" t="s">
        <v>673</v>
      </c>
      <c r="S1210" s="325" t="s">
        <v>674</v>
      </c>
      <c r="T1210" s="325" t="s">
        <v>675</v>
      </c>
      <c r="U1210" s="324" t="s">
        <v>676</v>
      </c>
      <c r="V1210" s="324" t="s">
        <v>664</v>
      </c>
    </row>
    <row r="1211" spans="1:22" ht="30">
      <c r="A1211" s="318" t="s">
        <v>672</v>
      </c>
      <c r="B1211" s="319" t="s">
        <v>673</v>
      </c>
      <c r="C1211" s="319" t="s">
        <v>677</v>
      </c>
      <c r="D1211" s="321" t="s">
        <v>675</v>
      </c>
      <c r="E1211" s="319" t="s">
        <v>676</v>
      </c>
      <c r="F1211" s="319" t="s">
        <v>639</v>
      </c>
      <c r="H1211" s="343" t="s">
        <v>672</v>
      </c>
      <c r="I1211" s="344"/>
      <c r="J1211" s="324" t="s">
        <v>673</v>
      </c>
      <c r="K1211" s="324" t="s">
        <v>677</v>
      </c>
      <c r="L1211" s="325" t="s">
        <v>675</v>
      </c>
      <c r="M1211" s="324" t="s">
        <v>676</v>
      </c>
      <c r="N1211" s="325" t="s">
        <v>639</v>
      </c>
      <c r="P1211" s="349" t="s">
        <v>678</v>
      </c>
      <c r="Q1211" s="346"/>
      <c r="R1211" s="326" t="s">
        <v>679</v>
      </c>
      <c r="S1211" s="327" t="s">
        <v>680</v>
      </c>
      <c r="T1211" s="327" t="s">
        <v>681</v>
      </c>
      <c r="U1211" s="328">
        <v>46109</v>
      </c>
      <c r="V1211" s="326" t="s">
        <v>664</v>
      </c>
    </row>
    <row r="1212" spans="1:22">
      <c r="A1212" s="318" t="s">
        <v>682</v>
      </c>
      <c r="B1212" s="321" t="s">
        <v>683</v>
      </c>
      <c r="C1212" s="321" t="s">
        <v>684</v>
      </c>
      <c r="D1212" s="321" t="s">
        <v>685</v>
      </c>
      <c r="E1212" s="329">
        <v>46203</v>
      </c>
      <c r="F1212" s="322"/>
      <c r="H1212" s="349" t="s">
        <v>678</v>
      </c>
      <c r="I1212" s="346"/>
      <c r="J1212" s="326" t="s">
        <v>679</v>
      </c>
      <c r="K1212" s="326" t="s">
        <v>686</v>
      </c>
      <c r="L1212" s="327" t="s">
        <v>681</v>
      </c>
      <c r="M1212" s="328">
        <v>46109</v>
      </c>
      <c r="N1212" s="327" t="s">
        <v>639</v>
      </c>
      <c r="P1212" s="347" t="s">
        <v>687</v>
      </c>
      <c r="Q1212" s="346"/>
      <c r="R1212" s="346"/>
      <c r="S1212" s="346"/>
      <c r="T1212" s="346"/>
      <c r="U1212" s="346"/>
      <c r="V1212" s="346"/>
    </row>
    <row r="1213" spans="1:22">
      <c r="A1213" s="318" t="s">
        <v>688</v>
      </c>
      <c r="B1213" s="321" t="s">
        <v>689</v>
      </c>
      <c r="C1213" s="321" t="s">
        <v>690</v>
      </c>
      <c r="D1213" s="321" t="s">
        <v>691</v>
      </c>
      <c r="E1213" s="321" t="s">
        <v>692</v>
      </c>
      <c r="F1213" s="322"/>
      <c r="H1213" s="347" t="s">
        <v>693</v>
      </c>
      <c r="I1213" s="346"/>
      <c r="J1213" s="346"/>
      <c r="K1213" s="346"/>
      <c r="L1213" s="346"/>
      <c r="M1213" s="346"/>
      <c r="N1213" s="346"/>
      <c r="P1213" s="345" t="s">
        <v>694</v>
      </c>
      <c r="Q1213" s="346"/>
      <c r="R1213" s="346"/>
      <c r="S1213" s="346"/>
      <c r="T1213" s="346"/>
      <c r="U1213" s="346"/>
      <c r="V1213" s="346"/>
    </row>
    <row r="1214" spans="1:22" ht="15">
      <c r="A1214" s="318" t="s">
        <v>695</v>
      </c>
      <c r="B1214" s="321" t="s">
        <v>696</v>
      </c>
      <c r="C1214" s="321" t="s">
        <v>697</v>
      </c>
      <c r="D1214" s="321" t="s">
        <v>698</v>
      </c>
      <c r="E1214" s="329">
        <v>46141</v>
      </c>
      <c r="F1214" s="322"/>
      <c r="H1214" s="345" t="s">
        <v>699</v>
      </c>
      <c r="I1214" s="346"/>
      <c r="J1214" s="346"/>
      <c r="K1214" s="346"/>
      <c r="L1214" s="346"/>
      <c r="M1214" s="346"/>
      <c r="N1214" s="346"/>
      <c r="P1214" s="345" t="s">
        <v>700</v>
      </c>
      <c r="Q1214" s="346"/>
      <c r="R1214" s="346"/>
      <c r="S1214" s="346"/>
      <c r="T1214" s="346"/>
      <c r="U1214" s="346"/>
      <c r="V1214" s="346"/>
    </row>
    <row r="1215" spans="1:22" ht="15">
      <c r="A1215" s="318" t="s">
        <v>701</v>
      </c>
      <c r="B1215" s="321" t="s">
        <v>583</v>
      </c>
      <c r="C1215" s="321" t="s">
        <v>597</v>
      </c>
      <c r="D1215" s="321" t="s">
        <v>702</v>
      </c>
      <c r="E1215" s="329">
        <v>46262</v>
      </c>
      <c r="F1215" s="322"/>
      <c r="H1215" s="345" t="s">
        <v>703</v>
      </c>
      <c r="I1215" s="346"/>
      <c r="J1215" s="346"/>
      <c r="K1215" s="346"/>
      <c r="L1215" s="346"/>
      <c r="M1215" s="346"/>
      <c r="N1215" s="346"/>
    </row>
    <row r="1216" spans="1:22" ht="15">
      <c r="A1216" s="330" t="s">
        <v>678</v>
      </c>
      <c r="B1216" s="331" t="s">
        <v>679</v>
      </c>
      <c r="C1216" s="331" t="s">
        <v>686</v>
      </c>
      <c r="D1216" s="332" t="s">
        <v>681</v>
      </c>
      <c r="E1216" s="333">
        <v>46109</v>
      </c>
      <c r="F1216" s="331" t="s">
        <v>639</v>
      </c>
      <c r="H1216" s="345" t="s">
        <v>704</v>
      </c>
      <c r="I1216" s="346"/>
      <c r="J1216" s="346"/>
      <c r="K1216" s="346"/>
      <c r="L1216" s="346"/>
      <c r="M1216" s="346"/>
      <c r="N1216" s="346"/>
    </row>
    <row r="1217" spans="1:20" ht="16.5">
      <c r="A1217" s="101"/>
      <c r="C1217" s="13"/>
    </row>
    <row r="1218" spans="1:20" ht="16.5">
      <c r="A1218" s="101" t="s">
        <v>705</v>
      </c>
      <c r="C1218" s="13"/>
    </row>
    <row r="1219" spans="1:20" ht="12.75">
      <c r="A1219" s="5"/>
    </row>
    <row r="1220" spans="1:20" ht="12.75">
      <c r="A1220" s="334" t="s">
        <v>706</v>
      </c>
      <c r="H1220" s="335" t="s">
        <v>706</v>
      </c>
      <c r="O1220" s="335" t="s">
        <v>706</v>
      </c>
    </row>
    <row r="1221" spans="1:20" ht="18.75">
      <c r="A1221" s="336" t="s">
        <v>707</v>
      </c>
      <c r="H1221" s="336" t="s">
        <v>708</v>
      </c>
      <c r="O1221" s="336" t="s">
        <v>709</v>
      </c>
    </row>
    <row r="1222" spans="1:20" ht="15">
      <c r="A1222" s="337" t="s">
        <v>710</v>
      </c>
      <c r="H1222" s="337" t="s">
        <v>711</v>
      </c>
      <c r="O1222" s="337" t="s">
        <v>712</v>
      </c>
    </row>
    <row r="1223" spans="1:20" ht="15">
      <c r="A1223" s="318" t="s">
        <v>512</v>
      </c>
      <c r="B1223" s="319" t="s">
        <v>513</v>
      </c>
      <c r="C1223" s="319" t="s">
        <v>614</v>
      </c>
      <c r="D1223" s="319" t="s">
        <v>515</v>
      </c>
      <c r="E1223" s="319" t="s">
        <v>516</v>
      </c>
      <c r="F1223" s="319" t="s">
        <v>613</v>
      </c>
      <c r="G1223" s="113"/>
      <c r="H1223" s="319" t="s">
        <v>512</v>
      </c>
      <c r="I1223" s="319" t="s">
        <v>513</v>
      </c>
      <c r="J1223" s="319" t="s">
        <v>614</v>
      </c>
      <c r="K1223" s="319" t="s">
        <v>515</v>
      </c>
      <c r="L1223" s="319" t="s">
        <v>516</v>
      </c>
      <c r="M1223" s="319" t="s">
        <v>613</v>
      </c>
      <c r="N1223" s="113"/>
      <c r="O1223" s="319" t="s">
        <v>512</v>
      </c>
      <c r="P1223" s="319" t="s">
        <v>513</v>
      </c>
      <c r="Q1223" s="319" t="s">
        <v>614</v>
      </c>
      <c r="R1223" s="319" t="s">
        <v>515</v>
      </c>
      <c r="S1223" s="319" t="s">
        <v>516</v>
      </c>
      <c r="T1223" s="319" t="s">
        <v>613</v>
      </c>
    </row>
    <row r="1224" spans="1:20" ht="15">
      <c r="A1224" s="318" t="s">
        <v>520</v>
      </c>
      <c r="B1224" s="319" t="s">
        <v>521</v>
      </c>
      <c r="C1224" s="319" t="s">
        <v>522</v>
      </c>
      <c r="D1224" s="319" t="s">
        <v>523</v>
      </c>
      <c r="E1224" s="319" t="s">
        <v>524</v>
      </c>
      <c r="F1224" s="319" t="s">
        <v>713</v>
      </c>
      <c r="G1224" s="113"/>
      <c r="H1224" s="319" t="s">
        <v>520</v>
      </c>
      <c r="I1224" s="319" t="s">
        <v>521</v>
      </c>
      <c r="J1224" s="319" t="s">
        <v>522</v>
      </c>
      <c r="K1224" s="319" t="s">
        <v>523</v>
      </c>
      <c r="L1224" s="319" t="s">
        <v>524</v>
      </c>
      <c r="M1224" s="319" t="s">
        <v>713</v>
      </c>
      <c r="N1224" s="113"/>
      <c r="O1224" s="319" t="s">
        <v>520</v>
      </c>
      <c r="P1224" s="319" t="s">
        <v>521</v>
      </c>
      <c r="Q1224" s="319" t="s">
        <v>522</v>
      </c>
      <c r="R1224" s="319" t="s">
        <v>523</v>
      </c>
      <c r="S1224" s="319" t="s">
        <v>524</v>
      </c>
      <c r="T1224" s="319" t="s">
        <v>714</v>
      </c>
    </row>
    <row r="1225" spans="1:20" ht="15">
      <c r="A1225" s="318" t="s">
        <v>528</v>
      </c>
      <c r="B1225" s="321" t="s">
        <v>529</v>
      </c>
      <c r="C1225" s="321" t="s">
        <v>530</v>
      </c>
      <c r="D1225" s="321" t="s">
        <v>531</v>
      </c>
      <c r="E1225" s="319" t="s">
        <v>532</v>
      </c>
      <c r="F1225" s="319" t="s">
        <v>533</v>
      </c>
      <c r="G1225" s="113"/>
      <c r="H1225" s="319" t="s">
        <v>528</v>
      </c>
      <c r="I1225" s="321" t="s">
        <v>715</v>
      </c>
      <c r="J1225" s="321" t="s">
        <v>716</v>
      </c>
      <c r="K1225" s="321" t="s">
        <v>717</v>
      </c>
      <c r="L1225" s="319" t="s">
        <v>718</v>
      </c>
      <c r="M1225" s="319"/>
      <c r="N1225" s="113"/>
      <c r="O1225" s="319" t="s">
        <v>528</v>
      </c>
      <c r="P1225" s="321" t="s">
        <v>719</v>
      </c>
      <c r="Q1225" s="321" t="s">
        <v>720</v>
      </c>
      <c r="R1225" s="321" t="s">
        <v>721</v>
      </c>
      <c r="S1225" s="319" t="s">
        <v>722</v>
      </c>
      <c r="T1225" s="319"/>
    </row>
    <row r="1226" spans="1:20" ht="15">
      <c r="A1226" s="318" t="s">
        <v>536</v>
      </c>
      <c r="B1226" s="321" t="s">
        <v>537</v>
      </c>
      <c r="C1226" s="321" t="s">
        <v>538</v>
      </c>
      <c r="D1226" s="321" t="s">
        <v>539</v>
      </c>
      <c r="E1226" s="319" t="s">
        <v>532</v>
      </c>
      <c r="F1226" s="319" t="s">
        <v>533</v>
      </c>
      <c r="G1226" s="113"/>
      <c r="H1226" s="319" t="s">
        <v>536</v>
      </c>
      <c r="I1226" s="321" t="s">
        <v>723</v>
      </c>
      <c r="J1226" s="321" t="s">
        <v>724</v>
      </c>
      <c r="K1226" s="321" t="s">
        <v>725</v>
      </c>
      <c r="L1226" s="319" t="s">
        <v>726</v>
      </c>
      <c r="M1226" s="319"/>
      <c r="N1226" s="113"/>
      <c r="O1226" s="319" t="s">
        <v>536</v>
      </c>
      <c r="P1226" s="321" t="s">
        <v>727</v>
      </c>
      <c r="Q1226" s="321" t="s">
        <v>728</v>
      </c>
      <c r="R1226" s="321" t="s">
        <v>729</v>
      </c>
      <c r="S1226" s="319" t="s">
        <v>730</v>
      </c>
      <c r="T1226" s="319"/>
    </row>
    <row r="1227" spans="1:20" ht="15">
      <c r="A1227" s="318" t="s">
        <v>542</v>
      </c>
      <c r="B1227" s="321" t="s">
        <v>543</v>
      </c>
      <c r="C1227" s="321" t="s">
        <v>544</v>
      </c>
      <c r="D1227" s="321" t="s">
        <v>545</v>
      </c>
      <c r="E1227" s="321" t="s">
        <v>546</v>
      </c>
      <c r="F1227" s="322"/>
      <c r="G1227" s="113"/>
      <c r="H1227" s="319" t="s">
        <v>542</v>
      </c>
      <c r="I1227" s="321" t="s">
        <v>731</v>
      </c>
      <c r="J1227" s="321" t="s">
        <v>732</v>
      </c>
      <c r="K1227" s="321" t="s">
        <v>733</v>
      </c>
      <c r="L1227" s="321" t="s">
        <v>734</v>
      </c>
      <c r="M1227" s="322"/>
      <c r="N1227" s="113"/>
      <c r="O1227" s="319" t="s">
        <v>542</v>
      </c>
      <c r="P1227" s="321" t="s">
        <v>716</v>
      </c>
      <c r="Q1227" s="321" t="s">
        <v>735</v>
      </c>
      <c r="R1227" s="321" t="s">
        <v>736</v>
      </c>
      <c r="S1227" s="321" t="s">
        <v>737</v>
      </c>
      <c r="T1227" s="322" t="s">
        <v>554</v>
      </c>
    </row>
    <row r="1228" spans="1:20" ht="15">
      <c r="A1228" s="318" t="s">
        <v>549</v>
      </c>
      <c r="B1228" s="321" t="s">
        <v>550</v>
      </c>
      <c r="C1228" s="321" t="s">
        <v>551</v>
      </c>
      <c r="D1228" s="321" t="s">
        <v>552</v>
      </c>
      <c r="E1228" s="321" t="s">
        <v>553</v>
      </c>
      <c r="F1228" s="319" t="s">
        <v>554</v>
      </c>
      <c r="G1228" s="113"/>
      <c r="H1228" s="319" t="s">
        <v>549</v>
      </c>
      <c r="I1228" s="321" t="s">
        <v>738</v>
      </c>
      <c r="J1228" s="321" t="s">
        <v>739</v>
      </c>
      <c r="K1228" s="321" t="s">
        <v>740</v>
      </c>
      <c r="L1228" s="321" t="s">
        <v>741</v>
      </c>
      <c r="M1228" s="319" t="s">
        <v>554</v>
      </c>
      <c r="N1228" s="113"/>
      <c r="O1228" s="319" t="s">
        <v>549</v>
      </c>
      <c r="P1228" s="321" t="s">
        <v>742</v>
      </c>
      <c r="Q1228" s="321" t="s">
        <v>743</v>
      </c>
      <c r="R1228" s="321" t="s">
        <v>744</v>
      </c>
      <c r="S1228" s="321" t="s">
        <v>745</v>
      </c>
      <c r="T1228" s="319"/>
    </row>
    <row r="1229" spans="1:20" ht="15">
      <c r="A1229" s="318" t="s">
        <v>557</v>
      </c>
      <c r="B1229" s="321" t="s">
        <v>558</v>
      </c>
      <c r="C1229" s="321" t="s">
        <v>746</v>
      </c>
      <c r="D1229" s="321" t="s">
        <v>560</v>
      </c>
      <c r="E1229" s="321" t="s">
        <v>561</v>
      </c>
      <c r="F1229" s="322"/>
      <c r="G1229" s="113"/>
      <c r="H1229" s="319" t="s">
        <v>557</v>
      </c>
      <c r="I1229" s="321" t="s">
        <v>747</v>
      </c>
      <c r="J1229" s="321" t="s">
        <v>748</v>
      </c>
      <c r="K1229" s="321" t="s">
        <v>749</v>
      </c>
      <c r="L1229" s="321" t="s">
        <v>750</v>
      </c>
      <c r="M1229" s="322"/>
      <c r="N1229" s="113"/>
      <c r="O1229" s="319" t="s">
        <v>557</v>
      </c>
      <c r="P1229" s="321" t="s">
        <v>751</v>
      </c>
      <c r="Q1229" s="321" t="s">
        <v>752</v>
      </c>
      <c r="R1229" s="321" t="s">
        <v>753</v>
      </c>
      <c r="S1229" s="321" t="s">
        <v>754</v>
      </c>
      <c r="T1229" s="322"/>
    </row>
    <row r="1230" spans="1:20" ht="15">
      <c r="A1230" s="318" t="s">
        <v>564</v>
      </c>
      <c r="B1230" s="319" t="s">
        <v>565</v>
      </c>
      <c r="C1230" s="319" t="s">
        <v>632</v>
      </c>
      <c r="D1230" s="319" t="s">
        <v>567</v>
      </c>
      <c r="E1230" s="319" t="s">
        <v>568</v>
      </c>
      <c r="F1230" s="319" t="s">
        <v>569</v>
      </c>
      <c r="G1230" s="113"/>
      <c r="H1230" s="319" t="s">
        <v>564</v>
      </c>
      <c r="I1230" s="319" t="s">
        <v>755</v>
      </c>
      <c r="J1230" s="319" t="s">
        <v>756</v>
      </c>
      <c r="K1230" s="319" t="s">
        <v>757</v>
      </c>
      <c r="L1230" s="319" t="s">
        <v>758</v>
      </c>
      <c r="M1230" s="319" t="s">
        <v>569</v>
      </c>
      <c r="N1230" s="113"/>
      <c r="O1230" s="319" t="s">
        <v>564</v>
      </c>
      <c r="P1230" s="319" t="s">
        <v>759</v>
      </c>
      <c r="Q1230" s="319" t="s">
        <v>760</v>
      </c>
      <c r="R1230" s="319" t="s">
        <v>761</v>
      </c>
      <c r="S1230" s="319" t="s">
        <v>762</v>
      </c>
      <c r="T1230" s="319" t="s">
        <v>763</v>
      </c>
    </row>
    <row r="1231" spans="1:20" ht="15">
      <c r="A1231" s="318" t="s">
        <v>572</v>
      </c>
      <c r="B1231" s="321" t="s">
        <v>573</v>
      </c>
      <c r="C1231" s="321" t="s">
        <v>764</v>
      </c>
      <c r="D1231" s="321" t="s">
        <v>575</v>
      </c>
      <c r="E1231" s="321" t="s">
        <v>576</v>
      </c>
      <c r="F1231" s="322"/>
      <c r="G1231" s="113"/>
      <c r="H1231" s="319" t="s">
        <v>572</v>
      </c>
      <c r="I1231" s="321" t="s">
        <v>580</v>
      </c>
      <c r="J1231" s="321" t="s">
        <v>765</v>
      </c>
      <c r="K1231" s="321" t="s">
        <v>582</v>
      </c>
      <c r="L1231" s="321" t="s">
        <v>583</v>
      </c>
      <c r="M1231" s="322" t="s">
        <v>766</v>
      </c>
      <c r="N1231" s="113"/>
      <c r="O1231" s="319" t="s">
        <v>572</v>
      </c>
      <c r="P1231" s="321" t="s">
        <v>767</v>
      </c>
      <c r="Q1231" s="321" t="s">
        <v>640</v>
      </c>
      <c r="R1231" s="321" t="s">
        <v>768</v>
      </c>
      <c r="S1231" s="321" t="s">
        <v>629</v>
      </c>
      <c r="T1231" s="322" t="s">
        <v>584</v>
      </c>
    </row>
    <row r="1232" spans="1:20" ht="15">
      <c r="A1232" s="318" t="s">
        <v>579</v>
      </c>
      <c r="B1232" s="319" t="s">
        <v>580</v>
      </c>
      <c r="C1232" s="319" t="s">
        <v>640</v>
      </c>
      <c r="D1232" s="321" t="s">
        <v>582</v>
      </c>
      <c r="E1232" s="321" t="s">
        <v>583</v>
      </c>
      <c r="F1232" s="319" t="s">
        <v>584</v>
      </c>
      <c r="G1232" s="113"/>
      <c r="H1232" s="319" t="s">
        <v>579</v>
      </c>
      <c r="I1232" s="319" t="s">
        <v>769</v>
      </c>
      <c r="J1232" s="319" t="s">
        <v>640</v>
      </c>
      <c r="K1232" s="321" t="s">
        <v>770</v>
      </c>
      <c r="L1232" s="321" t="s">
        <v>670</v>
      </c>
      <c r="M1232" s="319" t="s">
        <v>584</v>
      </c>
      <c r="N1232" s="113"/>
      <c r="O1232" s="319" t="s">
        <v>579</v>
      </c>
      <c r="P1232" s="319" t="s">
        <v>640</v>
      </c>
      <c r="Q1232" s="319" t="s">
        <v>771</v>
      </c>
      <c r="R1232" s="321" t="s">
        <v>596</v>
      </c>
      <c r="S1232" s="321" t="s">
        <v>597</v>
      </c>
      <c r="T1232" s="319" t="s">
        <v>598</v>
      </c>
    </row>
    <row r="1233" spans="1:20" ht="15">
      <c r="A1233" s="318" t="s">
        <v>587</v>
      </c>
      <c r="B1233" s="321" t="s">
        <v>588</v>
      </c>
      <c r="C1233" s="321" t="s">
        <v>772</v>
      </c>
      <c r="D1233" s="321" t="s">
        <v>590</v>
      </c>
      <c r="E1233" s="321" t="s">
        <v>591</v>
      </c>
      <c r="F1233" s="322"/>
      <c r="G1233" s="113"/>
      <c r="H1233" s="319" t="s">
        <v>587</v>
      </c>
      <c r="I1233" s="321" t="s">
        <v>640</v>
      </c>
      <c r="J1233" s="321" t="s">
        <v>771</v>
      </c>
      <c r="K1233" s="321" t="s">
        <v>596</v>
      </c>
      <c r="L1233" s="321" t="s">
        <v>597</v>
      </c>
      <c r="M1233" s="322" t="s">
        <v>598</v>
      </c>
      <c r="N1233" s="113"/>
      <c r="O1233" s="319" t="s">
        <v>587</v>
      </c>
      <c r="P1233" s="321" t="s">
        <v>771</v>
      </c>
      <c r="Q1233" s="321" t="s">
        <v>773</v>
      </c>
      <c r="R1233" s="321" t="s">
        <v>774</v>
      </c>
      <c r="S1233" s="321" t="s">
        <v>775</v>
      </c>
      <c r="T1233" s="322" t="s">
        <v>776</v>
      </c>
    </row>
    <row r="1234" spans="1:20" ht="15">
      <c r="A1234" s="318" t="s">
        <v>594</v>
      </c>
      <c r="B1234" s="319" t="s">
        <v>640</v>
      </c>
      <c r="C1234" s="321" t="s">
        <v>646</v>
      </c>
      <c r="D1234" s="321" t="s">
        <v>596</v>
      </c>
      <c r="E1234" s="321" t="s">
        <v>597</v>
      </c>
      <c r="F1234" s="319" t="s">
        <v>598</v>
      </c>
      <c r="G1234" s="113"/>
      <c r="H1234" s="319" t="s">
        <v>594</v>
      </c>
      <c r="I1234" s="319" t="s">
        <v>777</v>
      </c>
      <c r="J1234" s="321" t="s">
        <v>778</v>
      </c>
      <c r="K1234" s="321" t="s">
        <v>779</v>
      </c>
      <c r="L1234" s="321" t="s">
        <v>780</v>
      </c>
      <c r="M1234" s="319" t="s">
        <v>776</v>
      </c>
      <c r="N1234" s="113"/>
      <c r="O1234" s="319" t="s">
        <v>594</v>
      </c>
      <c r="P1234" s="319" t="s">
        <v>781</v>
      </c>
      <c r="Q1234" s="321" t="s">
        <v>782</v>
      </c>
      <c r="R1234" s="321" t="s">
        <v>783</v>
      </c>
      <c r="S1234" s="321" t="s">
        <v>784</v>
      </c>
      <c r="T1234" s="319"/>
    </row>
    <row r="1235" spans="1:20" ht="15">
      <c r="A1235" s="318" t="s">
        <v>601</v>
      </c>
      <c r="B1235" s="321" t="s">
        <v>589</v>
      </c>
      <c r="C1235" s="321" t="s">
        <v>652</v>
      </c>
      <c r="D1235" s="321" t="s">
        <v>603</v>
      </c>
      <c r="E1235" s="321" t="s">
        <v>604</v>
      </c>
      <c r="F1235" s="322"/>
      <c r="G1235" s="113"/>
      <c r="H1235" s="319" t="s">
        <v>601</v>
      </c>
      <c r="I1235" s="321" t="s">
        <v>785</v>
      </c>
      <c r="J1235" s="321" t="s">
        <v>786</v>
      </c>
      <c r="K1235" s="321" t="s">
        <v>787</v>
      </c>
      <c r="L1235" s="321" t="s">
        <v>788</v>
      </c>
      <c r="M1235" s="322"/>
      <c r="N1235" s="113"/>
      <c r="O1235" s="319" t="s">
        <v>601</v>
      </c>
      <c r="P1235" s="321" t="s">
        <v>789</v>
      </c>
      <c r="Q1235" s="321" t="s">
        <v>689</v>
      </c>
      <c r="R1235" s="321" t="s">
        <v>790</v>
      </c>
      <c r="S1235" s="321" t="s">
        <v>791</v>
      </c>
      <c r="T1235" s="322"/>
    </row>
    <row r="1236" spans="1:20" ht="15">
      <c r="A1236" s="318" t="s">
        <v>608</v>
      </c>
      <c r="B1236" s="321" t="s">
        <v>609</v>
      </c>
      <c r="C1236" s="321" t="s">
        <v>792</v>
      </c>
      <c r="D1236" s="321" t="s">
        <v>611</v>
      </c>
      <c r="E1236" s="321" t="s">
        <v>612</v>
      </c>
      <c r="F1236" s="322"/>
      <c r="G1236" s="113"/>
      <c r="H1236" s="319" t="s">
        <v>608</v>
      </c>
      <c r="I1236" s="321" t="s">
        <v>793</v>
      </c>
      <c r="J1236" s="321" t="s">
        <v>794</v>
      </c>
      <c r="K1236" s="321" t="s">
        <v>795</v>
      </c>
      <c r="L1236" s="321" t="s">
        <v>796</v>
      </c>
      <c r="M1236" s="322"/>
      <c r="N1236" s="113"/>
      <c r="O1236" s="319" t="s">
        <v>608</v>
      </c>
      <c r="P1236" s="321" t="s">
        <v>673</v>
      </c>
      <c r="Q1236" s="321" t="s">
        <v>663</v>
      </c>
      <c r="R1236" s="321" t="s">
        <v>675</v>
      </c>
      <c r="S1236" s="321" t="s">
        <v>676</v>
      </c>
      <c r="T1236" s="322"/>
    </row>
    <row r="1237" spans="1:20" ht="15">
      <c r="A1237" s="318" t="s">
        <v>615</v>
      </c>
      <c r="B1237" s="321" t="s">
        <v>616</v>
      </c>
      <c r="C1237" s="321" t="s">
        <v>797</v>
      </c>
      <c r="D1237" s="321" t="s">
        <v>618</v>
      </c>
      <c r="E1237" s="321" t="s">
        <v>619</v>
      </c>
      <c r="F1237" s="322"/>
      <c r="G1237" s="113"/>
      <c r="H1237" s="319" t="s">
        <v>615</v>
      </c>
      <c r="I1237" s="321" t="s">
        <v>789</v>
      </c>
      <c r="J1237" s="321" t="s">
        <v>798</v>
      </c>
      <c r="K1237" s="321" t="s">
        <v>799</v>
      </c>
      <c r="L1237" s="321" t="s">
        <v>800</v>
      </c>
      <c r="M1237" s="322"/>
      <c r="N1237" s="113"/>
      <c r="O1237" s="319" t="s">
        <v>615</v>
      </c>
      <c r="P1237" s="321" t="s">
        <v>801</v>
      </c>
      <c r="Q1237" s="321" t="s">
        <v>690</v>
      </c>
      <c r="R1237" s="321" t="s">
        <v>802</v>
      </c>
      <c r="S1237" s="321">
        <v>46108</v>
      </c>
      <c r="T1237" s="322"/>
    </row>
    <row r="1238" spans="1:20" ht="15">
      <c r="A1238" s="318" t="s">
        <v>622</v>
      </c>
      <c r="B1238" s="321" t="s">
        <v>623</v>
      </c>
      <c r="C1238" s="321" t="s">
        <v>583</v>
      </c>
      <c r="D1238" s="321" t="s">
        <v>625</v>
      </c>
      <c r="E1238" s="321" t="s">
        <v>626</v>
      </c>
      <c r="F1238" s="322"/>
      <c r="G1238" s="113"/>
      <c r="H1238" s="319" t="s">
        <v>622</v>
      </c>
      <c r="I1238" s="321" t="s">
        <v>803</v>
      </c>
      <c r="J1238" s="321" t="s">
        <v>804</v>
      </c>
      <c r="K1238" s="321" t="s">
        <v>805</v>
      </c>
      <c r="L1238" s="321" t="s">
        <v>806</v>
      </c>
      <c r="M1238" s="322"/>
      <c r="N1238" s="113"/>
      <c r="O1238" s="319" t="s">
        <v>622</v>
      </c>
      <c r="P1238" s="321" t="s">
        <v>674</v>
      </c>
      <c r="Q1238" s="321" t="s">
        <v>807</v>
      </c>
      <c r="R1238" s="321" t="s">
        <v>808</v>
      </c>
      <c r="S1238" s="321">
        <v>46077</v>
      </c>
      <c r="T1238" s="322"/>
    </row>
    <row r="1239" spans="1:20" ht="15">
      <c r="A1239" s="318" t="s">
        <v>627</v>
      </c>
      <c r="B1239" s="321" t="s">
        <v>628</v>
      </c>
      <c r="C1239" s="321" t="s">
        <v>809</v>
      </c>
      <c r="D1239" s="321" t="s">
        <v>630</v>
      </c>
      <c r="E1239" s="321" t="s">
        <v>631</v>
      </c>
      <c r="F1239" s="322"/>
      <c r="G1239" s="113"/>
      <c r="H1239" s="319" t="s">
        <v>627</v>
      </c>
      <c r="I1239" s="321" t="s">
        <v>673</v>
      </c>
      <c r="J1239" s="321" t="s">
        <v>809</v>
      </c>
      <c r="K1239" s="321" t="s">
        <v>675</v>
      </c>
      <c r="L1239" s="321">
        <v>46053</v>
      </c>
      <c r="M1239" s="322"/>
      <c r="N1239" s="113"/>
      <c r="O1239" s="319" t="s">
        <v>627</v>
      </c>
      <c r="P1239" s="321" t="s">
        <v>680</v>
      </c>
      <c r="Q1239" s="321" t="s">
        <v>810</v>
      </c>
      <c r="R1239" s="321" t="s">
        <v>811</v>
      </c>
      <c r="S1239" s="321">
        <v>46286</v>
      </c>
      <c r="T1239" s="322"/>
    </row>
    <row r="1240" spans="1:20" ht="15">
      <c r="A1240" s="318" t="s">
        <v>634</v>
      </c>
      <c r="B1240" s="319" t="s">
        <v>635</v>
      </c>
      <c r="C1240" s="319" t="s">
        <v>663</v>
      </c>
      <c r="D1240" s="321" t="s">
        <v>637</v>
      </c>
      <c r="E1240" s="319" t="s">
        <v>638</v>
      </c>
      <c r="F1240" s="319" t="s">
        <v>639</v>
      </c>
      <c r="G1240" s="113"/>
      <c r="H1240" s="319" t="s">
        <v>634</v>
      </c>
      <c r="I1240" s="319" t="s">
        <v>689</v>
      </c>
      <c r="J1240" s="319" t="s">
        <v>636</v>
      </c>
      <c r="K1240" s="321" t="s">
        <v>691</v>
      </c>
      <c r="L1240" s="319" t="s">
        <v>692</v>
      </c>
      <c r="M1240" s="319" t="s">
        <v>812</v>
      </c>
      <c r="N1240" s="113"/>
      <c r="O1240" s="319" t="s">
        <v>634</v>
      </c>
      <c r="P1240" s="319" t="s">
        <v>813</v>
      </c>
      <c r="Q1240" s="319" t="s">
        <v>814</v>
      </c>
      <c r="R1240" s="321" t="s">
        <v>692</v>
      </c>
      <c r="S1240" s="319" t="s">
        <v>815</v>
      </c>
      <c r="T1240" s="319" t="s">
        <v>812</v>
      </c>
    </row>
    <row r="1241" spans="1:20" ht="15">
      <c r="A1241" s="318" t="s">
        <v>641</v>
      </c>
      <c r="B1241" s="321" t="s">
        <v>642</v>
      </c>
      <c r="C1241" s="321" t="s">
        <v>636</v>
      </c>
      <c r="D1241" s="321" t="s">
        <v>644</v>
      </c>
      <c r="E1241" s="321" t="s">
        <v>645</v>
      </c>
      <c r="F1241" s="322"/>
      <c r="G1241" s="113"/>
      <c r="H1241" s="319" t="s">
        <v>641</v>
      </c>
      <c r="I1241" s="321" t="s">
        <v>816</v>
      </c>
      <c r="J1241" s="321" t="s">
        <v>817</v>
      </c>
      <c r="K1241" s="321" t="s">
        <v>818</v>
      </c>
      <c r="L1241" s="321">
        <v>46140</v>
      </c>
      <c r="M1241" s="322"/>
      <c r="N1241" s="113"/>
      <c r="O1241" s="319" t="s">
        <v>641</v>
      </c>
      <c r="P1241" s="321" t="s">
        <v>810</v>
      </c>
      <c r="Q1241" s="321" t="s">
        <v>802</v>
      </c>
      <c r="R1241" s="321">
        <v>46230</v>
      </c>
      <c r="S1241" s="321">
        <v>46160</v>
      </c>
      <c r="T1241" s="322"/>
    </row>
    <row r="1242" spans="1:20" ht="15">
      <c r="A1242" s="318" t="s">
        <v>647</v>
      </c>
      <c r="B1242" s="321" t="s">
        <v>648</v>
      </c>
      <c r="C1242" s="321" t="s">
        <v>643</v>
      </c>
      <c r="D1242" s="321" t="s">
        <v>650</v>
      </c>
      <c r="E1242" s="321" t="s">
        <v>651</v>
      </c>
      <c r="F1242" s="322"/>
      <c r="G1242" s="113"/>
      <c r="H1242" s="319" t="s">
        <v>647</v>
      </c>
      <c r="I1242" s="321" t="s">
        <v>801</v>
      </c>
      <c r="J1242" s="321" t="s">
        <v>618</v>
      </c>
      <c r="K1242" s="321" t="s">
        <v>802</v>
      </c>
      <c r="L1242" s="321">
        <v>46108</v>
      </c>
      <c r="M1242" s="322"/>
      <c r="N1242" s="113"/>
      <c r="O1242" s="319" t="s">
        <v>647</v>
      </c>
      <c r="P1242" s="321" t="s">
        <v>814</v>
      </c>
      <c r="Q1242" s="321" t="s">
        <v>819</v>
      </c>
      <c r="R1242" s="321">
        <v>46137</v>
      </c>
      <c r="S1242" s="321">
        <v>46281</v>
      </c>
      <c r="T1242" s="322"/>
    </row>
    <row r="1243" spans="1:20" ht="15">
      <c r="A1243" s="318" t="s">
        <v>654</v>
      </c>
      <c r="B1243" s="321" t="s">
        <v>655</v>
      </c>
      <c r="C1243" s="321" t="s">
        <v>820</v>
      </c>
      <c r="D1243" s="321" t="s">
        <v>657</v>
      </c>
      <c r="E1243" s="321" t="s">
        <v>658</v>
      </c>
      <c r="F1243" s="322"/>
      <c r="G1243" s="113"/>
      <c r="H1243" s="319" t="s">
        <v>654</v>
      </c>
      <c r="I1243" s="321" t="s">
        <v>663</v>
      </c>
      <c r="J1243" s="321" t="s">
        <v>821</v>
      </c>
      <c r="K1243" s="321" t="s">
        <v>822</v>
      </c>
      <c r="L1243" s="321">
        <v>46048</v>
      </c>
      <c r="M1243" s="322"/>
      <c r="N1243" s="113"/>
      <c r="O1243" s="319" t="s">
        <v>654</v>
      </c>
      <c r="P1243" s="321" t="s">
        <v>802</v>
      </c>
      <c r="Q1243" s="321" t="s">
        <v>823</v>
      </c>
      <c r="R1243" s="321">
        <v>46196</v>
      </c>
      <c r="S1243" s="321">
        <v>46249</v>
      </c>
      <c r="T1243" s="322"/>
    </row>
    <row r="1244" spans="1:20" ht="15">
      <c r="A1244" s="318" t="s">
        <v>665</v>
      </c>
      <c r="B1244" s="321" t="s">
        <v>666</v>
      </c>
      <c r="C1244" s="321" t="s">
        <v>817</v>
      </c>
      <c r="D1244" s="321" t="s">
        <v>668</v>
      </c>
      <c r="E1244" s="321" t="s">
        <v>669</v>
      </c>
      <c r="F1244" s="322"/>
      <c r="G1244" s="113"/>
      <c r="H1244" s="319" t="s">
        <v>665</v>
      </c>
      <c r="I1244" s="321" t="s">
        <v>817</v>
      </c>
      <c r="J1244" s="321" t="s">
        <v>824</v>
      </c>
      <c r="K1244" s="321" t="s">
        <v>825</v>
      </c>
      <c r="L1244" s="321">
        <v>46197</v>
      </c>
      <c r="M1244" s="322"/>
      <c r="N1244" s="113"/>
      <c r="O1244" s="319" t="s">
        <v>665</v>
      </c>
      <c r="P1244" s="321" t="s">
        <v>826</v>
      </c>
      <c r="Q1244" s="321" t="s">
        <v>827</v>
      </c>
      <c r="R1244" s="321">
        <v>46286</v>
      </c>
      <c r="S1244" s="321">
        <v>46187</v>
      </c>
      <c r="T1244" s="322"/>
    </row>
    <row r="1245" spans="1:20" ht="15">
      <c r="A1245" s="318" t="s">
        <v>672</v>
      </c>
      <c r="B1245" s="319" t="s">
        <v>673</v>
      </c>
      <c r="C1245" s="319" t="s">
        <v>674</v>
      </c>
      <c r="D1245" s="321" t="s">
        <v>675</v>
      </c>
      <c r="E1245" s="319" t="s">
        <v>676</v>
      </c>
      <c r="F1245" s="319" t="s">
        <v>639</v>
      </c>
      <c r="G1245" s="113"/>
      <c r="H1245" s="319" t="s">
        <v>672</v>
      </c>
      <c r="I1245" s="319" t="s">
        <v>618</v>
      </c>
      <c r="J1245" s="319" t="s">
        <v>813</v>
      </c>
      <c r="K1245" s="321" t="s">
        <v>828</v>
      </c>
      <c r="L1245" s="319">
        <v>46165</v>
      </c>
      <c r="M1245" s="319" t="s">
        <v>829</v>
      </c>
      <c r="N1245" s="113"/>
      <c r="O1245" s="319" t="s">
        <v>672</v>
      </c>
      <c r="P1245" s="319" t="s">
        <v>830</v>
      </c>
      <c r="Q1245" s="319" t="s">
        <v>692</v>
      </c>
      <c r="R1245" s="321">
        <v>46254</v>
      </c>
      <c r="S1245" s="319">
        <v>46247</v>
      </c>
      <c r="T1245" s="319" t="s">
        <v>829</v>
      </c>
    </row>
    <row r="1246" spans="1:20" ht="15">
      <c r="A1246" s="318" t="s">
        <v>682</v>
      </c>
      <c r="B1246" s="321" t="s">
        <v>683</v>
      </c>
      <c r="C1246" s="321" t="s">
        <v>831</v>
      </c>
      <c r="D1246" s="321" t="s">
        <v>685</v>
      </c>
      <c r="E1246" s="329">
        <v>46203</v>
      </c>
      <c r="F1246" s="322"/>
      <c r="G1246" s="113"/>
      <c r="H1246" s="319" t="s">
        <v>682</v>
      </c>
      <c r="I1246" s="321" t="s">
        <v>821</v>
      </c>
      <c r="J1246" s="321" t="s">
        <v>832</v>
      </c>
      <c r="K1246" s="321" t="s">
        <v>638</v>
      </c>
      <c r="L1246" s="329">
        <v>46103</v>
      </c>
      <c r="M1246" s="322"/>
      <c r="N1246" s="113"/>
      <c r="O1246" s="319" t="s">
        <v>682</v>
      </c>
      <c r="P1246" s="321" t="s">
        <v>833</v>
      </c>
      <c r="Q1246" s="321" t="s">
        <v>834</v>
      </c>
      <c r="R1246" s="321">
        <v>46192</v>
      </c>
      <c r="S1246" s="329">
        <v>46035</v>
      </c>
      <c r="T1246" s="322"/>
    </row>
    <row r="1247" spans="1:20" ht="15">
      <c r="A1247" s="318" t="s">
        <v>688</v>
      </c>
      <c r="B1247" s="321" t="s">
        <v>689</v>
      </c>
      <c r="C1247" s="321" t="s">
        <v>618</v>
      </c>
      <c r="D1247" s="321" t="s">
        <v>691</v>
      </c>
      <c r="E1247" s="321" t="s">
        <v>692</v>
      </c>
      <c r="F1247" s="322"/>
      <c r="G1247" s="113"/>
      <c r="H1247" s="319" t="s">
        <v>688</v>
      </c>
      <c r="I1247" s="321" t="s">
        <v>835</v>
      </c>
      <c r="J1247" s="321" t="s">
        <v>810</v>
      </c>
      <c r="K1247" s="321" t="s">
        <v>836</v>
      </c>
      <c r="L1247" s="321">
        <v>46163</v>
      </c>
      <c r="M1247" s="322"/>
      <c r="N1247" s="113"/>
      <c r="O1247" s="319" t="s">
        <v>688</v>
      </c>
      <c r="P1247" s="321" t="s">
        <v>827</v>
      </c>
      <c r="Q1247" s="321" t="s">
        <v>837</v>
      </c>
      <c r="R1247" s="321">
        <v>46160</v>
      </c>
      <c r="S1247" s="321">
        <v>46093</v>
      </c>
      <c r="T1247" s="322"/>
    </row>
    <row r="1248" spans="1:20" ht="15">
      <c r="A1248" s="318" t="s">
        <v>695</v>
      </c>
      <c r="B1248" s="321" t="s">
        <v>696</v>
      </c>
      <c r="C1248" s="321" t="s">
        <v>690</v>
      </c>
      <c r="D1248" s="321" t="s">
        <v>698</v>
      </c>
      <c r="E1248" s="329">
        <v>46141</v>
      </c>
      <c r="F1248" s="322"/>
      <c r="G1248" s="113"/>
      <c r="H1248" s="319" t="s">
        <v>695</v>
      </c>
      <c r="I1248" s="321" t="s">
        <v>807</v>
      </c>
      <c r="J1248" s="321" t="s">
        <v>691</v>
      </c>
      <c r="K1248" s="321">
        <v>46203</v>
      </c>
      <c r="L1248" s="329">
        <v>46132</v>
      </c>
      <c r="M1248" s="322"/>
      <c r="N1248" s="113"/>
      <c r="O1248" s="319" t="s">
        <v>695</v>
      </c>
      <c r="P1248" s="321" t="s">
        <v>692</v>
      </c>
      <c r="Q1248" s="321" t="s">
        <v>838</v>
      </c>
      <c r="R1248" s="321">
        <v>46098</v>
      </c>
      <c r="S1248" s="329">
        <v>46153</v>
      </c>
      <c r="T1248" s="322"/>
    </row>
    <row r="1249" spans="1:20" ht="15">
      <c r="A1249" s="318" t="s">
        <v>701</v>
      </c>
      <c r="B1249" s="321" t="s">
        <v>583</v>
      </c>
      <c r="C1249" s="321" t="s">
        <v>839</v>
      </c>
      <c r="D1249" s="321" t="s">
        <v>702</v>
      </c>
      <c r="E1249" s="329">
        <v>46262</v>
      </c>
      <c r="F1249" s="322"/>
      <c r="G1249" s="113"/>
      <c r="H1249" s="319" t="s">
        <v>701</v>
      </c>
      <c r="I1249" s="321" t="s">
        <v>604</v>
      </c>
      <c r="J1249" s="321" t="s">
        <v>814</v>
      </c>
      <c r="K1249" s="321">
        <v>46141</v>
      </c>
      <c r="L1249" s="329">
        <v>46192</v>
      </c>
      <c r="M1249" s="322"/>
      <c r="N1249" s="113"/>
      <c r="O1249" s="319" t="s">
        <v>701</v>
      </c>
      <c r="P1249" s="321" t="s">
        <v>834</v>
      </c>
      <c r="Q1249" s="321" t="s">
        <v>840</v>
      </c>
      <c r="R1249" s="321">
        <v>46219</v>
      </c>
      <c r="S1249" s="329">
        <v>46064</v>
      </c>
      <c r="T1249" s="322"/>
    </row>
    <row r="1250" spans="1:20" ht="15">
      <c r="A1250" s="330" t="s">
        <v>678</v>
      </c>
      <c r="B1250" s="331" t="s">
        <v>679</v>
      </c>
      <c r="C1250" s="331" t="s">
        <v>680</v>
      </c>
      <c r="D1250" s="332" t="s">
        <v>681</v>
      </c>
      <c r="E1250" s="333">
        <v>46109</v>
      </c>
      <c r="F1250" s="331" t="s">
        <v>639</v>
      </c>
      <c r="G1250" s="113"/>
      <c r="H1250" s="331" t="s">
        <v>678</v>
      </c>
      <c r="I1250" s="331" t="s">
        <v>805</v>
      </c>
      <c r="J1250" s="331" t="s">
        <v>841</v>
      </c>
      <c r="K1250" s="332">
        <v>46109</v>
      </c>
      <c r="L1250" s="333">
        <v>46252</v>
      </c>
      <c r="M1250" s="331" t="s">
        <v>842</v>
      </c>
      <c r="N1250" s="113"/>
      <c r="O1250" s="331" t="s">
        <v>678</v>
      </c>
      <c r="P1250" s="331" t="s">
        <v>843</v>
      </c>
      <c r="Q1250" s="331" t="s">
        <v>844</v>
      </c>
      <c r="R1250" s="332">
        <v>46038</v>
      </c>
      <c r="S1250" s="333">
        <v>46244</v>
      </c>
      <c r="T1250" s="331" t="s">
        <v>842</v>
      </c>
    </row>
    <row r="1251" spans="1:20" ht="12.75">
      <c r="A1251" s="246" t="s">
        <v>845</v>
      </c>
    </row>
    <row r="1252" spans="1:20" ht="16.5">
      <c r="A1252" s="101" t="s">
        <v>846</v>
      </c>
    </row>
    <row r="1253" spans="1:20" ht="12.75">
      <c r="A1253" s="5"/>
    </row>
    <row r="1254" spans="1:20" ht="12.75">
      <c r="A1254" s="334" t="s">
        <v>706</v>
      </c>
      <c r="H1254" s="335" t="s">
        <v>706</v>
      </c>
      <c r="O1254" s="335" t="s">
        <v>706</v>
      </c>
    </row>
    <row r="1255" spans="1:20" ht="19.5">
      <c r="A1255" s="336" t="s">
        <v>847</v>
      </c>
      <c r="H1255" s="317" t="s">
        <v>848</v>
      </c>
      <c r="O1255" s="320" t="s">
        <v>849</v>
      </c>
    </row>
    <row r="1256" spans="1:20" ht="15">
      <c r="A1256" s="337" t="s">
        <v>850</v>
      </c>
      <c r="H1256" s="337" t="s">
        <v>851</v>
      </c>
      <c r="O1256" s="337" t="s">
        <v>851</v>
      </c>
    </row>
    <row r="1257" spans="1:20" ht="15">
      <c r="A1257" s="318" t="s">
        <v>512</v>
      </c>
      <c r="B1257" s="319" t="s">
        <v>513</v>
      </c>
      <c r="C1257" s="319" t="s">
        <v>614</v>
      </c>
      <c r="D1257" s="319" t="s">
        <v>515</v>
      </c>
      <c r="E1257" s="319" t="s">
        <v>516</v>
      </c>
      <c r="F1257" s="319" t="s">
        <v>852</v>
      </c>
      <c r="H1257" s="319" t="s">
        <v>512</v>
      </c>
      <c r="I1257" s="319" t="s">
        <v>513</v>
      </c>
      <c r="J1257" s="319" t="s">
        <v>614</v>
      </c>
      <c r="K1257" s="319" t="s">
        <v>515</v>
      </c>
      <c r="L1257" s="319" t="s">
        <v>516</v>
      </c>
      <c r="M1257" s="319" t="s">
        <v>852</v>
      </c>
      <c r="O1257" s="319" t="s">
        <v>512</v>
      </c>
      <c r="P1257" s="319" t="s">
        <v>513</v>
      </c>
      <c r="Q1257" s="319" t="s">
        <v>614</v>
      </c>
      <c r="R1257" s="319" t="s">
        <v>515</v>
      </c>
      <c r="S1257" s="319" t="s">
        <v>516</v>
      </c>
      <c r="T1257" s="319" t="s">
        <v>852</v>
      </c>
    </row>
    <row r="1258" spans="1:20" ht="15">
      <c r="A1258" s="318" t="s">
        <v>520</v>
      </c>
      <c r="B1258" s="319" t="s">
        <v>521</v>
      </c>
      <c r="C1258" s="319" t="s">
        <v>522</v>
      </c>
      <c r="D1258" s="319" t="s">
        <v>523</v>
      </c>
      <c r="E1258" s="319" t="s">
        <v>532</v>
      </c>
      <c r="F1258" s="319" t="s">
        <v>853</v>
      </c>
      <c r="H1258" s="319" t="s">
        <v>520</v>
      </c>
      <c r="I1258" s="319" t="s">
        <v>521</v>
      </c>
      <c r="J1258" s="319" t="s">
        <v>522</v>
      </c>
      <c r="K1258" s="319" t="s">
        <v>523</v>
      </c>
      <c r="L1258" s="319" t="s">
        <v>524</v>
      </c>
      <c r="M1258" s="319" t="s">
        <v>714</v>
      </c>
      <c r="O1258" s="319" t="s">
        <v>520</v>
      </c>
      <c r="P1258" s="319" t="s">
        <v>521</v>
      </c>
      <c r="Q1258" s="319" t="s">
        <v>522</v>
      </c>
      <c r="R1258" s="319" t="s">
        <v>523</v>
      </c>
      <c r="S1258" s="319" t="s">
        <v>524</v>
      </c>
      <c r="T1258" s="319" t="s">
        <v>714</v>
      </c>
    </row>
    <row r="1259" spans="1:20" ht="15">
      <c r="A1259" s="318" t="s">
        <v>528</v>
      </c>
      <c r="B1259" s="321" t="s">
        <v>854</v>
      </c>
      <c r="C1259" s="321" t="s">
        <v>855</v>
      </c>
      <c r="D1259" s="321" t="s">
        <v>856</v>
      </c>
      <c r="E1259" s="319" t="s">
        <v>857</v>
      </c>
      <c r="F1259" s="319" t="s">
        <v>766</v>
      </c>
      <c r="H1259" s="319" t="s">
        <v>528</v>
      </c>
      <c r="I1259" s="321" t="s">
        <v>858</v>
      </c>
      <c r="J1259" s="321" t="s">
        <v>859</v>
      </c>
      <c r="K1259" s="321" t="s">
        <v>860</v>
      </c>
      <c r="L1259" s="319" t="s">
        <v>861</v>
      </c>
      <c r="M1259" s="319"/>
      <c r="O1259" s="319" t="s">
        <v>528</v>
      </c>
      <c r="P1259" s="321" t="s">
        <v>858</v>
      </c>
      <c r="Q1259" s="321" t="s">
        <v>859</v>
      </c>
      <c r="R1259" s="321" t="s">
        <v>860</v>
      </c>
      <c r="S1259" s="319" t="s">
        <v>861</v>
      </c>
      <c r="T1259" s="319"/>
    </row>
    <row r="1260" spans="1:20" ht="15">
      <c r="A1260" s="318" t="s">
        <v>536</v>
      </c>
      <c r="B1260" s="321" t="s">
        <v>862</v>
      </c>
      <c r="C1260" s="321" t="s">
        <v>863</v>
      </c>
      <c r="D1260" s="321" t="s">
        <v>864</v>
      </c>
      <c r="E1260" s="319" t="s">
        <v>865</v>
      </c>
      <c r="F1260" s="319" t="s">
        <v>554</v>
      </c>
      <c r="H1260" s="319" t="s">
        <v>536</v>
      </c>
      <c r="I1260" s="321" t="s">
        <v>543</v>
      </c>
      <c r="J1260" s="321" t="s">
        <v>544</v>
      </c>
      <c r="K1260" s="321" t="s">
        <v>866</v>
      </c>
      <c r="L1260" s="319" t="s">
        <v>546</v>
      </c>
      <c r="M1260" s="319"/>
      <c r="O1260" s="319" t="s">
        <v>536</v>
      </c>
      <c r="P1260" s="321" t="s">
        <v>543</v>
      </c>
      <c r="Q1260" s="321" t="s">
        <v>544</v>
      </c>
      <c r="R1260" s="321" t="s">
        <v>866</v>
      </c>
      <c r="S1260" s="319" t="s">
        <v>546</v>
      </c>
      <c r="T1260" s="319"/>
    </row>
    <row r="1261" spans="1:20" ht="15">
      <c r="A1261" s="318" t="s">
        <v>542</v>
      </c>
      <c r="B1261" s="321" t="s">
        <v>867</v>
      </c>
      <c r="C1261" s="321" t="s">
        <v>580</v>
      </c>
      <c r="D1261" s="321" t="s">
        <v>868</v>
      </c>
      <c r="E1261" s="321" t="s">
        <v>869</v>
      </c>
      <c r="F1261" s="322" t="s">
        <v>766</v>
      </c>
      <c r="H1261" s="319" t="s">
        <v>542</v>
      </c>
      <c r="I1261" s="321" t="s">
        <v>870</v>
      </c>
      <c r="J1261" s="321" t="s">
        <v>871</v>
      </c>
      <c r="K1261" s="321" t="s">
        <v>872</v>
      </c>
      <c r="L1261" s="321" t="s">
        <v>873</v>
      </c>
      <c r="M1261" s="322" t="s">
        <v>874</v>
      </c>
      <c r="O1261" s="319" t="s">
        <v>542</v>
      </c>
      <c r="P1261" s="321" t="s">
        <v>870</v>
      </c>
      <c r="Q1261" s="321" t="s">
        <v>871</v>
      </c>
      <c r="R1261" s="321" t="s">
        <v>872</v>
      </c>
      <c r="S1261" s="321" t="s">
        <v>873</v>
      </c>
      <c r="T1261" s="322" t="s">
        <v>874</v>
      </c>
    </row>
    <row r="1262" spans="1:20" ht="15">
      <c r="A1262" s="318" t="s">
        <v>549</v>
      </c>
      <c r="B1262" s="321" t="s">
        <v>875</v>
      </c>
      <c r="C1262" s="321" t="s">
        <v>767</v>
      </c>
      <c r="D1262" s="321" t="s">
        <v>876</v>
      </c>
      <c r="E1262" s="321" t="s">
        <v>877</v>
      </c>
      <c r="F1262" s="319" t="s">
        <v>878</v>
      </c>
      <c r="H1262" s="319" t="s">
        <v>549</v>
      </c>
      <c r="I1262" s="321" t="s">
        <v>879</v>
      </c>
      <c r="J1262" s="321" t="s">
        <v>539</v>
      </c>
      <c r="K1262" s="321" t="s">
        <v>524</v>
      </c>
      <c r="L1262" s="321" t="s">
        <v>782</v>
      </c>
      <c r="M1262" s="319"/>
      <c r="O1262" s="319" t="s">
        <v>549</v>
      </c>
      <c r="P1262" s="321" t="s">
        <v>879</v>
      </c>
      <c r="Q1262" s="321" t="s">
        <v>539</v>
      </c>
      <c r="R1262" s="321" t="s">
        <v>524</v>
      </c>
      <c r="S1262" s="321" t="s">
        <v>782</v>
      </c>
      <c r="T1262" s="319"/>
    </row>
    <row r="1263" spans="1:20" ht="15">
      <c r="A1263" s="318" t="s">
        <v>557</v>
      </c>
      <c r="B1263" s="321" t="s">
        <v>743</v>
      </c>
      <c r="C1263" s="321" t="s">
        <v>760</v>
      </c>
      <c r="D1263" s="321" t="s">
        <v>734</v>
      </c>
      <c r="E1263" s="321" t="s">
        <v>880</v>
      </c>
      <c r="F1263" s="322" t="s">
        <v>881</v>
      </c>
      <c r="H1263" s="319" t="s">
        <v>557</v>
      </c>
      <c r="I1263" s="321" t="s">
        <v>882</v>
      </c>
      <c r="J1263" s="321" t="s">
        <v>883</v>
      </c>
      <c r="K1263" s="321" t="s">
        <v>884</v>
      </c>
      <c r="L1263" s="321" t="s">
        <v>885</v>
      </c>
      <c r="M1263" s="322"/>
      <c r="O1263" s="319" t="s">
        <v>557</v>
      </c>
      <c r="P1263" s="321" t="s">
        <v>882</v>
      </c>
      <c r="Q1263" s="321" t="s">
        <v>883</v>
      </c>
      <c r="R1263" s="321" t="s">
        <v>884</v>
      </c>
      <c r="S1263" s="321" t="s">
        <v>885</v>
      </c>
      <c r="T1263" s="322"/>
    </row>
    <row r="1264" spans="1:20" ht="15">
      <c r="A1264" s="318" t="s">
        <v>564</v>
      </c>
      <c r="B1264" s="319" t="s">
        <v>748</v>
      </c>
      <c r="C1264" s="319" t="s">
        <v>886</v>
      </c>
      <c r="D1264" s="319" t="s">
        <v>887</v>
      </c>
      <c r="E1264" s="319" t="s">
        <v>888</v>
      </c>
      <c r="F1264" s="319" t="s">
        <v>889</v>
      </c>
      <c r="H1264" s="319" t="s">
        <v>564</v>
      </c>
      <c r="I1264" s="319" t="s">
        <v>890</v>
      </c>
      <c r="J1264" s="319" t="s">
        <v>891</v>
      </c>
      <c r="K1264" s="319" t="s">
        <v>892</v>
      </c>
      <c r="L1264" s="319" t="s">
        <v>893</v>
      </c>
      <c r="M1264" s="319" t="s">
        <v>889</v>
      </c>
      <c r="O1264" s="319" t="s">
        <v>564</v>
      </c>
      <c r="P1264" s="319" t="s">
        <v>890</v>
      </c>
      <c r="Q1264" s="319" t="s">
        <v>891</v>
      </c>
      <c r="R1264" s="319" t="s">
        <v>892</v>
      </c>
      <c r="S1264" s="319" t="s">
        <v>893</v>
      </c>
      <c r="T1264" s="319" t="s">
        <v>889</v>
      </c>
    </row>
    <row r="1265" spans="1:20" ht="15">
      <c r="A1265" s="318" t="s">
        <v>572</v>
      </c>
      <c r="B1265" s="321" t="s">
        <v>581</v>
      </c>
      <c r="C1265" s="321" t="s">
        <v>894</v>
      </c>
      <c r="D1265" s="321" t="s">
        <v>596</v>
      </c>
      <c r="E1265" s="321" t="s">
        <v>597</v>
      </c>
      <c r="F1265" s="322" t="s">
        <v>895</v>
      </c>
      <c r="H1265" s="319" t="s">
        <v>572</v>
      </c>
      <c r="I1265" s="321" t="s">
        <v>539</v>
      </c>
      <c r="J1265" s="321" t="s">
        <v>640</v>
      </c>
      <c r="K1265" s="321" t="s">
        <v>896</v>
      </c>
      <c r="L1265" s="321" t="s">
        <v>897</v>
      </c>
      <c r="M1265" s="322" t="s">
        <v>881</v>
      </c>
      <c r="O1265" s="319" t="s">
        <v>572</v>
      </c>
      <c r="P1265" s="321" t="s">
        <v>539</v>
      </c>
      <c r="Q1265" s="321" t="s">
        <v>640</v>
      </c>
      <c r="R1265" s="321" t="s">
        <v>896</v>
      </c>
      <c r="S1265" s="321" t="s">
        <v>897</v>
      </c>
      <c r="T1265" s="322" t="s">
        <v>881</v>
      </c>
    </row>
    <row r="1266" spans="1:20" ht="15">
      <c r="A1266" s="318" t="s">
        <v>579</v>
      </c>
      <c r="B1266" s="319" t="s">
        <v>898</v>
      </c>
      <c r="C1266" s="319" t="s">
        <v>773</v>
      </c>
      <c r="D1266" s="321" t="s">
        <v>899</v>
      </c>
      <c r="E1266" s="321" t="s">
        <v>900</v>
      </c>
      <c r="F1266" s="319" t="s">
        <v>776</v>
      </c>
      <c r="H1266" s="319" t="s">
        <v>579</v>
      </c>
      <c r="I1266" s="319" t="s">
        <v>640</v>
      </c>
      <c r="J1266" s="319" t="s">
        <v>595</v>
      </c>
      <c r="K1266" s="321" t="s">
        <v>596</v>
      </c>
      <c r="L1266" s="321" t="s">
        <v>597</v>
      </c>
      <c r="M1266" s="319" t="s">
        <v>598</v>
      </c>
      <c r="O1266" s="319" t="s">
        <v>579</v>
      </c>
      <c r="P1266" s="319" t="s">
        <v>640</v>
      </c>
      <c r="Q1266" s="319" t="s">
        <v>595</v>
      </c>
      <c r="R1266" s="321" t="s">
        <v>596</v>
      </c>
      <c r="S1266" s="321" t="s">
        <v>597</v>
      </c>
      <c r="T1266" s="319" t="s">
        <v>598</v>
      </c>
    </row>
    <row r="1267" spans="1:20" ht="15">
      <c r="A1267" s="318" t="s">
        <v>587</v>
      </c>
      <c r="B1267" s="321" t="s">
        <v>773</v>
      </c>
      <c r="C1267" s="321" t="s">
        <v>901</v>
      </c>
      <c r="D1267" s="321" t="s">
        <v>902</v>
      </c>
      <c r="E1267" s="321" t="s">
        <v>903</v>
      </c>
      <c r="F1267" s="322" t="s">
        <v>653</v>
      </c>
      <c r="H1267" s="319" t="s">
        <v>587</v>
      </c>
      <c r="I1267" s="321" t="s">
        <v>904</v>
      </c>
      <c r="J1267" s="321" t="s">
        <v>905</v>
      </c>
      <c r="K1267" s="321" t="s">
        <v>906</v>
      </c>
      <c r="L1267" s="321" t="s">
        <v>657</v>
      </c>
      <c r="M1267" s="322" t="s">
        <v>776</v>
      </c>
      <c r="O1267" s="319" t="s">
        <v>587</v>
      </c>
      <c r="P1267" s="321" t="s">
        <v>904</v>
      </c>
      <c r="Q1267" s="321" t="s">
        <v>905</v>
      </c>
      <c r="R1267" s="321" t="s">
        <v>906</v>
      </c>
      <c r="S1267" s="321" t="s">
        <v>657</v>
      </c>
      <c r="T1267" s="322" t="s">
        <v>776</v>
      </c>
    </row>
    <row r="1268" spans="1:20" ht="15">
      <c r="A1268" s="318" t="s">
        <v>594</v>
      </c>
      <c r="B1268" s="319" t="s">
        <v>792</v>
      </c>
      <c r="C1268" s="321" t="s">
        <v>798</v>
      </c>
      <c r="D1268" s="321" t="s">
        <v>907</v>
      </c>
      <c r="E1268" s="321" t="s">
        <v>908</v>
      </c>
      <c r="F1268" s="319" t="s">
        <v>776</v>
      </c>
      <c r="H1268" s="319" t="s">
        <v>594</v>
      </c>
      <c r="I1268" s="319" t="s">
        <v>652</v>
      </c>
      <c r="J1268" s="321" t="s">
        <v>798</v>
      </c>
      <c r="K1268" s="321" t="s">
        <v>690</v>
      </c>
      <c r="L1268" s="321" t="s">
        <v>909</v>
      </c>
      <c r="M1268" s="319"/>
      <c r="O1268" s="319" t="s">
        <v>594</v>
      </c>
      <c r="P1268" s="319" t="s">
        <v>652</v>
      </c>
      <c r="Q1268" s="321" t="s">
        <v>798</v>
      </c>
      <c r="R1268" s="321" t="s">
        <v>690</v>
      </c>
      <c r="S1268" s="321" t="s">
        <v>909</v>
      </c>
      <c r="T1268" s="319"/>
    </row>
    <row r="1269" spans="1:20" ht="15">
      <c r="A1269" s="318" t="s">
        <v>601</v>
      </c>
      <c r="B1269" s="321" t="s">
        <v>798</v>
      </c>
      <c r="C1269" s="321" t="s">
        <v>809</v>
      </c>
      <c r="D1269" s="321" t="s">
        <v>910</v>
      </c>
      <c r="E1269" s="321">
        <v>46264</v>
      </c>
      <c r="F1269" s="322" t="s">
        <v>911</v>
      </c>
      <c r="H1269" s="319" t="s">
        <v>601</v>
      </c>
      <c r="I1269" s="321" t="s">
        <v>794</v>
      </c>
      <c r="J1269" s="321" t="s">
        <v>912</v>
      </c>
      <c r="K1269" s="321" t="s">
        <v>662</v>
      </c>
      <c r="L1269" s="321" t="s">
        <v>913</v>
      </c>
      <c r="M1269" s="322"/>
      <c r="O1269" s="319" t="s">
        <v>601</v>
      </c>
      <c r="P1269" s="321" t="s">
        <v>794</v>
      </c>
      <c r="Q1269" s="321" t="s">
        <v>912</v>
      </c>
      <c r="R1269" s="321" t="s">
        <v>662</v>
      </c>
      <c r="S1269" s="321" t="s">
        <v>913</v>
      </c>
      <c r="T1269" s="322"/>
    </row>
    <row r="1270" spans="1:20" ht="15">
      <c r="A1270" s="318" t="s">
        <v>608</v>
      </c>
      <c r="B1270" s="321" t="s">
        <v>801</v>
      </c>
      <c r="C1270" s="321" t="s">
        <v>831</v>
      </c>
      <c r="D1270" s="321" t="s">
        <v>802</v>
      </c>
      <c r="E1270" s="321">
        <v>46108</v>
      </c>
      <c r="F1270" s="322" t="s">
        <v>914</v>
      </c>
      <c r="H1270" s="319" t="s">
        <v>608</v>
      </c>
      <c r="I1270" s="321" t="s">
        <v>915</v>
      </c>
      <c r="J1270" s="321" t="s">
        <v>916</v>
      </c>
      <c r="K1270" s="321" t="s">
        <v>917</v>
      </c>
      <c r="L1270" s="321">
        <v>46142</v>
      </c>
      <c r="M1270" s="322"/>
      <c r="O1270" s="319" t="s">
        <v>608</v>
      </c>
      <c r="P1270" s="321" t="s">
        <v>915</v>
      </c>
      <c r="Q1270" s="321" t="s">
        <v>916</v>
      </c>
      <c r="R1270" s="321" t="s">
        <v>917</v>
      </c>
      <c r="S1270" s="321">
        <v>46142</v>
      </c>
      <c r="T1270" s="322"/>
    </row>
    <row r="1271" spans="1:20" ht="15">
      <c r="A1271" s="318" t="s">
        <v>615</v>
      </c>
      <c r="B1271" s="321" t="s">
        <v>674</v>
      </c>
      <c r="C1271" s="321" t="s">
        <v>824</v>
      </c>
      <c r="D1271" s="321" t="s">
        <v>808</v>
      </c>
      <c r="E1271" s="321">
        <v>46077</v>
      </c>
      <c r="F1271" s="322" t="s">
        <v>914</v>
      </c>
      <c r="H1271" s="319" t="s">
        <v>615</v>
      </c>
      <c r="I1271" s="321" t="s">
        <v>801</v>
      </c>
      <c r="J1271" s="321" t="s">
        <v>918</v>
      </c>
      <c r="K1271" s="321" t="s">
        <v>802</v>
      </c>
      <c r="L1271" s="321">
        <v>46108</v>
      </c>
      <c r="M1271" s="322"/>
      <c r="O1271" s="319" t="s">
        <v>615</v>
      </c>
      <c r="P1271" s="321" t="s">
        <v>801</v>
      </c>
      <c r="Q1271" s="321" t="s">
        <v>918</v>
      </c>
      <c r="R1271" s="321" t="s">
        <v>802</v>
      </c>
      <c r="S1271" s="321">
        <v>46108</v>
      </c>
      <c r="T1271" s="322"/>
    </row>
    <row r="1272" spans="1:20" ht="15">
      <c r="A1272" s="318" t="s">
        <v>622</v>
      </c>
      <c r="B1272" s="321" t="s">
        <v>835</v>
      </c>
      <c r="C1272" s="321" t="s">
        <v>805</v>
      </c>
      <c r="D1272" s="321" t="s">
        <v>836</v>
      </c>
      <c r="E1272" s="321">
        <v>46163</v>
      </c>
      <c r="F1272" s="322" t="s">
        <v>919</v>
      </c>
      <c r="H1272" s="319" t="s">
        <v>622</v>
      </c>
      <c r="I1272" s="321" t="s">
        <v>817</v>
      </c>
      <c r="J1272" s="321" t="s">
        <v>775</v>
      </c>
      <c r="K1272" s="321" t="s">
        <v>825</v>
      </c>
      <c r="L1272" s="321">
        <v>46197</v>
      </c>
      <c r="M1272" s="322"/>
      <c r="O1272" s="319" t="s">
        <v>622</v>
      </c>
      <c r="P1272" s="321" t="s">
        <v>817</v>
      </c>
      <c r="Q1272" s="321" t="s">
        <v>775</v>
      </c>
      <c r="R1272" s="321" t="s">
        <v>825</v>
      </c>
      <c r="S1272" s="321">
        <v>46197</v>
      </c>
      <c r="T1272" s="322"/>
    </row>
    <row r="1273" spans="1:20" ht="15">
      <c r="A1273" s="318" t="s">
        <v>627</v>
      </c>
      <c r="B1273" s="321" t="s">
        <v>832</v>
      </c>
      <c r="C1273" s="321" t="s">
        <v>814</v>
      </c>
      <c r="D1273" s="321">
        <v>46262</v>
      </c>
      <c r="E1273" s="321">
        <v>46072</v>
      </c>
      <c r="F1273" s="322" t="s">
        <v>919</v>
      </c>
      <c r="H1273" s="319" t="s">
        <v>627</v>
      </c>
      <c r="I1273" s="321" t="s">
        <v>821</v>
      </c>
      <c r="J1273" s="321" t="s">
        <v>920</v>
      </c>
      <c r="K1273" s="321" t="s">
        <v>638</v>
      </c>
      <c r="L1273" s="321">
        <v>46103</v>
      </c>
      <c r="M1273" s="322"/>
      <c r="O1273" s="319" t="s">
        <v>627</v>
      </c>
      <c r="P1273" s="321" t="s">
        <v>821</v>
      </c>
      <c r="Q1273" s="321" t="s">
        <v>920</v>
      </c>
      <c r="R1273" s="321" t="s">
        <v>638</v>
      </c>
      <c r="S1273" s="321">
        <v>46103</v>
      </c>
      <c r="T1273" s="322"/>
    </row>
    <row r="1274" spans="1:20" ht="15">
      <c r="A1274" s="318" t="s">
        <v>634</v>
      </c>
      <c r="B1274" s="319" t="s">
        <v>691</v>
      </c>
      <c r="C1274" s="319" t="s">
        <v>921</v>
      </c>
      <c r="D1274" s="321" t="s">
        <v>838</v>
      </c>
      <c r="E1274" s="319">
        <v>46098</v>
      </c>
      <c r="F1274" s="319" t="s">
        <v>922</v>
      </c>
      <c r="H1274" s="319" t="s">
        <v>634</v>
      </c>
      <c r="I1274" s="319" t="s">
        <v>813</v>
      </c>
      <c r="J1274" s="319" t="s">
        <v>909</v>
      </c>
      <c r="K1274" s="321" t="s">
        <v>692</v>
      </c>
      <c r="L1274" s="319" t="s">
        <v>815</v>
      </c>
      <c r="M1274" s="319" t="s">
        <v>812</v>
      </c>
      <c r="O1274" s="319" t="s">
        <v>634</v>
      </c>
      <c r="P1274" s="319" t="s">
        <v>813</v>
      </c>
      <c r="Q1274" s="319" t="s">
        <v>909</v>
      </c>
      <c r="R1274" s="321" t="s">
        <v>692</v>
      </c>
      <c r="S1274" s="319" t="s">
        <v>815</v>
      </c>
      <c r="T1274" s="319" t="s">
        <v>812</v>
      </c>
    </row>
    <row r="1275" spans="1:20" ht="15">
      <c r="A1275" s="318" t="s">
        <v>641</v>
      </c>
      <c r="B1275" s="321" t="s">
        <v>802</v>
      </c>
      <c r="C1275" s="321" t="s">
        <v>830</v>
      </c>
      <c r="D1275" s="321">
        <v>46196</v>
      </c>
      <c r="E1275" s="321">
        <v>46249</v>
      </c>
      <c r="F1275" s="322" t="s">
        <v>923</v>
      </c>
      <c r="H1275" s="319" t="s">
        <v>641</v>
      </c>
      <c r="I1275" s="321" t="s">
        <v>810</v>
      </c>
      <c r="J1275" s="321" t="s">
        <v>825</v>
      </c>
      <c r="K1275" s="321">
        <v>46230</v>
      </c>
      <c r="L1275" s="321">
        <v>46160</v>
      </c>
      <c r="M1275" s="322"/>
      <c r="O1275" s="319" t="s">
        <v>641</v>
      </c>
      <c r="P1275" s="321" t="s">
        <v>810</v>
      </c>
      <c r="Q1275" s="321" t="s">
        <v>825</v>
      </c>
      <c r="R1275" s="321">
        <v>46230</v>
      </c>
      <c r="S1275" s="321">
        <v>46160</v>
      </c>
      <c r="T1275" s="322"/>
    </row>
    <row r="1276" spans="1:20" ht="15">
      <c r="A1276" s="318" t="s">
        <v>647</v>
      </c>
      <c r="B1276" s="321" t="s">
        <v>826</v>
      </c>
      <c r="C1276" s="321" t="s">
        <v>645</v>
      </c>
      <c r="D1276" s="321">
        <v>46286</v>
      </c>
      <c r="E1276" s="321">
        <v>46187</v>
      </c>
      <c r="F1276" s="322" t="s">
        <v>923</v>
      </c>
      <c r="H1276" s="319" t="s">
        <v>647</v>
      </c>
      <c r="I1276" s="321" t="s">
        <v>691</v>
      </c>
      <c r="J1276" s="321" t="s">
        <v>924</v>
      </c>
      <c r="K1276" s="321" t="s">
        <v>838</v>
      </c>
      <c r="L1276" s="321">
        <v>46098</v>
      </c>
      <c r="M1276" s="322"/>
      <c r="O1276" s="319" t="s">
        <v>647</v>
      </c>
      <c r="P1276" s="321" t="s">
        <v>691</v>
      </c>
      <c r="Q1276" s="321" t="s">
        <v>924</v>
      </c>
      <c r="R1276" s="321" t="s">
        <v>838</v>
      </c>
      <c r="S1276" s="321">
        <v>46098</v>
      </c>
      <c r="T1276" s="322"/>
    </row>
    <row r="1277" spans="1:20" ht="15">
      <c r="A1277" s="318" t="s">
        <v>654</v>
      </c>
      <c r="B1277" s="321" t="s">
        <v>823</v>
      </c>
      <c r="C1277" s="321" t="s">
        <v>925</v>
      </c>
      <c r="D1277" s="321">
        <v>46073</v>
      </c>
      <c r="E1277" s="321">
        <v>46155</v>
      </c>
      <c r="F1277" s="322" t="s">
        <v>923</v>
      </c>
      <c r="H1277" s="319" t="s">
        <v>654</v>
      </c>
      <c r="I1277" s="321" t="s">
        <v>841</v>
      </c>
      <c r="J1277" s="321" t="s">
        <v>836</v>
      </c>
      <c r="K1277" s="321">
        <v>46077</v>
      </c>
      <c r="L1277" s="321">
        <v>46069</v>
      </c>
      <c r="M1277" s="322"/>
      <c r="O1277" s="319" t="s">
        <v>654</v>
      </c>
      <c r="P1277" s="321" t="s">
        <v>841</v>
      </c>
      <c r="Q1277" s="321" t="s">
        <v>836</v>
      </c>
      <c r="R1277" s="321">
        <v>46077</v>
      </c>
      <c r="S1277" s="321">
        <v>46069</v>
      </c>
      <c r="T1277" s="322"/>
    </row>
    <row r="1278" spans="1:20" ht="15">
      <c r="A1278" s="318" t="s">
        <v>665</v>
      </c>
      <c r="B1278" s="321" t="s">
        <v>645</v>
      </c>
      <c r="C1278" s="321" t="s">
        <v>834</v>
      </c>
      <c r="D1278" s="321" t="s">
        <v>926</v>
      </c>
      <c r="E1278" s="321">
        <v>46215</v>
      </c>
      <c r="F1278" s="322" t="s">
        <v>923</v>
      </c>
      <c r="H1278" s="319" t="s">
        <v>665</v>
      </c>
      <c r="I1278" s="321" t="s">
        <v>909</v>
      </c>
      <c r="J1278" s="321">
        <v>46264</v>
      </c>
      <c r="K1278" s="321">
        <v>46045</v>
      </c>
      <c r="L1278" s="321">
        <v>46127</v>
      </c>
      <c r="M1278" s="322"/>
      <c r="O1278" s="319" t="s">
        <v>665</v>
      </c>
      <c r="P1278" s="321" t="s">
        <v>909</v>
      </c>
      <c r="Q1278" s="321">
        <v>46264</v>
      </c>
      <c r="R1278" s="321">
        <v>46045</v>
      </c>
      <c r="S1278" s="321">
        <v>46127</v>
      </c>
      <c r="T1278" s="322"/>
    </row>
    <row r="1279" spans="1:20" ht="15">
      <c r="A1279" s="318" t="s">
        <v>672</v>
      </c>
      <c r="B1279" s="319" t="s">
        <v>827</v>
      </c>
      <c r="C1279" s="319" t="s">
        <v>843</v>
      </c>
      <c r="D1279" s="321">
        <v>46160</v>
      </c>
      <c r="E1279" s="319">
        <v>46093</v>
      </c>
      <c r="F1279" s="319" t="s">
        <v>927</v>
      </c>
      <c r="H1279" s="319" t="s">
        <v>672</v>
      </c>
      <c r="I1279" s="319" t="s">
        <v>826</v>
      </c>
      <c r="J1279" s="319" t="s">
        <v>928</v>
      </c>
      <c r="K1279" s="321">
        <v>46286</v>
      </c>
      <c r="L1279" s="319">
        <v>46187</v>
      </c>
      <c r="M1279" s="319" t="s">
        <v>923</v>
      </c>
      <c r="O1279" s="319" t="s">
        <v>672</v>
      </c>
      <c r="P1279" s="319" t="s">
        <v>826</v>
      </c>
      <c r="Q1279" s="319" t="s">
        <v>928</v>
      </c>
      <c r="R1279" s="321">
        <v>46286</v>
      </c>
      <c r="S1279" s="319">
        <v>46187</v>
      </c>
      <c r="T1279" s="319" t="s">
        <v>923</v>
      </c>
    </row>
    <row r="1280" spans="1:20" ht="15">
      <c r="A1280" s="318" t="s">
        <v>682</v>
      </c>
      <c r="B1280" s="321" t="s">
        <v>692</v>
      </c>
      <c r="C1280" s="321" t="s">
        <v>838</v>
      </c>
      <c r="D1280" s="321">
        <v>46098</v>
      </c>
      <c r="E1280" s="329">
        <v>46153</v>
      </c>
      <c r="F1280" s="322" t="s">
        <v>929</v>
      </c>
      <c r="H1280" s="319" t="s">
        <v>682</v>
      </c>
      <c r="I1280" s="321" t="s">
        <v>830</v>
      </c>
      <c r="J1280" s="321">
        <v>46230</v>
      </c>
      <c r="K1280" s="321">
        <v>46254</v>
      </c>
      <c r="L1280" s="329">
        <v>46247</v>
      </c>
      <c r="M1280" s="322"/>
      <c r="O1280" s="319" t="s">
        <v>682</v>
      </c>
      <c r="P1280" s="321" t="s">
        <v>830</v>
      </c>
      <c r="Q1280" s="321">
        <v>46230</v>
      </c>
      <c r="R1280" s="321">
        <v>46254</v>
      </c>
      <c r="S1280" s="329">
        <v>46247</v>
      </c>
      <c r="T1280" s="322"/>
    </row>
    <row r="1281" spans="1:20" ht="15">
      <c r="A1281" s="318" t="s">
        <v>688</v>
      </c>
      <c r="B1281" s="321" t="s">
        <v>843</v>
      </c>
      <c r="C1281" s="321" t="s">
        <v>840</v>
      </c>
      <c r="D1281" s="321">
        <v>46038</v>
      </c>
      <c r="E1281" s="321">
        <v>46244</v>
      </c>
      <c r="F1281" s="322" t="s">
        <v>929</v>
      </c>
      <c r="H1281" s="319" t="s">
        <v>688</v>
      </c>
      <c r="I1281" s="321" t="s">
        <v>833</v>
      </c>
      <c r="J1281" s="321">
        <v>46079</v>
      </c>
      <c r="K1281" s="321">
        <v>46192</v>
      </c>
      <c r="L1281" s="321">
        <v>46035</v>
      </c>
      <c r="M1281" s="322"/>
      <c r="O1281" s="319" t="s">
        <v>688</v>
      </c>
      <c r="P1281" s="321" t="s">
        <v>833</v>
      </c>
      <c r="Q1281" s="321">
        <v>46079</v>
      </c>
      <c r="R1281" s="321">
        <v>46192</v>
      </c>
      <c r="S1281" s="321">
        <v>46035</v>
      </c>
      <c r="T1281" s="322"/>
    </row>
    <row r="1282" spans="1:20" ht="15">
      <c r="A1282" s="318" t="s">
        <v>695</v>
      </c>
      <c r="B1282" s="321" t="s">
        <v>838</v>
      </c>
      <c r="C1282" s="321" t="s">
        <v>930</v>
      </c>
      <c r="D1282" s="321" t="s">
        <v>931</v>
      </c>
      <c r="E1282" s="329" t="s">
        <v>932</v>
      </c>
      <c r="F1282" s="322" t="s">
        <v>929</v>
      </c>
      <c r="H1282" s="319" t="s">
        <v>695</v>
      </c>
      <c r="I1282" s="321" t="s">
        <v>827</v>
      </c>
      <c r="J1282" s="321">
        <v>46197</v>
      </c>
      <c r="K1282" s="321">
        <v>46160</v>
      </c>
      <c r="L1282" s="329">
        <v>46093</v>
      </c>
      <c r="M1282" s="322"/>
      <c r="O1282" s="319" t="s">
        <v>695</v>
      </c>
      <c r="P1282" s="321" t="s">
        <v>827</v>
      </c>
      <c r="Q1282" s="321">
        <v>46197</v>
      </c>
      <c r="R1282" s="321">
        <v>46160</v>
      </c>
      <c r="S1282" s="329">
        <v>46093</v>
      </c>
      <c r="T1282" s="322"/>
    </row>
    <row r="1283" spans="1:20" ht="15">
      <c r="A1283" s="318" t="s">
        <v>701</v>
      </c>
      <c r="B1283" s="321" t="s">
        <v>840</v>
      </c>
      <c r="C1283" s="321" t="s">
        <v>933</v>
      </c>
      <c r="D1283" s="321">
        <v>46126</v>
      </c>
      <c r="E1283" s="329">
        <v>46182</v>
      </c>
      <c r="F1283" s="322" t="s">
        <v>929</v>
      </c>
      <c r="H1283" s="319" t="s">
        <v>701</v>
      </c>
      <c r="I1283" s="321" t="s">
        <v>692</v>
      </c>
      <c r="J1283" s="321">
        <v>46045</v>
      </c>
      <c r="K1283" s="321">
        <v>46098</v>
      </c>
      <c r="L1283" s="329">
        <v>46153</v>
      </c>
      <c r="M1283" s="322"/>
      <c r="O1283" s="319" t="s">
        <v>701</v>
      </c>
      <c r="P1283" s="321" t="s">
        <v>692</v>
      </c>
      <c r="Q1283" s="321">
        <v>46045</v>
      </c>
      <c r="R1283" s="321">
        <v>46098</v>
      </c>
      <c r="S1283" s="329">
        <v>46153</v>
      </c>
      <c r="T1283" s="322"/>
    </row>
    <row r="1284" spans="1:20" ht="15">
      <c r="A1284" s="330" t="s">
        <v>678</v>
      </c>
      <c r="B1284" s="331" t="s">
        <v>844</v>
      </c>
      <c r="C1284" s="331" t="s">
        <v>934</v>
      </c>
      <c r="D1284" s="332">
        <v>46247</v>
      </c>
      <c r="E1284" s="333">
        <v>46062</v>
      </c>
      <c r="F1284" s="331" t="s">
        <v>935</v>
      </c>
      <c r="H1284" s="331" t="s">
        <v>678</v>
      </c>
      <c r="I1284" s="331" t="s">
        <v>834</v>
      </c>
      <c r="J1284" s="331">
        <v>46103</v>
      </c>
      <c r="K1284" s="332">
        <v>46219</v>
      </c>
      <c r="L1284" s="333">
        <v>46064</v>
      </c>
      <c r="M1284" s="331" t="s">
        <v>842</v>
      </c>
      <c r="O1284" s="331" t="s">
        <v>678</v>
      </c>
      <c r="P1284" s="331" t="s">
        <v>834</v>
      </c>
      <c r="Q1284" s="331">
        <v>46103</v>
      </c>
      <c r="R1284" s="332">
        <v>46219</v>
      </c>
      <c r="S1284" s="333">
        <v>46064</v>
      </c>
      <c r="T1284" s="331" t="s">
        <v>842</v>
      </c>
    </row>
    <row r="1285" spans="1:20" ht="12.75">
      <c r="A1285" s="246" t="s">
        <v>936</v>
      </c>
    </row>
    <row r="1286" spans="1:20" ht="12.75">
      <c r="A1286" s="334"/>
    </row>
    <row r="1287" spans="1:20" ht="12.75">
      <c r="A1287" s="334" t="s">
        <v>706</v>
      </c>
    </row>
    <row r="1288" spans="1:20" ht="19.5">
      <c r="A1288" s="320" t="s">
        <v>937</v>
      </c>
      <c r="H1288" s="317" t="s">
        <v>938</v>
      </c>
    </row>
    <row r="1289" spans="1:20" ht="15">
      <c r="A1289" s="337" t="s">
        <v>939</v>
      </c>
      <c r="H1289" s="337" t="s">
        <v>851</v>
      </c>
    </row>
    <row r="1290" spans="1:20" ht="15">
      <c r="A1290" s="318" t="s">
        <v>512</v>
      </c>
      <c r="B1290" s="319" t="s">
        <v>513</v>
      </c>
      <c r="C1290" s="319" t="s">
        <v>614</v>
      </c>
      <c r="D1290" s="319" t="s">
        <v>515</v>
      </c>
      <c r="E1290" s="319" t="s">
        <v>516</v>
      </c>
      <c r="F1290" s="319" t="s">
        <v>852</v>
      </c>
      <c r="H1290" s="319" t="s">
        <v>512</v>
      </c>
      <c r="I1290" s="319" t="s">
        <v>513</v>
      </c>
      <c r="J1290" s="319" t="s">
        <v>614</v>
      </c>
      <c r="K1290" s="319" t="s">
        <v>515</v>
      </c>
      <c r="L1290" s="319" t="s">
        <v>516</v>
      </c>
      <c r="M1290" s="319" t="s">
        <v>852</v>
      </c>
    </row>
    <row r="1291" spans="1:20" ht="15">
      <c r="A1291" s="318" t="s">
        <v>520</v>
      </c>
      <c r="B1291" s="319" t="s">
        <v>940</v>
      </c>
      <c r="C1291" s="319" t="s">
        <v>941</v>
      </c>
      <c r="D1291" s="319" t="s">
        <v>580</v>
      </c>
      <c r="E1291" s="319" t="s">
        <v>894</v>
      </c>
      <c r="F1291" s="319" t="s">
        <v>853</v>
      </c>
      <c r="H1291" s="319" t="s">
        <v>520</v>
      </c>
      <c r="I1291" s="319" t="s">
        <v>521</v>
      </c>
      <c r="J1291" s="319" t="s">
        <v>522</v>
      </c>
      <c r="K1291" s="319" t="s">
        <v>523</v>
      </c>
      <c r="L1291" s="319" t="s">
        <v>524</v>
      </c>
      <c r="M1291" s="319" t="s">
        <v>714</v>
      </c>
    </row>
    <row r="1292" spans="1:20" ht="15">
      <c r="A1292" s="318" t="s">
        <v>528</v>
      </c>
      <c r="B1292" s="321" t="s">
        <v>942</v>
      </c>
      <c r="C1292" s="321" t="s">
        <v>943</v>
      </c>
      <c r="D1292" s="321" t="s">
        <v>944</v>
      </c>
      <c r="E1292" s="319" t="s">
        <v>945</v>
      </c>
      <c r="F1292" s="319" t="s">
        <v>946</v>
      </c>
      <c r="H1292" s="319" t="s">
        <v>528</v>
      </c>
      <c r="I1292" s="321" t="s">
        <v>858</v>
      </c>
      <c r="J1292" s="321" t="s">
        <v>859</v>
      </c>
      <c r="K1292" s="321" t="s">
        <v>860</v>
      </c>
      <c r="L1292" s="319" t="s">
        <v>861</v>
      </c>
      <c r="M1292" s="319"/>
    </row>
    <row r="1293" spans="1:20" ht="15">
      <c r="A1293" s="318" t="s">
        <v>536</v>
      </c>
      <c r="B1293" s="321" t="s">
        <v>947</v>
      </c>
      <c r="C1293" s="321" t="s">
        <v>948</v>
      </c>
      <c r="D1293" s="321" t="s">
        <v>949</v>
      </c>
      <c r="E1293" s="319" t="s">
        <v>950</v>
      </c>
      <c r="F1293" s="319" t="s">
        <v>766</v>
      </c>
      <c r="H1293" s="319" t="s">
        <v>536</v>
      </c>
      <c r="I1293" s="321" t="s">
        <v>543</v>
      </c>
      <c r="J1293" s="321" t="s">
        <v>544</v>
      </c>
      <c r="K1293" s="321" t="s">
        <v>866</v>
      </c>
      <c r="L1293" s="319" t="s">
        <v>546</v>
      </c>
      <c r="M1293" s="319"/>
    </row>
    <row r="1294" spans="1:20" ht="15">
      <c r="A1294" s="318" t="s">
        <v>542</v>
      </c>
      <c r="B1294" s="321" t="s">
        <v>951</v>
      </c>
      <c r="C1294" s="321" t="s">
        <v>952</v>
      </c>
      <c r="D1294" s="321" t="s">
        <v>953</v>
      </c>
      <c r="E1294" s="321" t="s">
        <v>954</v>
      </c>
      <c r="F1294" s="322" t="s">
        <v>955</v>
      </c>
      <c r="H1294" s="319" t="s">
        <v>542</v>
      </c>
      <c r="I1294" s="321" t="s">
        <v>870</v>
      </c>
      <c r="J1294" s="321" t="s">
        <v>871</v>
      </c>
      <c r="K1294" s="321" t="s">
        <v>872</v>
      </c>
      <c r="L1294" s="321" t="s">
        <v>873</v>
      </c>
      <c r="M1294" s="322" t="s">
        <v>874</v>
      </c>
    </row>
    <row r="1295" spans="1:20" ht="15">
      <c r="A1295" s="318" t="s">
        <v>549</v>
      </c>
      <c r="B1295" s="321" t="s">
        <v>956</v>
      </c>
      <c r="C1295" s="321" t="s">
        <v>944</v>
      </c>
      <c r="D1295" s="321" t="s">
        <v>957</v>
      </c>
      <c r="E1295" s="321" t="s">
        <v>610</v>
      </c>
      <c r="F1295" s="319" t="s">
        <v>878</v>
      </c>
      <c r="H1295" s="319" t="s">
        <v>549</v>
      </c>
      <c r="I1295" s="321" t="s">
        <v>879</v>
      </c>
      <c r="J1295" s="321" t="s">
        <v>539</v>
      </c>
      <c r="K1295" s="321" t="s">
        <v>524</v>
      </c>
      <c r="L1295" s="321" t="s">
        <v>782</v>
      </c>
      <c r="M1295" s="319"/>
    </row>
    <row r="1296" spans="1:20" ht="15">
      <c r="A1296" s="318" t="s">
        <v>557</v>
      </c>
      <c r="B1296" s="321" t="s">
        <v>958</v>
      </c>
      <c r="C1296" s="321" t="s">
        <v>756</v>
      </c>
      <c r="D1296" s="321" t="s">
        <v>959</v>
      </c>
      <c r="E1296" s="321" t="s">
        <v>960</v>
      </c>
      <c r="F1296" s="322" t="s">
        <v>961</v>
      </c>
      <c r="H1296" s="319" t="s">
        <v>557</v>
      </c>
      <c r="I1296" s="321" t="s">
        <v>882</v>
      </c>
      <c r="J1296" s="321" t="s">
        <v>883</v>
      </c>
      <c r="K1296" s="321" t="s">
        <v>884</v>
      </c>
      <c r="L1296" s="321" t="s">
        <v>885</v>
      </c>
      <c r="M1296" s="322"/>
    </row>
    <row r="1297" spans="1:13" ht="15">
      <c r="A1297" s="318" t="s">
        <v>564</v>
      </c>
      <c r="B1297" s="319" t="s">
        <v>962</v>
      </c>
      <c r="C1297" s="319" t="s">
        <v>963</v>
      </c>
      <c r="D1297" s="319" t="s">
        <v>964</v>
      </c>
      <c r="E1297" s="319" t="s">
        <v>965</v>
      </c>
      <c r="F1297" s="319" t="s">
        <v>966</v>
      </c>
      <c r="H1297" s="319" t="s">
        <v>564</v>
      </c>
      <c r="I1297" s="319" t="s">
        <v>890</v>
      </c>
      <c r="J1297" s="319" t="s">
        <v>891</v>
      </c>
      <c r="K1297" s="319" t="s">
        <v>892</v>
      </c>
      <c r="L1297" s="319" t="s">
        <v>893</v>
      </c>
      <c r="M1297" s="319" t="s">
        <v>889</v>
      </c>
    </row>
    <row r="1298" spans="1:13" ht="15">
      <c r="A1298" s="318" t="s">
        <v>572</v>
      </c>
      <c r="B1298" s="321" t="s">
        <v>967</v>
      </c>
      <c r="C1298" s="321" t="s">
        <v>640</v>
      </c>
      <c r="D1298" s="321" t="s">
        <v>968</v>
      </c>
      <c r="E1298" s="321" t="s">
        <v>899</v>
      </c>
      <c r="F1298" s="322" t="s">
        <v>881</v>
      </c>
      <c r="H1298" s="319" t="s">
        <v>572</v>
      </c>
      <c r="I1298" s="321" t="s">
        <v>539</v>
      </c>
      <c r="J1298" s="321" t="s">
        <v>640</v>
      </c>
      <c r="K1298" s="321" t="s">
        <v>896</v>
      </c>
      <c r="L1298" s="321" t="s">
        <v>897</v>
      </c>
      <c r="M1298" s="322" t="s">
        <v>881</v>
      </c>
    </row>
    <row r="1299" spans="1:13" ht="15">
      <c r="A1299" s="318" t="s">
        <v>579</v>
      </c>
      <c r="B1299" s="319" t="s">
        <v>640</v>
      </c>
      <c r="C1299" s="319" t="s">
        <v>969</v>
      </c>
      <c r="D1299" s="321" t="s">
        <v>596</v>
      </c>
      <c r="E1299" s="321" t="s">
        <v>597</v>
      </c>
      <c r="F1299" s="319" t="s">
        <v>895</v>
      </c>
      <c r="H1299" s="319" t="s">
        <v>579</v>
      </c>
      <c r="I1299" s="319" t="s">
        <v>640</v>
      </c>
      <c r="J1299" s="319" t="s">
        <v>595</v>
      </c>
      <c r="K1299" s="321" t="s">
        <v>596</v>
      </c>
      <c r="L1299" s="321" t="s">
        <v>597</v>
      </c>
      <c r="M1299" s="319" t="s">
        <v>598</v>
      </c>
    </row>
    <row r="1300" spans="1:13" ht="15">
      <c r="A1300" s="318" t="s">
        <v>587</v>
      </c>
      <c r="B1300" s="321" t="s">
        <v>970</v>
      </c>
      <c r="C1300" s="321" t="s">
        <v>971</v>
      </c>
      <c r="D1300" s="321" t="s">
        <v>972</v>
      </c>
      <c r="E1300" s="321" t="s">
        <v>973</v>
      </c>
      <c r="F1300" s="322" t="s">
        <v>776</v>
      </c>
      <c r="H1300" s="319" t="s">
        <v>587</v>
      </c>
      <c r="I1300" s="321" t="s">
        <v>904</v>
      </c>
      <c r="J1300" s="321" t="s">
        <v>905</v>
      </c>
      <c r="K1300" s="321" t="s">
        <v>906</v>
      </c>
      <c r="L1300" s="321" t="s">
        <v>657</v>
      </c>
      <c r="M1300" s="322" t="s">
        <v>776</v>
      </c>
    </row>
    <row r="1301" spans="1:13" ht="15">
      <c r="A1301" s="318" t="s">
        <v>594</v>
      </c>
      <c r="B1301" s="319" t="s">
        <v>974</v>
      </c>
      <c r="C1301" s="321" t="s">
        <v>975</v>
      </c>
      <c r="D1301" s="321" t="s">
        <v>976</v>
      </c>
      <c r="E1301" s="321" t="s">
        <v>977</v>
      </c>
      <c r="F1301" s="319" t="s">
        <v>978</v>
      </c>
      <c r="H1301" s="319" t="s">
        <v>594</v>
      </c>
      <c r="I1301" s="319" t="s">
        <v>652</v>
      </c>
      <c r="J1301" s="321" t="s">
        <v>798</v>
      </c>
      <c r="K1301" s="321" t="s">
        <v>690</v>
      </c>
      <c r="L1301" s="321" t="s">
        <v>909</v>
      </c>
      <c r="M1301" s="319"/>
    </row>
    <row r="1302" spans="1:13" ht="15">
      <c r="A1302" s="318" t="s">
        <v>601</v>
      </c>
      <c r="B1302" s="321" t="s">
        <v>979</v>
      </c>
      <c r="C1302" s="321" t="s">
        <v>980</v>
      </c>
      <c r="D1302" s="321" t="s">
        <v>637</v>
      </c>
      <c r="E1302" s="321" t="s">
        <v>638</v>
      </c>
      <c r="F1302" s="322" t="s">
        <v>653</v>
      </c>
      <c r="H1302" s="319" t="s">
        <v>601</v>
      </c>
      <c r="I1302" s="321" t="s">
        <v>794</v>
      </c>
      <c r="J1302" s="321" t="s">
        <v>912</v>
      </c>
      <c r="K1302" s="321" t="s">
        <v>662</v>
      </c>
      <c r="L1302" s="321" t="s">
        <v>913</v>
      </c>
      <c r="M1302" s="322"/>
    </row>
    <row r="1303" spans="1:13" ht="15">
      <c r="A1303" s="318" t="s">
        <v>608</v>
      </c>
      <c r="B1303" s="321" t="s">
        <v>981</v>
      </c>
      <c r="C1303" s="321" t="s">
        <v>982</v>
      </c>
      <c r="D1303" s="321" t="s">
        <v>698</v>
      </c>
      <c r="E1303" s="321">
        <v>46141</v>
      </c>
      <c r="F1303" s="322" t="s">
        <v>914</v>
      </c>
      <c r="H1303" s="319" t="s">
        <v>608</v>
      </c>
      <c r="I1303" s="321" t="s">
        <v>915</v>
      </c>
      <c r="J1303" s="321" t="s">
        <v>916</v>
      </c>
      <c r="K1303" s="321" t="s">
        <v>917</v>
      </c>
      <c r="L1303" s="321">
        <v>46142</v>
      </c>
      <c r="M1303" s="322"/>
    </row>
    <row r="1304" spans="1:13" ht="15">
      <c r="A1304" s="318" t="s">
        <v>615</v>
      </c>
      <c r="B1304" s="321" t="s">
        <v>982</v>
      </c>
      <c r="C1304" s="321" t="s">
        <v>684</v>
      </c>
      <c r="D1304" s="321" t="s">
        <v>983</v>
      </c>
      <c r="E1304" s="321">
        <v>46107</v>
      </c>
      <c r="F1304" s="322" t="s">
        <v>984</v>
      </c>
      <c r="H1304" s="319" t="s">
        <v>615</v>
      </c>
      <c r="I1304" s="321" t="s">
        <v>801</v>
      </c>
      <c r="J1304" s="321" t="s">
        <v>918</v>
      </c>
      <c r="K1304" s="321" t="s">
        <v>802</v>
      </c>
      <c r="L1304" s="321">
        <v>46108</v>
      </c>
      <c r="M1304" s="322"/>
    </row>
    <row r="1305" spans="1:13" ht="15">
      <c r="A1305" s="318" t="s">
        <v>622</v>
      </c>
      <c r="B1305" s="321" t="s">
        <v>985</v>
      </c>
      <c r="C1305" s="321" t="s">
        <v>986</v>
      </c>
      <c r="D1305" s="321" t="s">
        <v>987</v>
      </c>
      <c r="E1305" s="321">
        <v>46257</v>
      </c>
      <c r="F1305" s="322" t="s">
        <v>984</v>
      </c>
      <c r="H1305" s="319" t="s">
        <v>622</v>
      </c>
      <c r="I1305" s="321" t="s">
        <v>817</v>
      </c>
      <c r="J1305" s="321" t="s">
        <v>775</v>
      </c>
      <c r="K1305" s="321" t="s">
        <v>825</v>
      </c>
      <c r="L1305" s="321">
        <v>46197</v>
      </c>
      <c r="M1305" s="322"/>
    </row>
    <row r="1306" spans="1:13" ht="15">
      <c r="A1306" s="318" t="s">
        <v>627</v>
      </c>
      <c r="B1306" s="321" t="s">
        <v>988</v>
      </c>
      <c r="C1306" s="321" t="s">
        <v>989</v>
      </c>
      <c r="D1306" s="321" t="s">
        <v>651</v>
      </c>
      <c r="E1306" s="321">
        <v>46224</v>
      </c>
      <c r="F1306" s="322" t="s">
        <v>984</v>
      </c>
      <c r="H1306" s="319" t="s">
        <v>627</v>
      </c>
      <c r="I1306" s="321" t="s">
        <v>821</v>
      </c>
      <c r="J1306" s="321" t="s">
        <v>920</v>
      </c>
      <c r="K1306" s="321" t="s">
        <v>638</v>
      </c>
      <c r="L1306" s="321">
        <v>46103</v>
      </c>
      <c r="M1306" s="322"/>
    </row>
    <row r="1307" spans="1:13" ht="15">
      <c r="A1307" s="318" t="s">
        <v>634</v>
      </c>
      <c r="B1307" s="319" t="s">
        <v>644</v>
      </c>
      <c r="C1307" s="319" t="s">
        <v>681</v>
      </c>
      <c r="D1307" s="321">
        <v>46201</v>
      </c>
      <c r="E1307" s="319">
        <v>46041</v>
      </c>
      <c r="F1307" s="319" t="s">
        <v>922</v>
      </c>
      <c r="H1307" s="319" t="s">
        <v>634</v>
      </c>
      <c r="I1307" s="319" t="s">
        <v>813</v>
      </c>
      <c r="J1307" s="319" t="s">
        <v>909</v>
      </c>
      <c r="K1307" s="321" t="s">
        <v>692</v>
      </c>
      <c r="L1307" s="319" t="s">
        <v>815</v>
      </c>
      <c r="M1307" s="319" t="s">
        <v>812</v>
      </c>
    </row>
    <row r="1308" spans="1:13" ht="15">
      <c r="A1308" s="318" t="s">
        <v>641</v>
      </c>
      <c r="B1308" s="321" t="s">
        <v>990</v>
      </c>
      <c r="C1308" s="321" t="s">
        <v>991</v>
      </c>
      <c r="D1308" s="321" t="s">
        <v>838</v>
      </c>
      <c r="E1308" s="321">
        <v>46129</v>
      </c>
      <c r="F1308" s="322" t="s">
        <v>812</v>
      </c>
      <c r="H1308" s="319" t="s">
        <v>641</v>
      </c>
      <c r="I1308" s="321" t="s">
        <v>810</v>
      </c>
      <c r="J1308" s="321" t="s">
        <v>825</v>
      </c>
      <c r="K1308" s="321">
        <v>46230</v>
      </c>
      <c r="L1308" s="321">
        <v>46160</v>
      </c>
      <c r="M1308" s="322"/>
    </row>
    <row r="1309" spans="1:13" ht="15">
      <c r="A1309" s="318" t="s">
        <v>647</v>
      </c>
      <c r="B1309" s="321" t="s">
        <v>992</v>
      </c>
      <c r="C1309" s="321" t="s">
        <v>800</v>
      </c>
      <c r="D1309" s="321">
        <v>46046</v>
      </c>
      <c r="E1309" s="321" t="s">
        <v>993</v>
      </c>
      <c r="F1309" s="322" t="s">
        <v>812</v>
      </c>
      <c r="H1309" s="319" t="s">
        <v>647</v>
      </c>
      <c r="I1309" s="321" t="s">
        <v>691</v>
      </c>
      <c r="J1309" s="321" t="s">
        <v>924</v>
      </c>
      <c r="K1309" s="321" t="s">
        <v>838</v>
      </c>
      <c r="L1309" s="321">
        <v>46098</v>
      </c>
      <c r="M1309" s="322"/>
    </row>
    <row r="1310" spans="1:13" ht="15">
      <c r="A1310" s="318" t="s">
        <v>654</v>
      </c>
      <c r="B1310" s="321" t="s">
        <v>921</v>
      </c>
      <c r="C1310" s="321" t="s">
        <v>994</v>
      </c>
      <c r="D1310" s="321">
        <v>46164</v>
      </c>
      <c r="E1310" s="321" t="s">
        <v>931</v>
      </c>
      <c r="F1310" s="322" t="s">
        <v>842</v>
      </c>
      <c r="H1310" s="319" t="s">
        <v>654</v>
      </c>
      <c r="I1310" s="321" t="s">
        <v>841</v>
      </c>
      <c r="J1310" s="321" t="s">
        <v>836</v>
      </c>
      <c r="K1310" s="321">
        <v>46077</v>
      </c>
      <c r="L1310" s="321">
        <v>46069</v>
      </c>
      <c r="M1310" s="322"/>
    </row>
    <row r="1311" spans="1:13" ht="15">
      <c r="A1311" s="318" t="s">
        <v>665</v>
      </c>
      <c r="B1311" s="321" t="s">
        <v>995</v>
      </c>
      <c r="C1311" s="321" t="s">
        <v>996</v>
      </c>
      <c r="D1311" s="321">
        <v>46224</v>
      </c>
      <c r="E1311" s="321">
        <v>46156</v>
      </c>
      <c r="F1311" s="322" t="s">
        <v>842</v>
      </c>
      <c r="H1311" s="319" t="s">
        <v>665</v>
      </c>
      <c r="I1311" s="321" t="s">
        <v>909</v>
      </c>
      <c r="J1311" s="321">
        <v>46264</v>
      </c>
      <c r="K1311" s="321">
        <v>46045</v>
      </c>
      <c r="L1311" s="321">
        <v>46127</v>
      </c>
      <c r="M1311" s="322"/>
    </row>
    <row r="1312" spans="1:13" ht="15">
      <c r="A1312" s="318" t="s">
        <v>672</v>
      </c>
      <c r="B1312" s="319" t="s">
        <v>997</v>
      </c>
      <c r="C1312" s="319">
        <v>46173</v>
      </c>
      <c r="D1312" s="321">
        <v>46074</v>
      </c>
      <c r="E1312" s="319">
        <v>46067</v>
      </c>
      <c r="F1312" s="319" t="s">
        <v>923</v>
      </c>
      <c r="H1312" s="319" t="s">
        <v>672</v>
      </c>
      <c r="I1312" s="319" t="s">
        <v>826</v>
      </c>
      <c r="J1312" s="319" t="s">
        <v>928</v>
      </c>
      <c r="K1312" s="321">
        <v>46286</v>
      </c>
      <c r="L1312" s="319">
        <v>46187</v>
      </c>
      <c r="M1312" s="319" t="s">
        <v>923</v>
      </c>
    </row>
    <row r="1313" spans="1:20" ht="15">
      <c r="A1313" s="318" t="s">
        <v>682</v>
      </c>
      <c r="B1313" s="321" t="s">
        <v>998</v>
      </c>
      <c r="C1313" s="321" t="s">
        <v>928</v>
      </c>
      <c r="D1313" s="321">
        <v>46222</v>
      </c>
      <c r="E1313" s="329">
        <v>46035</v>
      </c>
      <c r="F1313" s="322" t="s">
        <v>842</v>
      </c>
      <c r="H1313" s="319" t="s">
        <v>682</v>
      </c>
      <c r="I1313" s="321" t="s">
        <v>830</v>
      </c>
      <c r="J1313" s="321">
        <v>46230</v>
      </c>
      <c r="K1313" s="321">
        <v>46254</v>
      </c>
      <c r="L1313" s="329">
        <v>46247</v>
      </c>
      <c r="M1313" s="322"/>
    </row>
    <row r="1314" spans="1:20" ht="15">
      <c r="A1314" s="318" t="s">
        <v>688</v>
      </c>
      <c r="B1314" s="321">
        <v>46265</v>
      </c>
      <c r="C1314" s="321">
        <v>46080</v>
      </c>
      <c r="D1314" s="321">
        <v>46130</v>
      </c>
      <c r="E1314" s="321">
        <v>46093</v>
      </c>
      <c r="F1314" s="322" t="s">
        <v>842</v>
      </c>
      <c r="H1314" s="319" t="s">
        <v>688</v>
      </c>
      <c r="I1314" s="321" t="s">
        <v>833</v>
      </c>
      <c r="J1314" s="321">
        <v>46079</v>
      </c>
      <c r="K1314" s="321">
        <v>46192</v>
      </c>
      <c r="L1314" s="321">
        <v>46035</v>
      </c>
      <c r="M1314" s="322"/>
    </row>
    <row r="1315" spans="1:20" ht="15">
      <c r="A1315" s="318" t="s">
        <v>695</v>
      </c>
      <c r="B1315" s="321">
        <v>46232</v>
      </c>
      <c r="C1315" s="321">
        <v>46167</v>
      </c>
      <c r="D1315" s="321">
        <v>46070</v>
      </c>
      <c r="E1315" s="329">
        <v>46123</v>
      </c>
      <c r="F1315" s="322" t="s">
        <v>842</v>
      </c>
      <c r="H1315" s="319" t="s">
        <v>695</v>
      </c>
      <c r="I1315" s="321" t="s">
        <v>827</v>
      </c>
      <c r="J1315" s="321">
        <v>46197</v>
      </c>
      <c r="K1315" s="321">
        <v>46160</v>
      </c>
      <c r="L1315" s="329">
        <v>46093</v>
      </c>
      <c r="M1315" s="322"/>
    </row>
    <row r="1316" spans="1:20" ht="15">
      <c r="A1316" s="318" t="s">
        <v>701</v>
      </c>
      <c r="B1316" s="321">
        <v>46201</v>
      </c>
      <c r="C1316" s="321">
        <v>46166</v>
      </c>
      <c r="D1316" s="321">
        <v>46158</v>
      </c>
      <c r="E1316" s="329" t="s">
        <v>999</v>
      </c>
      <c r="F1316" s="322" t="s">
        <v>842</v>
      </c>
      <c r="H1316" s="319" t="s">
        <v>701</v>
      </c>
      <c r="I1316" s="321" t="s">
        <v>692</v>
      </c>
      <c r="J1316" s="321">
        <v>46045</v>
      </c>
      <c r="K1316" s="321">
        <v>46098</v>
      </c>
      <c r="L1316" s="329">
        <v>46153</v>
      </c>
      <c r="M1316" s="322"/>
    </row>
    <row r="1317" spans="1:20" ht="15">
      <c r="A1317" s="330" t="s">
        <v>678</v>
      </c>
      <c r="B1317" s="331">
        <v>46169</v>
      </c>
      <c r="C1317" s="331">
        <v>46196</v>
      </c>
      <c r="D1317" s="332">
        <v>46280</v>
      </c>
      <c r="E1317" s="333">
        <v>46183</v>
      </c>
      <c r="F1317" s="331" t="s">
        <v>1000</v>
      </c>
      <c r="H1317" s="331" t="s">
        <v>678</v>
      </c>
      <c r="I1317" s="331" t="s">
        <v>834</v>
      </c>
      <c r="J1317" s="331">
        <v>46103</v>
      </c>
      <c r="K1317" s="332">
        <v>46219</v>
      </c>
      <c r="L1317" s="333">
        <v>46064</v>
      </c>
      <c r="M1317" s="331" t="s">
        <v>842</v>
      </c>
    </row>
    <row r="1318" spans="1:20" ht="12.75">
      <c r="A1318" s="5"/>
    </row>
    <row r="1319" spans="1:20" ht="16.5">
      <c r="A1319" s="101" t="s">
        <v>1001</v>
      </c>
      <c r="C1319" s="13" t="s">
        <v>1002</v>
      </c>
    </row>
    <row r="1320" spans="1:20" ht="12.75">
      <c r="A1320" s="5"/>
      <c r="C1320" s="13" t="s">
        <v>1003</v>
      </c>
    </row>
    <row r="1321" spans="1:20" ht="12.75">
      <c r="A1321" s="334" t="s">
        <v>706</v>
      </c>
      <c r="H1321" s="335" t="s">
        <v>706</v>
      </c>
      <c r="O1321" s="335" t="s">
        <v>706</v>
      </c>
    </row>
    <row r="1322" spans="1:20">
      <c r="A1322" s="320" t="s">
        <v>1004</v>
      </c>
      <c r="H1322" s="320" t="s">
        <v>1005</v>
      </c>
      <c r="O1322" s="320" t="s">
        <v>1006</v>
      </c>
    </row>
    <row r="1323" spans="1:20" ht="15">
      <c r="A1323" s="337" t="s">
        <v>1007</v>
      </c>
      <c r="H1323" s="337" t="s">
        <v>1008</v>
      </c>
      <c r="O1323" s="337" t="s">
        <v>1009</v>
      </c>
    </row>
    <row r="1324" spans="1:20" ht="45">
      <c r="A1324" s="338" t="s">
        <v>512</v>
      </c>
      <c r="B1324" s="323" t="s">
        <v>513</v>
      </c>
      <c r="C1324" s="323" t="s">
        <v>614</v>
      </c>
      <c r="D1324" s="323" t="s">
        <v>515</v>
      </c>
      <c r="E1324" s="323" t="s">
        <v>516</v>
      </c>
      <c r="F1324" s="323" t="s">
        <v>852</v>
      </c>
      <c r="H1324" s="323" t="s">
        <v>512</v>
      </c>
      <c r="I1324" s="323" t="s">
        <v>513</v>
      </c>
      <c r="J1324" s="323" t="s">
        <v>614</v>
      </c>
      <c r="K1324" s="323" t="s">
        <v>515</v>
      </c>
      <c r="L1324" s="323" t="s">
        <v>516</v>
      </c>
      <c r="M1324" s="323" t="s">
        <v>852</v>
      </c>
      <c r="O1324" s="323" t="s">
        <v>512</v>
      </c>
      <c r="P1324" s="323" t="s">
        <v>513</v>
      </c>
      <c r="Q1324" s="323" t="s">
        <v>614</v>
      </c>
      <c r="R1324" s="323" t="s">
        <v>515</v>
      </c>
      <c r="S1324" s="323" t="s">
        <v>516</v>
      </c>
      <c r="T1324" s="323" t="s">
        <v>1010</v>
      </c>
    </row>
    <row r="1325" spans="1:20" ht="42.75">
      <c r="A1325" s="339" t="s">
        <v>520</v>
      </c>
      <c r="B1325" s="325" t="s">
        <v>521</v>
      </c>
      <c r="C1325" s="325" t="s">
        <v>522</v>
      </c>
      <c r="D1325" s="325" t="s">
        <v>523</v>
      </c>
      <c r="E1325" s="325" t="s">
        <v>524</v>
      </c>
      <c r="F1325" s="325" t="s">
        <v>714</v>
      </c>
      <c r="H1325" s="324" t="s">
        <v>520</v>
      </c>
      <c r="I1325" s="325" t="s">
        <v>940</v>
      </c>
      <c r="J1325" s="325" t="s">
        <v>941</v>
      </c>
      <c r="K1325" s="325" t="s">
        <v>580</v>
      </c>
      <c r="L1325" s="325" t="s">
        <v>532</v>
      </c>
      <c r="M1325" s="325" t="s">
        <v>853</v>
      </c>
      <c r="O1325" s="324" t="s">
        <v>520</v>
      </c>
      <c r="P1325" s="325" t="s">
        <v>940</v>
      </c>
      <c r="Q1325" s="325" t="s">
        <v>941</v>
      </c>
      <c r="R1325" s="325" t="s">
        <v>580</v>
      </c>
      <c r="S1325" s="325" t="s">
        <v>904</v>
      </c>
      <c r="T1325" s="325" t="s">
        <v>1011</v>
      </c>
    </row>
    <row r="1326" spans="1:20" ht="42.75">
      <c r="A1326" s="339" t="s">
        <v>528</v>
      </c>
      <c r="B1326" s="325" t="s">
        <v>529</v>
      </c>
      <c r="C1326" s="325" t="s">
        <v>530</v>
      </c>
      <c r="D1326" s="325" t="s">
        <v>531</v>
      </c>
      <c r="E1326" s="325" t="s">
        <v>1012</v>
      </c>
      <c r="F1326" s="325" t="s">
        <v>766</v>
      </c>
      <c r="H1326" s="324" t="s">
        <v>528</v>
      </c>
      <c r="I1326" s="325" t="s">
        <v>1013</v>
      </c>
      <c r="J1326" s="325" t="s">
        <v>1014</v>
      </c>
      <c r="K1326" s="325" t="s">
        <v>1015</v>
      </c>
      <c r="L1326" s="325" t="s">
        <v>1016</v>
      </c>
      <c r="M1326" s="325" t="s">
        <v>766</v>
      </c>
      <c r="O1326" s="324" t="s">
        <v>528</v>
      </c>
      <c r="P1326" s="325" t="s">
        <v>1017</v>
      </c>
      <c r="Q1326" s="325" t="s">
        <v>867</v>
      </c>
      <c r="R1326" s="325" t="s">
        <v>1018</v>
      </c>
      <c r="S1326" s="325" t="s">
        <v>595</v>
      </c>
      <c r="T1326" s="325" t="s">
        <v>1019</v>
      </c>
    </row>
    <row r="1327" spans="1:20" ht="60">
      <c r="A1327" s="339" t="s">
        <v>536</v>
      </c>
      <c r="B1327" s="325" t="s">
        <v>537</v>
      </c>
      <c r="C1327" s="325" t="s">
        <v>538</v>
      </c>
      <c r="D1327" s="325" t="s">
        <v>539</v>
      </c>
      <c r="E1327" s="325" t="s">
        <v>532</v>
      </c>
      <c r="F1327" s="325" t="s">
        <v>766</v>
      </c>
      <c r="H1327" s="324" t="s">
        <v>536</v>
      </c>
      <c r="I1327" s="325" t="s">
        <v>1020</v>
      </c>
      <c r="J1327" s="325" t="s">
        <v>1021</v>
      </c>
      <c r="K1327" s="325" t="s">
        <v>1022</v>
      </c>
      <c r="L1327" s="325" t="s">
        <v>1023</v>
      </c>
      <c r="M1327" s="324" t="s">
        <v>1024</v>
      </c>
      <c r="O1327" s="324" t="s">
        <v>536</v>
      </c>
      <c r="P1327" s="325" t="s">
        <v>1025</v>
      </c>
      <c r="Q1327" s="325" t="s">
        <v>1026</v>
      </c>
      <c r="R1327" s="325" t="s">
        <v>1027</v>
      </c>
      <c r="S1327" s="325" t="s">
        <v>768</v>
      </c>
      <c r="T1327" s="324" t="s">
        <v>1028</v>
      </c>
    </row>
    <row r="1328" spans="1:20" ht="45">
      <c r="A1328" s="339" t="s">
        <v>542</v>
      </c>
      <c r="B1328" s="325" t="s">
        <v>1029</v>
      </c>
      <c r="C1328" s="325" t="s">
        <v>1030</v>
      </c>
      <c r="D1328" s="325" t="s">
        <v>1031</v>
      </c>
      <c r="E1328" s="325" t="s">
        <v>1032</v>
      </c>
      <c r="F1328" s="324" t="s">
        <v>1033</v>
      </c>
      <c r="H1328" s="324" t="s">
        <v>542</v>
      </c>
      <c r="I1328" s="325" t="s">
        <v>565</v>
      </c>
      <c r="J1328" s="325" t="s">
        <v>1034</v>
      </c>
      <c r="K1328" s="325" t="s">
        <v>1035</v>
      </c>
      <c r="L1328" s="325" t="s">
        <v>1036</v>
      </c>
      <c r="M1328" s="325" t="s">
        <v>961</v>
      </c>
      <c r="O1328" s="324" t="s">
        <v>542</v>
      </c>
      <c r="P1328" s="325" t="s">
        <v>1037</v>
      </c>
      <c r="Q1328" s="325" t="s">
        <v>1038</v>
      </c>
      <c r="R1328" s="325" t="s">
        <v>1039</v>
      </c>
      <c r="S1328" s="325" t="s">
        <v>1040</v>
      </c>
      <c r="T1328" s="325" t="s">
        <v>1041</v>
      </c>
    </row>
    <row r="1329" spans="1:20" ht="28.5">
      <c r="A1329" s="339" t="s">
        <v>549</v>
      </c>
      <c r="B1329" s="325" t="s">
        <v>941</v>
      </c>
      <c r="C1329" s="325" t="s">
        <v>1042</v>
      </c>
      <c r="D1329" s="325" t="s">
        <v>581</v>
      </c>
      <c r="E1329" s="325" t="s">
        <v>1043</v>
      </c>
      <c r="F1329" s="325" t="s">
        <v>878</v>
      </c>
      <c r="H1329" s="324" t="s">
        <v>549</v>
      </c>
      <c r="I1329" s="325" t="s">
        <v>1044</v>
      </c>
      <c r="J1329" s="325" t="s">
        <v>1045</v>
      </c>
      <c r="K1329" s="325" t="s">
        <v>1046</v>
      </c>
      <c r="L1329" s="325" t="s">
        <v>1047</v>
      </c>
      <c r="M1329" s="325" t="s">
        <v>878</v>
      </c>
      <c r="O1329" s="324" t="s">
        <v>549</v>
      </c>
      <c r="P1329" s="325" t="s">
        <v>1048</v>
      </c>
      <c r="Q1329" s="325" t="s">
        <v>1049</v>
      </c>
      <c r="R1329" s="325" t="s">
        <v>1050</v>
      </c>
      <c r="S1329" s="325" t="s">
        <v>1051</v>
      </c>
      <c r="T1329" s="325" t="s">
        <v>1052</v>
      </c>
    </row>
    <row r="1330" spans="1:20" ht="45">
      <c r="A1330" s="339" t="s">
        <v>557</v>
      </c>
      <c r="B1330" s="325" t="s">
        <v>747</v>
      </c>
      <c r="C1330" s="325" t="s">
        <v>1053</v>
      </c>
      <c r="D1330" s="325" t="s">
        <v>749</v>
      </c>
      <c r="E1330" s="325" t="s">
        <v>750</v>
      </c>
      <c r="F1330" s="325" t="s">
        <v>961</v>
      </c>
      <c r="H1330" s="324" t="s">
        <v>557</v>
      </c>
      <c r="I1330" s="325" t="s">
        <v>632</v>
      </c>
      <c r="J1330" s="324" t="s">
        <v>640</v>
      </c>
      <c r="K1330" s="325" t="s">
        <v>773</v>
      </c>
      <c r="L1330" s="325" t="s">
        <v>809</v>
      </c>
      <c r="M1330" s="324" t="s">
        <v>881</v>
      </c>
      <c r="O1330" s="324" t="s">
        <v>557</v>
      </c>
      <c r="P1330" s="325" t="s">
        <v>1054</v>
      </c>
      <c r="Q1330" s="324" t="s">
        <v>640</v>
      </c>
      <c r="R1330" s="325" t="s">
        <v>1055</v>
      </c>
      <c r="S1330" s="325" t="s">
        <v>1056</v>
      </c>
      <c r="T1330" s="324" t="s">
        <v>1057</v>
      </c>
    </row>
    <row r="1331" spans="1:20" ht="45">
      <c r="A1331" s="339" t="s">
        <v>564</v>
      </c>
      <c r="B1331" s="324" t="s">
        <v>1058</v>
      </c>
      <c r="C1331" s="325" t="s">
        <v>1059</v>
      </c>
      <c r="D1331" s="325" t="s">
        <v>861</v>
      </c>
      <c r="E1331" s="325" t="s">
        <v>1060</v>
      </c>
      <c r="F1331" s="324" t="s">
        <v>966</v>
      </c>
      <c r="H1331" s="324" t="s">
        <v>564</v>
      </c>
      <c r="I1331" s="324" t="s">
        <v>767</v>
      </c>
      <c r="J1331" s="325" t="s">
        <v>1061</v>
      </c>
      <c r="K1331" s="325" t="s">
        <v>768</v>
      </c>
      <c r="L1331" s="325" t="s">
        <v>629</v>
      </c>
      <c r="M1331" s="324" t="s">
        <v>966</v>
      </c>
      <c r="O1331" s="324" t="s">
        <v>564</v>
      </c>
      <c r="P1331" s="324" t="s">
        <v>743</v>
      </c>
      <c r="Q1331" s="325" t="s">
        <v>1062</v>
      </c>
      <c r="R1331" s="325" t="s">
        <v>734</v>
      </c>
      <c r="S1331" s="325" t="s">
        <v>880</v>
      </c>
      <c r="T1331" s="324" t="s">
        <v>1063</v>
      </c>
    </row>
    <row r="1332" spans="1:20" ht="60">
      <c r="A1332" s="339" t="s">
        <v>572</v>
      </c>
      <c r="B1332" s="325" t="s">
        <v>580</v>
      </c>
      <c r="C1332" s="324" t="s">
        <v>640</v>
      </c>
      <c r="D1332" s="325" t="s">
        <v>582</v>
      </c>
      <c r="E1332" s="325" t="s">
        <v>583</v>
      </c>
      <c r="F1332" s="324" t="s">
        <v>881</v>
      </c>
      <c r="H1332" s="324" t="s">
        <v>572</v>
      </c>
      <c r="I1332" s="324" t="s">
        <v>640</v>
      </c>
      <c r="J1332" s="325" t="s">
        <v>595</v>
      </c>
      <c r="K1332" s="325" t="s">
        <v>596</v>
      </c>
      <c r="L1332" s="325" t="s">
        <v>597</v>
      </c>
      <c r="M1332" s="324" t="s">
        <v>895</v>
      </c>
      <c r="O1332" s="324" t="s">
        <v>572</v>
      </c>
      <c r="P1332" s="324" t="s">
        <v>1064</v>
      </c>
      <c r="Q1332" s="325" t="s">
        <v>1065</v>
      </c>
      <c r="R1332" s="325" t="s">
        <v>1066</v>
      </c>
      <c r="S1332" s="325" t="s">
        <v>1067</v>
      </c>
      <c r="T1332" s="324" t="s">
        <v>1068</v>
      </c>
    </row>
    <row r="1333" spans="1:20" ht="42.75">
      <c r="A1333" s="339" t="s">
        <v>579</v>
      </c>
      <c r="B1333" s="324" t="s">
        <v>640</v>
      </c>
      <c r="C1333" s="325" t="s">
        <v>595</v>
      </c>
      <c r="D1333" s="325" t="s">
        <v>596</v>
      </c>
      <c r="E1333" s="325" t="s">
        <v>597</v>
      </c>
      <c r="F1333" s="324" t="s">
        <v>895</v>
      </c>
      <c r="H1333" s="324" t="s">
        <v>579</v>
      </c>
      <c r="I1333" s="325" t="s">
        <v>646</v>
      </c>
      <c r="J1333" s="325" t="s">
        <v>1040</v>
      </c>
      <c r="K1333" s="325" t="s">
        <v>1069</v>
      </c>
      <c r="L1333" s="325" t="s">
        <v>612</v>
      </c>
      <c r="M1333" s="325" t="s">
        <v>776</v>
      </c>
      <c r="O1333" s="324" t="s">
        <v>579</v>
      </c>
      <c r="P1333" s="325" t="s">
        <v>567</v>
      </c>
      <c r="Q1333" s="325" t="s">
        <v>1023</v>
      </c>
      <c r="R1333" s="325" t="s">
        <v>1070</v>
      </c>
      <c r="S1333" s="325" t="s">
        <v>1071</v>
      </c>
      <c r="T1333" s="325" t="s">
        <v>1072</v>
      </c>
    </row>
    <row r="1334" spans="1:20" ht="42.75">
      <c r="A1334" s="339" t="s">
        <v>587</v>
      </c>
      <c r="B1334" s="325" t="s">
        <v>532</v>
      </c>
      <c r="C1334" s="325" t="s">
        <v>1073</v>
      </c>
      <c r="D1334" s="325" t="s">
        <v>897</v>
      </c>
      <c r="E1334" s="325" t="s">
        <v>910</v>
      </c>
      <c r="F1334" s="325" t="s">
        <v>776</v>
      </c>
      <c r="H1334" s="324" t="s">
        <v>587</v>
      </c>
      <c r="I1334" s="325" t="s">
        <v>786</v>
      </c>
      <c r="J1334" s="325" t="s">
        <v>1047</v>
      </c>
      <c r="K1334" s="325" t="s">
        <v>686</v>
      </c>
      <c r="L1334" s="325" t="s">
        <v>1074</v>
      </c>
      <c r="M1334" s="325" t="s">
        <v>1075</v>
      </c>
      <c r="O1334" s="324" t="s">
        <v>587</v>
      </c>
      <c r="P1334" s="325" t="s">
        <v>793</v>
      </c>
      <c r="Q1334" s="325" t="s">
        <v>1076</v>
      </c>
      <c r="R1334" s="325" t="s">
        <v>795</v>
      </c>
      <c r="S1334" s="325" t="s">
        <v>796</v>
      </c>
      <c r="T1334" s="325" t="s">
        <v>1077</v>
      </c>
    </row>
    <row r="1335" spans="1:20" ht="28.5">
      <c r="A1335" s="339" t="s">
        <v>594</v>
      </c>
      <c r="B1335" s="325" t="s">
        <v>1078</v>
      </c>
      <c r="C1335" s="325" t="s">
        <v>965</v>
      </c>
      <c r="D1335" s="325" t="s">
        <v>697</v>
      </c>
      <c r="E1335" s="325" t="s">
        <v>822</v>
      </c>
      <c r="F1335" s="325" t="s">
        <v>978</v>
      </c>
      <c r="H1335" s="324" t="s">
        <v>594</v>
      </c>
      <c r="I1335" s="325" t="s">
        <v>1079</v>
      </c>
      <c r="J1335" s="325" t="s">
        <v>1080</v>
      </c>
      <c r="K1335" s="325" t="s">
        <v>1081</v>
      </c>
      <c r="L1335" s="340">
        <v>46173</v>
      </c>
      <c r="M1335" s="325" t="s">
        <v>978</v>
      </c>
      <c r="O1335" s="324" t="s">
        <v>594</v>
      </c>
      <c r="P1335" s="325" t="s">
        <v>635</v>
      </c>
      <c r="Q1335" s="325" t="s">
        <v>670</v>
      </c>
      <c r="R1335" s="325" t="s">
        <v>671</v>
      </c>
      <c r="S1335" s="340" t="s">
        <v>638</v>
      </c>
      <c r="T1335" s="325" t="s">
        <v>1082</v>
      </c>
    </row>
    <row r="1336" spans="1:20" ht="42.75">
      <c r="A1336" s="339" t="s">
        <v>601</v>
      </c>
      <c r="B1336" s="325" t="s">
        <v>794</v>
      </c>
      <c r="C1336" s="325" t="s">
        <v>912</v>
      </c>
      <c r="D1336" s="325" t="s">
        <v>662</v>
      </c>
      <c r="E1336" s="325" t="s">
        <v>913</v>
      </c>
      <c r="F1336" s="325" t="s">
        <v>653</v>
      </c>
      <c r="H1336" s="324" t="s">
        <v>601</v>
      </c>
      <c r="I1336" s="325" t="s">
        <v>801</v>
      </c>
      <c r="J1336" s="325" t="s">
        <v>918</v>
      </c>
      <c r="K1336" s="325" t="s">
        <v>802</v>
      </c>
      <c r="L1336" s="340">
        <v>46108</v>
      </c>
      <c r="M1336" s="325" t="s">
        <v>653</v>
      </c>
      <c r="O1336" s="324" t="s">
        <v>601</v>
      </c>
      <c r="P1336" s="325" t="s">
        <v>583</v>
      </c>
      <c r="Q1336" s="325" t="s">
        <v>597</v>
      </c>
      <c r="R1336" s="325" t="s">
        <v>702</v>
      </c>
      <c r="S1336" s="340">
        <v>46262</v>
      </c>
      <c r="T1336" s="325" t="s">
        <v>1083</v>
      </c>
    </row>
    <row r="1337" spans="1:20" ht="28.5">
      <c r="A1337" s="339" t="s">
        <v>608</v>
      </c>
      <c r="B1337" s="325" t="s">
        <v>689</v>
      </c>
      <c r="C1337" s="325" t="s">
        <v>690</v>
      </c>
      <c r="D1337" s="325" t="s">
        <v>691</v>
      </c>
      <c r="E1337" s="325" t="s">
        <v>692</v>
      </c>
      <c r="F1337" s="325" t="s">
        <v>914</v>
      </c>
      <c r="H1337" s="324" t="s">
        <v>608</v>
      </c>
      <c r="I1337" s="325" t="s">
        <v>831</v>
      </c>
      <c r="J1337" s="325" t="s">
        <v>973</v>
      </c>
      <c r="K1337" s="325" t="s">
        <v>791</v>
      </c>
      <c r="L1337" s="340">
        <v>46257</v>
      </c>
      <c r="M1337" s="325" t="s">
        <v>914</v>
      </c>
      <c r="O1337" s="324" t="s">
        <v>608</v>
      </c>
      <c r="P1337" s="325" t="s">
        <v>1084</v>
      </c>
      <c r="Q1337" s="325" t="s">
        <v>989</v>
      </c>
      <c r="R1337" s="325" t="s">
        <v>1085</v>
      </c>
      <c r="S1337" s="340">
        <v>46078</v>
      </c>
      <c r="T1337" s="325" t="s">
        <v>914</v>
      </c>
    </row>
    <row r="1338" spans="1:20" ht="28.5">
      <c r="A1338" s="339" t="s">
        <v>615</v>
      </c>
      <c r="B1338" s="325" t="s">
        <v>801</v>
      </c>
      <c r="C1338" s="325" t="s">
        <v>918</v>
      </c>
      <c r="D1338" s="325" t="s">
        <v>802</v>
      </c>
      <c r="E1338" s="340">
        <v>46108</v>
      </c>
      <c r="F1338" s="325" t="s">
        <v>984</v>
      </c>
      <c r="H1338" s="324" t="s">
        <v>615</v>
      </c>
      <c r="I1338" s="325" t="s">
        <v>824</v>
      </c>
      <c r="J1338" s="325" t="s">
        <v>1086</v>
      </c>
      <c r="K1338" s="340">
        <v>46234</v>
      </c>
      <c r="L1338" s="340">
        <v>46074</v>
      </c>
      <c r="M1338" s="325" t="s">
        <v>984</v>
      </c>
      <c r="O1338" s="324" t="s">
        <v>615</v>
      </c>
      <c r="P1338" s="325" t="s">
        <v>821</v>
      </c>
      <c r="Q1338" s="325" t="s">
        <v>920</v>
      </c>
      <c r="R1338" s="340" t="s">
        <v>638</v>
      </c>
      <c r="S1338" s="340">
        <v>46103</v>
      </c>
      <c r="T1338" s="325" t="s">
        <v>1087</v>
      </c>
    </row>
    <row r="1339" spans="1:20" ht="28.5">
      <c r="A1339" s="339" t="s">
        <v>622</v>
      </c>
      <c r="B1339" s="325" t="s">
        <v>817</v>
      </c>
      <c r="C1339" s="325" t="s">
        <v>775</v>
      </c>
      <c r="D1339" s="325" t="s">
        <v>825</v>
      </c>
      <c r="E1339" s="340">
        <v>46197</v>
      </c>
      <c r="F1339" s="325" t="s">
        <v>984</v>
      </c>
      <c r="H1339" s="324" t="s">
        <v>622</v>
      </c>
      <c r="I1339" s="325" t="s">
        <v>805</v>
      </c>
      <c r="J1339" s="325" t="s">
        <v>1074</v>
      </c>
      <c r="K1339" s="340">
        <v>46109</v>
      </c>
      <c r="L1339" s="340">
        <v>46252</v>
      </c>
      <c r="M1339" s="325" t="s">
        <v>984</v>
      </c>
      <c r="O1339" s="324" t="s">
        <v>622</v>
      </c>
      <c r="P1339" s="325" t="s">
        <v>813</v>
      </c>
      <c r="Q1339" s="325" t="s">
        <v>909</v>
      </c>
      <c r="R1339" s="340" t="s">
        <v>692</v>
      </c>
      <c r="S1339" s="340" t="s">
        <v>815</v>
      </c>
      <c r="T1339" s="325" t="s">
        <v>1087</v>
      </c>
    </row>
    <row r="1340" spans="1:20" ht="28.5">
      <c r="A1340" s="339" t="s">
        <v>627</v>
      </c>
      <c r="B1340" s="325" t="s">
        <v>821</v>
      </c>
      <c r="C1340" s="325" t="s">
        <v>920</v>
      </c>
      <c r="D1340" s="325" t="s">
        <v>638</v>
      </c>
      <c r="E1340" s="340">
        <v>46103</v>
      </c>
      <c r="F1340" s="325" t="s">
        <v>984</v>
      </c>
      <c r="H1340" s="324" t="s">
        <v>627</v>
      </c>
      <c r="I1340" s="325" t="s">
        <v>814</v>
      </c>
      <c r="J1340" s="325" t="s">
        <v>913</v>
      </c>
      <c r="K1340" s="340">
        <v>46137</v>
      </c>
      <c r="L1340" s="340">
        <v>46281</v>
      </c>
      <c r="M1340" s="325" t="s">
        <v>984</v>
      </c>
      <c r="O1340" s="324" t="s">
        <v>627</v>
      </c>
      <c r="P1340" s="325" t="s">
        <v>1088</v>
      </c>
      <c r="Q1340" s="325" t="s">
        <v>791</v>
      </c>
      <c r="R1340" s="340">
        <v>46260</v>
      </c>
      <c r="S1340" s="340">
        <v>46282</v>
      </c>
      <c r="T1340" s="325" t="s">
        <v>919</v>
      </c>
    </row>
    <row r="1341" spans="1:20" ht="45">
      <c r="A1341" s="339" t="s">
        <v>634</v>
      </c>
      <c r="B1341" s="324" t="s">
        <v>813</v>
      </c>
      <c r="C1341" s="325" t="s">
        <v>909</v>
      </c>
      <c r="D1341" s="325" t="s">
        <v>692</v>
      </c>
      <c r="E1341" s="325" t="s">
        <v>815</v>
      </c>
      <c r="F1341" s="324" t="s">
        <v>922</v>
      </c>
      <c r="H1341" s="324" t="s">
        <v>634</v>
      </c>
      <c r="I1341" s="324" t="s">
        <v>909</v>
      </c>
      <c r="J1341" s="340">
        <v>46264</v>
      </c>
      <c r="K1341" s="340">
        <v>46045</v>
      </c>
      <c r="L1341" s="340">
        <v>46127</v>
      </c>
      <c r="M1341" s="324" t="s">
        <v>922</v>
      </c>
      <c r="O1341" s="324" t="s">
        <v>634</v>
      </c>
      <c r="P1341" s="324" t="s">
        <v>841</v>
      </c>
      <c r="Q1341" s="340" t="s">
        <v>836</v>
      </c>
      <c r="R1341" s="340">
        <v>46077</v>
      </c>
      <c r="S1341" s="340">
        <v>46069</v>
      </c>
      <c r="T1341" s="324" t="s">
        <v>1089</v>
      </c>
    </row>
    <row r="1342" spans="1:20" ht="28.5">
      <c r="A1342" s="339" t="s">
        <v>641</v>
      </c>
      <c r="B1342" s="325" t="s">
        <v>810</v>
      </c>
      <c r="C1342" s="325" t="s">
        <v>825</v>
      </c>
      <c r="D1342" s="340">
        <v>46230</v>
      </c>
      <c r="E1342" s="340">
        <v>46160</v>
      </c>
      <c r="F1342" s="325" t="s">
        <v>812</v>
      </c>
      <c r="H1342" s="324" t="s">
        <v>641</v>
      </c>
      <c r="I1342" s="325" t="s">
        <v>819</v>
      </c>
      <c r="J1342" s="340">
        <v>46170</v>
      </c>
      <c r="K1342" s="340">
        <v>46133</v>
      </c>
      <c r="L1342" s="340">
        <v>46067</v>
      </c>
      <c r="M1342" s="325" t="s">
        <v>812</v>
      </c>
      <c r="O1342" s="324" t="s">
        <v>641</v>
      </c>
      <c r="P1342" s="325" t="s">
        <v>921</v>
      </c>
      <c r="Q1342" s="340" t="s">
        <v>692</v>
      </c>
      <c r="R1342" s="340">
        <v>46164</v>
      </c>
      <c r="S1342" s="340" t="s">
        <v>931</v>
      </c>
      <c r="T1342" s="325" t="s">
        <v>923</v>
      </c>
    </row>
    <row r="1343" spans="1:20" ht="28.5">
      <c r="A1343" s="339" t="s">
        <v>647</v>
      </c>
      <c r="B1343" s="325" t="s">
        <v>691</v>
      </c>
      <c r="C1343" s="325" t="s">
        <v>924</v>
      </c>
      <c r="D1343" s="325" t="s">
        <v>838</v>
      </c>
      <c r="E1343" s="340">
        <v>46098</v>
      </c>
      <c r="F1343" s="325" t="s">
        <v>812</v>
      </c>
      <c r="H1343" s="324" t="s">
        <v>647</v>
      </c>
      <c r="I1343" s="325" t="s">
        <v>833</v>
      </c>
      <c r="J1343" s="340">
        <v>46079</v>
      </c>
      <c r="K1343" s="340">
        <v>46192</v>
      </c>
      <c r="L1343" s="340">
        <v>46035</v>
      </c>
      <c r="M1343" s="325" t="s">
        <v>812</v>
      </c>
      <c r="O1343" s="324" t="s">
        <v>647</v>
      </c>
      <c r="P1343" s="325" t="s">
        <v>1090</v>
      </c>
      <c r="Q1343" s="340">
        <v>46050</v>
      </c>
      <c r="R1343" s="340">
        <v>46043</v>
      </c>
      <c r="S1343" s="340" t="s">
        <v>1091</v>
      </c>
      <c r="T1343" s="325" t="s">
        <v>923</v>
      </c>
    </row>
    <row r="1344" spans="1:20" ht="28.5">
      <c r="A1344" s="339" t="s">
        <v>654</v>
      </c>
      <c r="B1344" s="325" t="s">
        <v>841</v>
      </c>
      <c r="C1344" s="325" t="s">
        <v>836</v>
      </c>
      <c r="D1344" s="340">
        <v>46077</v>
      </c>
      <c r="E1344" s="340">
        <v>46069</v>
      </c>
      <c r="F1344" s="325" t="s">
        <v>842</v>
      </c>
      <c r="H1344" s="324" t="s">
        <v>654</v>
      </c>
      <c r="I1344" s="325" t="s">
        <v>827</v>
      </c>
      <c r="J1344" s="340">
        <v>46197</v>
      </c>
      <c r="K1344" s="340">
        <v>46160</v>
      </c>
      <c r="L1344" s="340">
        <v>46093</v>
      </c>
      <c r="M1344" s="325" t="s">
        <v>842</v>
      </c>
      <c r="O1344" s="324" t="s">
        <v>654</v>
      </c>
      <c r="P1344" s="325" t="s">
        <v>833</v>
      </c>
      <c r="Q1344" s="340">
        <v>46079</v>
      </c>
      <c r="R1344" s="340">
        <v>46192</v>
      </c>
      <c r="S1344" s="340">
        <v>46035</v>
      </c>
      <c r="T1344" s="325" t="s">
        <v>923</v>
      </c>
    </row>
    <row r="1345" spans="1:20" ht="28.5">
      <c r="A1345" s="339" t="s">
        <v>665</v>
      </c>
      <c r="B1345" s="325" t="s">
        <v>909</v>
      </c>
      <c r="C1345" s="340">
        <v>46264</v>
      </c>
      <c r="D1345" s="340">
        <v>46045</v>
      </c>
      <c r="E1345" s="340">
        <v>46127</v>
      </c>
      <c r="F1345" s="325" t="s">
        <v>842</v>
      </c>
      <c r="H1345" s="324" t="s">
        <v>665</v>
      </c>
      <c r="I1345" s="325" t="s">
        <v>692</v>
      </c>
      <c r="J1345" s="340">
        <v>46045</v>
      </c>
      <c r="K1345" s="340">
        <v>46098</v>
      </c>
      <c r="L1345" s="340">
        <v>46153</v>
      </c>
      <c r="M1345" s="325" t="s">
        <v>842</v>
      </c>
      <c r="O1345" s="324" t="s">
        <v>665</v>
      </c>
      <c r="P1345" s="325">
        <v>46173</v>
      </c>
      <c r="Q1345" s="340">
        <v>46077</v>
      </c>
      <c r="R1345" s="340">
        <v>46071</v>
      </c>
      <c r="S1345" s="340">
        <v>46034</v>
      </c>
      <c r="T1345" s="325" t="s">
        <v>923</v>
      </c>
    </row>
    <row r="1346" spans="1:20" ht="45">
      <c r="A1346" s="339" t="s">
        <v>672</v>
      </c>
      <c r="B1346" s="324" t="s">
        <v>826</v>
      </c>
      <c r="C1346" s="325" t="s">
        <v>928</v>
      </c>
      <c r="D1346" s="340">
        <v>46286</v>
      </c>
      <c r="E1346" s="340">
        <v>46187</v>
      </c>
      <c r="F1346" s="324" t="s">
        <v>923</v>
      </c>
      <c r="H1346" s="324" t="s">
        <v>672</v>
      </c>
      <c r="I1346" s="324" t="s">
        <v>843</v>
      </c>
      <c r="J1346" s="340">
        <v>46163</v>
      </c>
      <c r="K1346" s="340">
        <v>46069</v>
      </c>
      <c r="L1346" s="340">
        <v>46244</v>
      </c>
      <c r="M1346" s="324" t="s">
        <v>923</v>
      </c>
      <c r="O1346" s="324" t="s">
        <v>672</v>
      </c>
      <c r="P1346" s="324">
        <v>46171</v>
      </c>
      <c r="Q1346" s="340">
        <v>46225</v>
      </c>
      <c r="R1346" s="340" t="s">
        <v>1092</v>
      </c>
      <c r="S1346" s="340">
        <v>46092</v>
      </c>
      <c r="T1346" s="324" t="s">
        <v>1093</v>
      </c>
    </row>
    <row r="1347" spans="1:20" ht="28.5">
      <c r="A1347" s="339" t="s">
        <v>682</v>
      </c>
      <c r="B1347" s="325" t="s">
        <v>830</v>
      </c>
      <c r="C1347" s="340">
        <v>46230</v>
      </c>
      <c r="D1347" s="340">
        <v>46254</v>
      </c>
      <c r="E1347" s="340">
        <v>46247</v>
      </c>
      <c r="F1347" s="325" t="s">
        <v>842</v>
      </c>
      <c r="H1347" s="324" t="s">
        <v>682</v>
      </c>
      <c r="I1347" s="325" t="s">
        <v>838</v>
      </c>
      <c r="J1347" s="325" t="s">
        <v>815</v>
      </c>
      <c r="K1347" s="325" t="s">
        <v>931</v>
      </c>
      <c r="L1347" s="325" t="s">
        <v>932</v>
      </c>
      <c r="M1347" s="325" t="s">
        <v>842</v>
      </c>
      <c r="O1347" s="324" t="s">
        <v>682</v>
      </c>
      <c r="P1347" s="325" t="s">
        <v>843</v>
      </c>
      <c r="Q1347" s="325">
        <v>46163</v>
      </c>
      <c r="R1347" s="325">
        <v>46069</v>
      </c>
      <c r="S1347" s="325">
        <v>46244</v>
      </c>
      <c r="T1347" s="325" t="s">
        <v>1094</v>
      </c>
    </row>
    <row r="1348" spans="1:20" ht="28.5">
      <c r="A1348" s="339" t="s">
        <v>688</v>
      </c>
      <c r="B1348" s="325" t="s">
        <v>833</v>
      </c>
      <c r="C1348" s="340">
        <v>46079</v>
      </c>
      <c r="D1348" s="340">
        <v>46192</v>
      </c>
      <c r="E1348" s="340">
        <v>46035</v>
      </c>
      <c r="F1348" s="325" t="s">
        <v>842</v>
      </c>
      <c r="H1348" s="324" t="s">
        <v>688</v>
      </c>
      <c r="I1348" s="325" t="s">
        <v>840</v>
      </c>
      <c r="J1348" s="340">
        <v>46072</v>
      </c>
      <c r="K1348" s="340">
        <v>46126</v>
      </c>
      <c r="L1348" s="340">
        <v>46182</v>
      </c>
      <c r="M1348" s="325" t="s">
        <v>842</v>
      </c>
      <c r="O1348" s="324" t="s">
        <v>688</v>
      </c>
      <c r="P1348" s="325">
        <v>46168</v>
      </c>
      <c r="Q1348" s="340">
        <v>46132</v>
      </c>
      <c r="R1348" s="340">
        <v>46096</v>
      </c>
      <c r="S1348" s="340">
        <v>46063</v>
      </c>
      <c r="T1348" s="325" t="s">
        <v>1094</v>
      </c>
    </row>
    <row r="1349" spans="1:20" ht="28.5">
      <c r="A1349" s="339" t="s">
        <v>695</v>
      </c>
      <c r="B1349" s="325" t="s">
        <v>827</v>
      </c>
      <c r="C1349" s="340">
        <v>46197</v>
      </c>
      <c r="D1349" s="340">
        <v>46160</v>
      </c>
      <c r="E1349" s="340">
        <v>46093</v>
      </c>
      <c r="F1349" s="325" t="s">
        <v>842</v>
      </c>
      <c r="H1349" s="324" t="s">
        <v>695</v>
      </c>
      <c r="I1349" s="325" t="s">
        <v>844</v>
      </c>
      <c r="J1349" s="340">
        <v>46160</v>
      </c>
      <c r="K1349" s="340">
        <v>46247</v>
      </c>
      <c r="L1349" s="340">
        <v>46062</v>
      </c>
      <c r="M1349" s="325" t="s">
        <v>842</v>
      </c>
      <c r="O1349" s="324" t="s">
        <v>695</v>
      </c>
      <c r="P1349" s="325">
        <v>46167</v>
      </c>
      <c r="Q1349" s="340">
        <v>46192</v>
      </c>
      <c r="R1349" s="340">
        <v>46217</v>
      </c>
      <c r="S1349" s="340">
        <v>46243</v>
      </c>
      <c r="T1349" s="325" t="s">
        <v>1094</v>
      </c>
    </row>
    <row r="1350" spans="1:20" ht="28.5">
      <c r="A1350" s="339" t="s">
        <v>701</v>
      </c>
      <c r="B1350" s="325" t="s">
        <v>692</v>
      </c>
      <c r="C1350" s="340">
        <v>46045</v>
      </c>
      <c r="D1350" s="340">
        <v>46098</v>
      </c>
      <c r="E1350" s="340">
        <v>46153</v>
      </c>
      <c r="F1350" s="325" t="s">
        <v>842</v>
      </c>
      <c r="H1350" s="324" t="s">
        <v>701</v>
      </c>
      <c r="I1350" s="325" t="s">
        <v>930</v>
      </c>
      <c r="J1350" s="340">
        <v>46220</v>
      </c>
      <c r="K1350" s="340">
        <v>46094</v>
      </c>
      <c r="L1350" s="340">
        <v>46242</v>
      </c>
      <c r="M1350" s="325" t="s">
        <v>842</v>
      </c>
      <c r="O1350" s="324" t="s">
        <v>701</v>
      </c>
      <c r="P1350" s="325">
        <v>46166</v>
      </c>
      <c r="Q1350" s="340">
        <v>46252</v>
      </c>
      <c r="R1350" s="340">
        <v>46036</v>
      </c>
      <c r="S1350" s="340">
        <v>46121</v>
      </c>
      <c r="T1350" s="325" t="s">
        <v>1094</v>
      </c>
    </row>
    <row r="1351" spans="1:20" ht="45">
      <c r="A1351" s="341" t="s">
        <v>678</v>
      </c>
      <c r="B1351" s="326" t="s">
        <v>834</v>
      </c>
      <c r="C1351" s="342">
        <v>46103</v>
      </c>
      <c r="D1351" s="342">
        <v>46219</v>
      </c>
      <c r="E1351" s="342">
        <v>46064</v>
      </c>
      <c r="F1351" s="326" t="s">
        <v>1000</v>
      </c>
      <c r="H1351" s="326" t="s">
        <v>678</v>
      </c>
      <c r="I1351" s="326" t="s">
        <v>933</v>
      </c>
      <c r="J1351" s="342">
        <v>46281</v>
      </c>
      <c r="K1351" s="342">
        <v>46215</v>
      </c>
      <c r="L1351" s="342">
        <v>46150</v>
      </c>
      <c r="M1351" s="326" t="s">
        <v>1000</v>
      </c>
      <c r="O1351" s="326" t="s">
        <v>678</v>
      </c>
      <c r="P1351" s="326">
        <v>46165</v>
      </c>
      <c r="Q1351" s="342">
        <v>46040</v>
      </c>
      <c r="R1351" s="342">
        <v>46186</v>
      </c>
      <c r="S1351" s="342" t="s">
        <v>1095</v>
      </c>
      <c r="T1351" s="326" t="s">
        <v>1096</v>
      </c>
    </row>
    <row r="1352" spans="1:20" ht="12.75">
      <c r="A1352" s="246" t="s">
        <v>1097</v>
      </c>
    </row>
    <row r="1353" spans="1:20" ht="12.75">
      <c r="A1353" s="5"/>
    </row>
    <row r="1354" spans="1:20" ht="12.75">
      <c r="A1354" s="5"/>
    </row>
    <row r="1355" spans="1:20">
      <c r="A1355" s="320" t="s">
        <v>1098</v>
      </c>
      <c r="H1355" s="320" t="s">
        <v>1099</v>
      </c>
    </row>
    <row r="1356" spans="1:20">
      <c r="A1356" s="320" t="s">
        <v>1100</v>
      </c>
      <c r="H1356" s="320" t="s">
        <v>1101</v>
      </c>
    </row>
    <row r="1357" spans="1:20" ht="45">
      <c r="A1357" s="338" t="s">
        <v>512</v>
      </c>
      <c r="B1357" s="323" t="s">
        <v>513</v>
      </c>
      <c r="C1357" s="323" t="s">
        <v>614</v>
      </c>
      <c r="D1357" s="323" t="s">
        <v>515</v>
      </c>
      <c r="E1357" s="323" t="s">
        <v>516</v>
      </c>
      <c r="F1357" s="323" t="s">
        <v>852</v>
      </c>
      <c r="H1357" s="338" t="s">
        <v>512</v>
      </c>
      <c r="I1357" s="323" t="s">
        <v>513</v>
      </c>
      <c r="J1357" s="323" t="s">
        <v>614</v>
      </c>
      <c r="K1357" s="323" t="s">
        <v>515</v>
      </c>
      <c r="L1357" s="323" t="s">
        <v>516</v>
      </c>
      <c r="M1357" s="323" t="s">
        <v>1010</v>
      </c>
    </row>
    <row r="1358" spans="1:20" ht="28.5">
      <c r="A1358" s="339" t="s">
        <v>520</v>
      </c>
      <c r="B1358" s="325" t="s">
        <v>1102</v>
      </c>
      <c r="C1358" s="325" t="s">
        <v>1103</v>
      </c>
      <c r="D1358" s="325" t="s">
        <v>765</v>
      </c>
      <c r="E1358" s="325" t="s">
        <v>1104</v>
      </c>
      <c r="F1358" s="325" t="s">
        <v>853</v>
      </c>
      <c r="H1358" s="339" t="s">
        <v>520</v>
      </c>
      <c r="I1358" s="325" t="s">
        <v>538</v>
      </c>
      <c r="J1358" s="325" t="s">
        <v>1105</v>
      </c>
      <c r="K1358" s="325" t="s">
        <v>1106</v>
      </c>
      <c r="L1358" s="325" t="s">
        <v>1073</v>
      </c>
      <c r="M1358" s="325" t="s">
        <v>853</v>
      </c>
    </row>
    <row r="1359" spans="1:20" ht="42.75">
      <c r="A1359" s="339" t="s">
        <v>528</v>
      </c>
      <c r="B1359" s="325" t="s">
        <v>1107</v>
      </c>
      <c r="C1359" s="325" t="s">
        <v>1108</v>
      </c>
      <c r="D1359" s="325" t="s">
        <v>1109</v>
      </c>
      <c r="E1359" s="325" t="s">
        <v>1110</v>
      </c>
      <c r="F1359" s="325" t="s">
        <v>766</v>
      </c>
      <c r="H1359" s="339" t="s">
        <v>528</v>
      </c>
      <c r="I1359" s="325" t="s">
        <v>1111</v>
      </c>
      <c r="J1359" s="325" t="s">
        <v>1112</v>
      </c>
      <c r="K1359" s="325" t="s">
        <v>1113</v>
      </c>
      <c r="L1359" s="325" t="s">
        <v>1114</v>
      </c>
      <c r="M1359" s="325" t="s">
        <v>1019</v>
      </c>
    </row>
    <row r="1360" spans="1:20" ht="42.75">
      <c r="A1360" s="339" t="s">
        <v>536</v>
      </c>
      <c r="B1360" s="325" t="s">
        <v>1115</v>
      </c>
      <c r="C1360" s="325" t="s">
        <v>1116</v>
      </c>
      <c r="D1360" s="325" t="s">
        <v>1117</v>
      </c>
      <c r="E1360" s="325" t="s">
        <v>596</v>
      </c>
      <c r="F1360" s="325" t="s">
        <v>878</v>
      </c>
      <c r="H1360" s="339" t="s">
        <v>536</v>
      </c>
      <c r="I1360" s="325" t="s">
        <v>739</v>
      </c>
      <c r="J1360" s="325" t="s">
        <v>1118</v>
      </c>
      <c r="K1360" s="325" t="s">
        <v>1119</v>
      </c>
      <c r="L1360" s="325" t="s">
        <v>1120</v>
      </c>
      <c r="M1360" s="325" t="s">
        <v>1057</v>
      </c>
    </row>
    <row r="1361" spans="1:13" ht="42.75">
      <c r="A1361" s="339" t="s">
        <v>542</v>
      </c>
      <c r="B1361" s="325" t="s">
        <v>523</v>
      </c>
      <c r="C1361" s="325" t="s">
        <v>1121</v>
      </c>
      <c r="D1361" s="325" t="s">
        <v>1122</v>
      </c>
      <c r="E1361" s="325" t="s">
        <v>1123</v>
      </c>
      <c r="F1361" s="325" t="s">
        <v>1124</v>
      </c>
      <c r="H1361" s="339" t="s">
        <v>542</v>
      </c>
      <c r="I1361" s="325" t="s">
        <v>1125</v>
      </c>
      <c r="J1361" s="325" t="s">
        <v>957</v>
      </c>
      <c r="K1361" s="325" t="s">
        <v>865</v>
      </c>
      <c r="L1361" s="325" t="s">
        <v>611</v>
      </c>
      <c r="M1361" s="325" t="s">
        <v>1126</v>
      </c>
    </row>
    <row r="1362" spans="1:13" ht="45">
      <c r="A1362" s="339" t="s">
        <v>549</v>
      </c>
      <c r="B1362" s="325" t="s">
        <v>1127</v>
      </c>
      <c r="C1362" s="325" t="s">
        <v>640</v>
      </c>
      <c r="D1362" s="325" t="s">
        <v>1104</v>
      </c>
      <c r="E1362" s="325" t="s">
        <v>1128</v>
      </c>
      <c r="F1362" s="324" t="s">
        <v>1129</v>
      </c>
      <c r="H1362" s="339" t="s">
        <v>549</v>
      </c>
      <c r="I1362" s="325" t="s">
        <v>1130</v>
      </c>
      <c r="J1362" s="325" t="s">
        <v>1131</v>
      </c>
      <c r="K1362" s="325" t="s">
        <v>1073</v>
      </c>
      <c r="L1362" s="325" t="s">
        <v>1132</v>
      </c>
      <c r="M1362" s="324" t="s">
        <v>1133</v>
      </c>
    </row>
    <row r="1363" spans="1:13" ht="57">
      <c r="A1363" s="339" t="s">
        <v>557</v>
      </c>
      <c r="B1363" s="325" t="s">
        <v>1134</v>
      </c>
      <c r="C1363" s="325" t="s">
        <v>1135</v>
      </c>
      <c r="D1363" s="325" t="s">
        <v>1136</v>
      </c>
      <c r="E1363" s="325" t="s">
        <v>1137</v>
      </c>
      <c r="F1363" s="325" t="s">
        <v>961</v>
      </c>
      <c r="H1363" s="339" t="s">
        <v>557</v>
      </c>
      <c r="I1363" s="325" t="s">
        <v>640</v>
      </c>
      <c r="J1363" s="325" t="s">
        <v>595</v>
      </c>
      <c r="K1363" s="325" t="s">
        <v>596</v>
      </c>
      <c r="L1363" s="325" t="s">
        <v>597</v>
      </c>
      <c r="M1363" s="325" t="s">
        <v>1138</v>
      </c>
    </row>
    <row r="1364" spans="1:13" ht="60">
      <c r="A1364" s="339" t="s">
        <v>564</v>
      </c>
      <c r="B1364" s="324" t="s">
        <v>765</v>
      </c>
      <c r="C1364" s="324" t="s">
        <v>1139</v>
      </c>
      <c r="D1364" s="324" t="s">
        <v>1140</v>
      </c>
      <c r="E1364" s="324" t="s">
        <v>916</v>
      </c>
      <c r="F1364" s="324" t="s">
        <v>1141</v>
      </c>
      <c r="H1364" s="339" t="s">
        <v>564</v>
      </c>
      <c r="I1364" s="324" t="s">
        <v>1027</v>
      </c>
      <c r="J1364" s="324" t="s">
        <v>726</v>
      </c>
      <c r="K1364" s="324" t="s">
        <v>869</v>
      </c>
      <c r="L1364" s="324" t="s">
        <v>1142</v>
      </c>
      <c r="M1364" s="324" t="s">
        <v>1143</v>
      </c>
    </row>
    <row r="1365" spans="1:13" ht="60">
      <c r="A1365" s="339" t="s">
        <v>572</v>
      </c>
      <c r="B1365" s="325" t="s">
        <v>1144</v>
      </c>
      <c r="C1365" s="325" t="s">
        <v>1145</v>
      </c>
      <c r="D1365" s="325" t="s">
        <v>1146</v>
      </c>
      <c r="E1365" s="325" t="s">
        <v>1147</v>
      </c>
      <c r="F1365" s="324" t="s">
        <v>1148</v>
      </c>
      <c r="H1365" s="339" t="s">
        <v>572</v>
      </c>
      <c r="I1365" s="325" t="s">
        <v>1149</v>
      </c>
      <c r="J1365" s="325" t="s">
        <v>734</v>
      </c>
      <c r="K1365" s="325" t="s">
        <v>1150</v>
      </c>
      <c r="L1365" s="325" t="s">
        <v>1151</v>
      </c>
      <c r="M1365" s="324" t="s">
        <v>1152</v>
      </c>
    </row>
    <row r="1366" spans="1:13" ht="42.75">
      <c r="A1366" s="339" t="s">
        <v>579</v>
      </c>
      <c r="B1366" s="325" t="s">
        <v>1153</v>
      </c>
      <c r="C1366" s="325" t="s">
        <v>1154</v>
      </c>
      <c r="D1366" s="325" t="s">
        <v>1155</v>
      </c>
      <c r="E1366" s="325" t="s">
        <v>1156</v>
      </c>
      <c r="F1366" s="325" t="s">
        <v>978</v>
      </c>
      <c r="H1366" s="339" t="s">
        <v>579</v>
      </c>
      <c r="I1366" s="325" t="s">
        <v>1157</v>
      </c>
      <c r="J1366" s="325" t="s">
        <v>1158</v>
      </c>
      <c r="K1366" s="325" t="s">
        <v>1159</v>
      </c>
      <c r="L1366" s="325" t="s">
        <v>1160</v>
      </c>
      <c r="M1366" s="325" t="s">
        <v>1161</v>
      </c>
    </row>
    <row r="1367" spans="1:13" ht="42.75">
      <c r="A1367" s="339" t="s">
        <v>587</v>
      </c>
      <c r="B1367" s="325" t="s">
        <v>1162</v>
      </c>
      <c r="C1367" s="325" t="s">
        <v>1163</v>
      </c>
      <c r="D1367" s="325" t="s">
        <v>1164</v>
      </c>
      <c r="E1367" s="325" t="s">
        <v>1165</v>
      </c>
      <c r="F1367" s="325" t="s">
        <v>978</v>
      </c>
      <c r="H1367" s="339" t="s">
        <v>587</v>
      </c>
      <c r="I1367" s="325" t="s">
        <v>1166</v>
      </c>
      <c r="J1367" s="325" t="s">
        <v>1167</v>
      </c>
      <c r="K1367" s="325" t="s">
        <v>1168</v>
      </c>
      <c r="L1367" s="325" t="s">
        <v>1169</v>
      </c>
      <c r="M1367" s="325" t="s">
        <v>1161</v>
      </c>
    </row>
    <row r="1368" spans="1:13" ht="28.5">
      <c r="A1368" s="339" t="s">
        <v>594</v>
      </c>
      <c r="B1368" s="325" t="s">
        <v>737</v>
      </c>
      <c r="C1368" s="325" t="s">
        <v>1170</v>
      </c>
      <c r="D1368" s="325" t="s">
        <v>1171</v>
      </c>
      <c r="E1368" s="325" t="s">
        <v>1172</v>
      </c>
      <c r="F1368" s="325" t="s">
        <v>1075</v>
      </c>
      <c r="H1368" s="339" t="s">
        <v>594</v>
      </c>
      <c r="I1368" s="325" t="s">
        <v>1173</v>
      </c>
      <c r="J1368" s="325" t="s">
        <v>888</v>
      </c>
      <c r="K1368" s="325" t="s">
        <v>907</v>
      </c>
      <c r="L1368" s="325" t="s">
        <v>908</v>
      </c>
      <c r="M1368" s="325" t="s">
        <v>1075</v>
      </c>
    </row>
    <row r="1369" spans="1:13" ht="28.5">
      <c r="A1369" s="339" t="s">
        <v>601</v>
      </c>
      <c r="B1369" s="325" t="s">
        <v>561</v>
      </c>
      <c r="C1369" s="325" t="s">
        <v>1174</v>
      </c>
      <c r="D1369" s="325" t="s">
        <v>1175</v>
      </c>
      <c r="E1369" s="325" t="s">
        <v>1176</v>
      </c>
      <c r="F1369" s="325" t="s">
        <v>911</v>
      </c>
      <c r="H1369" s="339" t="s">
        <v>601</v>
      </c>
      <c r="I1369" s="325" t="s">
        <v>1177</v>
      </c>
      <c r="J1369" s="325" t="s">
        <v>1178</v>
      </c>
      <c r="K1369" s="325" t="s">
        <v>1179</v>
      </c>
      <c r="L1369" s="325" t="s">
        <v>1180</v>
      </c>
      <c r="M1369" s="325" t="s">
        <v>1181</v>
      </c>
    </row>
    <row r="1370" spans="1:13" ht="28.5">
      <c r="A1370" s="339" t="s">
        <v>608</v>
      </c>
      <c r="B1370" s="325" t="s">
        <v>1182</v>
      </c>
      <c r="C1370" s="325" t="s">
        <v>1183</v>
      </c>
      <c r="D1370" s="325" t="s">
        <v>814</v>
      </c>
      <c r="E1370" s="340">
        <v>46110</v>
      </c>
      <c r="F1370" s="325" t="s">
        <v>914</v>
      </c>
      <c r="H1370" s="339" t="s">
        <v>608</v>
      </c>
      <c r="I1370" s="325" t="s">
        <v>1184</v>
      </c>
      <c r="J1370" s="325" t="s">
        <v>1185</v>
      </c>
      <c r="K1370" s="325" t="s">
        <v>1186</v>
      </c>
      <c r="L1370" s="340">
        <v>46261</v>
      </c>
      <c r="M1370" s="325" t="s">
        <v>914</v>
      </c>
    </row>
    <row r="1371" spans="1:13" ht="28.5">
      <c r="A1371" s="339" t="s">
        <v>615</v>
      </c>
      <c r="B1371" s="325" t="s">
        <v>912</v>
      </c>
      <c r="C1371" s="325" t="s">
        <v>1187</v>
      </c>
      <c r="D1371" s="325" t="s">
        <v>1188</v>
      </c>
      <c r="E1371" s="325" t="s">
        <v>838</v>
      </c>
      <c r="F1371" s="325" t="s">
        <v>1087</v>
      </c>
      <c r="H1371" s="339" t="s">
        <v>615</v>
      </c>
      <c r="I1371" s="325" t="s">
        <v>1189</v>
      </c>
      <c r="J1371" s="325" t="s">
        <v>1190</v>
      </c>
      <c r="K1371" s="325" t="s">
        <v>819</v>
      </c>
      <c r="L1371" s="325">
        <v>46197</v>
      </c>
      <c r="M1371" s="325" t="s">
        <v>1087</v>
      </c>
    </row>
    <row r="1372" spans="1:13" ht="28.5">
      <c r="A1372" s="339" t="s">
        <v>622</v>
      </c>
      <c r="B1372" s="325" t="s">
        <v>1191</v>
      </c>
      <c r="C1372" s="325" t="s">
        <v>1088</v>
      </c>
      <c r="D1372" s="325" t="s">
        <v>1192</v>
      </c>
      <c r="E1372" s="340">
        <v>46104</v>
      </c>
      <c r="F1372" s="325" t="s">
        <v>1087</v>
      </c>
      <c r="H1372" s="339" t="s">
        <v>622</v>
      </c>
      <c r="I1372" s="325" t="s">
        <v>1147</v>
      </c>
      <c r="J1372" s="325" t="s">
        <v>698</v>
      </c>
      <c r="K1372" s="325" t="s">
        <v>1193</v>
      </c>
      <c r="L1372" s="340" t="s">
        <v>933</v>
      </c>
      <c r="M1372" s="325" t="s">
        <v>1087</v>
      </c>
    </row>
    <row r="1373" spans="1:13" ht="28.5">
      <c r="A1373" s="339" t="s">
        <v>627</v>
      </c>
      <c r="B1373" s="325" t="s">
        <v>1194</v>
      </c>
      <c r="C1373" s="325" t="s">
        <v>992</v>
      </c>
      <c r="D1373" s="325" t="s">
        <v>676</v>
      </c>
      <c r="E1373" s="340">
        <v>46254</v>
      </c>
      <c r="F1373" s="325" t="s">
        <v>919</v>
      </c>
      <c r="H1373" s="339" t="s">
        <v>627</v>
      </c>
      <c r="I1373" s="325" t="s">
        <v>1195</v>
      </c>
      <c r="J1373" s="325" t="s">
        <v>983</v>
      </c>
      <c r="K1373" s="325">
        <v>46171</v>
      </c>
      <c r="L1373" s="340">
        <v>46222</v>
      </c>
      <c r="M1373" s="325" t="s">
        <v>919</v>
      </c>
    </row>
    <row r="1374" spans="1:13" ht="45">
      <c r="A1374" s="339" t="s">
        <v>634</v>
      </c>
      <c r="B1374" s="325" t="s">
        <v>612</v>
      </c>
      <c r="C1374" s="325" t="s">
        <v>1192</v>
      </c>
      <c r="D1374" s="340">
        <v>46079</v>
      </c>
      <c r="E1374" s="340">
        <v>46129</v>
      </c>
      <c r="F1374" s="324" t="s">
        <v>922</v>
      </c>
      <c r="H1374" s="339" t="s">
        <v>634</v>
      </c>
      <c r="I1374" s="325" t="s">
        <v>1196</v>
      </c>
      <c r="J1374" s="325" t="s">
        <v>1193</v>
      </c>
      <c r="K1374" s="340">
        <v>46258</v>
      </c>
      <c r="L1374" s="340">
        <v>46158</v>
      </c>
      <c r="M1374" s="324" t="s">
        <v>1089</v>
      </c>
    </row>
    <row r="1375" spans="1:13" ht="28.5">
      <c r="A1375" s="339" t="s">
        <v>641</v>
      </c>
      <c r="B1375" s="325" t="s">
        <v>681</v>
      </c>
      <c r="C1375" s="325" t="s">
        <v>1197</v>
      </c>
      <c r="D1375" s="340">
        <v>46166</v>
      </c>
      <c r="E1375" s="340">
        <v>46097</v>
      </c>
      <c r="F1375" s="325" t="s">
        <v>923</v>
      </c>
      <c r="H1375" s="339" t="s">
        <v>641</v>
      </c>
      <c r="I1375" s="325" t="s">
        <v>1198</v>
      </c>
      <c r="J1375" s="325">
        <v>46264</v>
      </c>
      <c r="K1375" s="340">
        <v>46045</v>
      </c>
      <c r="L1375" s="340">
        <v>46127</v>
      </c>
      <c r="M1375" s="325" t="s">
        <v>923</v>
      </c>
    </row>
    <row r="1376" spans="1:13" ht="28.5">
      <c r="A1376" s="339" t="s">
        <v>647</v>
      </c>
      <c r="B1376" s="325" t="s">
        <v>1188</v>
      </c>
      <c r="C1376" s="340">
        <v>46052</v>
      </c>
      <c r="D1376" s="340">
        <v>46195</v>
      </c>
      <c r="E1376" s="340">
        <v>46037</v>
      </c>
      <c r="F1376" s="325" t="s">
        <v>923</v>
      </c>
      <c r="H1376" s="339" t="s">
        <v>647</v>
      </c>
      <c r="I1376" s="325" t="s">
        <v>819</v>
      </c>
      <c r="J1376" s="340">
        <v>46170</v>
      </c>
      <c r="K1376" s="340">
        <v>46102</v>
      </c>
      <c r="L1376" s="340">
        <v>46067</v>
      </c>
      <c r="M1376" s="325" t="s">
        <v>923</v>
      </c>
    </row>
    <row r="1377" spans="1:23" ht="28.5">
      <c r="A1377" s="339" t="s">
        <v>654</v>
      </c>
      <c r="B1377" s="325" t="s">
        <v>1199</v>
      </c>
      <c r="C1377" s="340">
        <v>46081</v>
      </c>
      <c r="D1377" s="340">
        <v>46074</v>
      </c>
      <c r="E1377" s="340">
        <v>46036</v>
      </c>
      <c r="F1377" s="325" t="s">
        <v>923</v>
      </c>
      <c r="H1377" s="339" t="s">
        <v>654</v>
      </c>
      <c r="I1377" s="325" t="s">
        <v>1200</v>
      </c>
      <c r="J1377" s="340">
        <v>46260</v>
      </c>
      <c r="K1377" s="340">
        <v>46042</v>
      </c>
      <c r="L1377" s="340">
        <v>46125</v>
      </c>
      <c r="M1377" s="325" t="s">
        <v>923</v>
      </c>
    </row>
    <row r="1378" spans="1:23" ht="28.5">
      <c r="A1378" s="339" t="s">
        <v>665</v>
      </c>
      <c r="B1378" s="325" t="s">
        <v>908</v>
      </c>
      <c r="C1378" s="340">
        <v>46080</v>
      </c>
      <c r="D1378" s="340">
        <v>46132</v>
      </c>
      <c r="E1378" s="340">
        <v>46186</v>
      </c>
      <c r="F1378" s="325" t="s">
        <v>923</v>
      </c>
      <c r="H1378" s="339" t="s">
        <v>665</v>
      </c>
      <c r="I1378" s="325" t="s">
        <v>638</v>
      </c>
      <c r="J1378" s="340">
        <v>46259</v>
      </c>
      <c r="K1378" s="340">
        <v>46100</v>
      </c>
      <c r="L1378" s="340">
        <v>46277</v>
      </c>
      <c r="M1378" s="325" t="s">
        <v>923</v>
      </c>
    </row>
    <row r="1379" spans="1:23" ht="45">
      <c r="A1379" s="339" t="s">
        <v>672</v>
      </c>
      <c r="B1379" s="325" t="s">
        <v>924</v>
      </c>
      <c r="C1379" s="340">
        <v>46199</v>
      </c>
      <c r="D1379" s="325" t="s">
        <v>815</v>
      </c>
      <c r="E1379" s="340">
        <v>46094</v>
      </c>
      <c r="F1379" s="324" t="s">
        <v>923</v>
      </c>
      <c r="H1379" s="339" t="s">
        <v>672</v>
      </c>
      <c r="I1379" s="325" t="s">
        <v>1201</v>
      </c>
      <c r="J1379" s="340">
        <v>46078</v>
      </c>
      <c r="K1379" s="325">
        <v>46283</v>
      </c>
      <c r="L1379" s="340">
        <v>46185</v>
      </c>
      <c r="M1379" s="324" t="s">
        <v>1093</v>
      </c>
    </row>
    <row r="1380" spans="1:23" ht="28.5">
      <c r="A1380" s="339" t="s">
        <v>682</v>
      </c>
      <c r="B1380" s="325" t="s">
        <v>658</v>
      </c>
      <c r="C1380" s="340">
        <v>46227</v>
      </c>
      <c r="D1380" s="340">
        <v>46160</v>
      </c>
      <c r="E1380" s="340">
        <v>46093</v>
      </c>
      <c r="F1380" s="325" t="s">
        <v>1094</v>
      </c>
      <c r="H1380" s="339" t="s">
        <v>682</v>
      </c>
      <c r="I1380" s="325">
        <v>46142</v>
      </c>
      <c r="J1380" s="340">
        <v>46135</v>
      </c>
      <c r="K1380" s="340">
        <v>46159</v>
      </c>
      <c r="L1380" s="340">
        <v>46214</v>
      </c>
      <c r="M1380" s="325" t="s">
        <v>1094</v>
      </c>
    </row>
    <row r="1381" spans="1:23" ht="28.5">
      <c r="A1381" s="339" t="s">
        <v>688</v>
      </c>
      <c r="B1381" s="340">
        <v>46294</v>
      </c>
      <c r="C1381" s="325" t="s">
        <v>930</v>
      </c>
      <c r="D1381" s="340">
        <v>46098</v>
      </c>
      <c r="E1381" s="340">
        <v>46153</v>
      </c>
      <c r="F1381" s="325" t="s">
        <v>1094</v>
      </c>
      <c r="H1381" s="339" t="s">
        <v>688</v>
      </c>
      <c r="I1381" s="340">
        <v>46109</v>
      </c>
      <c r="J1381" s="325">
        <v>46255</v>
      </c>
      <c r="K1381" s="340">
        <v>46097</v>
      </c>
      <c r="L1381" s="340">
        <v>46275</v>
      </c>
      <c r="M1381" s="325" t="s">
        <v>1094</v>
      </c>
    </row>
    <row r="1382" spans="1:23" ht="28.5">
      <c r="A1382" s="339" t="s">
        <v>695</v>
      </c>
      <c r="B1382" s="340">
        <v>46261</v>
      </c>
      <c r="C1382" s="340">
        <v>46133</v>
      </c>
      <c r="D1382" s="325" t="s">
        <v>993</v>
      </c>
      <c r="E1382" s="340">
        <v>46213</v>
      </c>
      <c r="F1382" s="325" t="s">
        <v>1094</v>
      </c>
      <c r="H1382" s="339" t="s">
        <v>695</v>
      </c>
      <c r="I1382" s="340">
        <v>46107</v>
      </c>
      <c r="J1382" s="340">
        <v>46073</v>
      </c>
      <c r="K1382" s="325">
        <v>46068</v>
      </c>
      <c r="L1382" s="340">
        <v>46032</v>
      </c>
      <c r="M1382" s="325" t="s">
        <v>1094</v>
      </c>
    </row>
    <row r="1383" spans="1:23" ht="28.5">
      <c r="A1383" s="339" t="s">
        <v>701</v>
      </c>
      <c r="B1383" s="340">
        <v>46228</v>
      </c>
      <c r="C1383" s="340">
        <v>46253</v>
      </c>
      <c r="D1383" s="340">
        <v>46248</v>
      </c>
      <c r="E1383" s="340">
        <v>46274</v>
      </c>
      <c r="F1383" s="325" t="s">
        <v>1094</v>
      </c>
      <c r="H1383" s="339" t="s">
        <v>701</v>
      </c>
      <c r="I1383" s="340">
        <v>46136</v>
      </c>
      <c r="J1383" s="340">
        <v>46252</v>
      </c>
      <c r="K1383" s="340">
        <v>46036</v>
      </c>
      <c r="L1383" s="340">
        <v>46121</v>
      </c>
      <c r="M1383" s="325" t="s">
        <v>1094</v>
      </c>
    </row>
    <row r="1384" spans="1:23" ht="45">
      <c r="A1384" s="341" t="s">
        <v>678</v>
      </c>
      <c r="B1384" s="342">
        <v>46196</v>
      </c>
      <c r="C1384" s="342">
        <v>46071</v>
      </c>
      <c r="D1384" s="342">
        <v>46186</v>
      </c>
      <c r="E1384" s="342">
        <v>46031</v>
      </c>
      <c r="F1384" s="326" t="s">
        <v>935</v>
      </c>
      <c r="H1384" s="341" t="s">
        <v>678</v>
      </c>
      <c r="I1384" s="342">
        <v>46103</v>
      </c>
      <c r="J1384" s="342">
        <v>46070</v>
      </c>
      <c r="K1384" s="342">
        <v>46277</v>
      </c>
      <c r="L1384" s="342">
        <v>46181</v>
      </c>
      <c r="M1384" s="326" t="s">
        <v>1096</v>
      </c>
    </row>
    <row r="1385" spans="1:23" ht="12.75">
      <c r="A1385" s="246" t="s">
        <v>1202</v>
      </c>
      <c r="H1385" s="13"/>
    </row>
    <row r="1386" spans="1:23" ht="12.75">
      <c r="A1386" s="5"/>
    </row>
    <row r="1387" spans="1:23" ht="12.75">
      <c r="A1387" s="5"/>
    </row>
    <row r="1388" spans="1:23" ht="15">
      <c r="A1388" s="5"/>
      <c r="B1388" s="15" t="s">
        <v>24</v>
      </c>
      <c r="C1388" s="15" t="s">
        <v>25</v>
      </c>
      <c r="D1388" s="15" t="s">
        <v>26</v>
      </c>
      <c r="E1388" s="15" t="s">
        <v>27</v>
      </c>
      <c r="F1388" s="43" t="s">
        <v>28</v>
      </c>
      <c r="G1388" s="43" t="s">
        <v>74</v>
      </c>
      <c r="H1388" s="43" t="s">
        <v>75</v>
      </c>
      <c r="I1388" s="43" t="s">
        <v>76</v>
      </c>
      <c r="J1388" s="43" t="s">
        <v>77</v>
      </c>
      <c r="K1388" s="43" t="s">
        <v>78</v>
      </c>
      <c r="L1388" s="43" t="s">
        <v>79</v>
      </c>
      <c r="M1388" s="43" t="s">
        <v>80</v>
      </c>
      <c r="N1388" s="15" t="s">
        <v>81</v>
      </c>
      <c r="O1388" s="15" t="s">
        <v>82</v>
      </c>
      <c r="P1388" s="15" t="s">
        <v>83</v>
      </c>
      <c r="Q1388" s="15" t="s">
        <v>84</v>
      </c>
      <c r="R1388" s="15" t="s">
        <v>85</v>
      </c>
      <c r="S1388" s="15" t="s">
        <v>86</v>
      </c>
      <c r="T1388" s="15" t="s">
        <v>87</v>
      </c>
      <c r="U1388" s="15" t="s">
        <v>88</v>
      </c>
      <c r="V1388" s="15" t="s">
        <v>89</v>
      </c>
      <c r="W1388" s="15" t="s">
        <v>90</v>
      </c>
    </row>
    <row r="1389" spans="1:23" ht="12.75">
      <c r="A1389" s="42" t="s">
        <v>5</v>
      </c>
      <c r="B1389" s="9">
        <v>1</v>
      </c>
      <c r="C1389" s="9">
        <v>1</v>
      </c>
      <c r="D1389" s="9">
        <v>1</v>
      </c>
      <c r="E1389" s="9">
        <v>1</v>
      </c>
      <c r="F1389" s="10">
        <v>1</v>
      </c>
      <c r="G1389" s="20">
        <v>0.95683453237410077</v>
      </c>
      <c r="H1389" s="30">
        <v>0.92086330935251803</v>
      </c>
      <c r="I1389" s="265">
        <v>0.84892086330935257</v>
      </c>
      <c r="J1389" s="31">
        <v>0.76258992805755399</v>
      </c>
      <c r="K1389" s="266">
        <v>0.69064748201438853</v>
      </c>
      <c r="L1389" s="267">
        <v>0.61151079136690645</v>
      </c>
      <c r="M1389" s="78">
        <v>0.60431654676258995</v>
      </c>
      <c r="N1389" s="79">
        <v>0.59712230215827333</v>
      </c>
      <c r="O1389" s="86">
        <v>0.58273381294964033</v>
      </c>
      <c r="P1389" s="80">
        <v>0.57553956834532372</v>
      </c>
      <c r="Q1389" s="88">
        <v>0.57553956834532372</v>
      </c>
      <c r="R1389" s="81">
        <v>0.56834532374100721</v>
      </c>
      <c r="S1389" s="81">
        <v>0.5611510791366906</v>
      </c>
      <c r="T1389" s="81">
        <v>0.5467625899280576</v>
      </c>
      <c r="U1389" s="81">
        <v>0.53956834532374098</v>
      </c>
      <c r="V1389" s="81">
        <v>0.53237410071942448</v>
      </c>
      <c r="W1389" s="81">
        <v>0.51798561151079137</v>
      </c>
    </row>
    <row r="1390" spans="1:23" ht="12.75">
      <c r="A1390" s="246" t="s">
        <v>324</v>
      </c>
      <c r="B1390" s="13">
        <v>139</v>
      </c>
      <c r="C1390" s="13">
        <v>139</v>
      </c>
      <c r="D1390" s="13">
        <v>139</v>
      </c>
      <c r="E1390" s="13">
        <v>139</v>
      </c>
      <c r="F1390" s="13">
        <v>139</v>
      </c>
      <c r="G1390" s="13">
        <v>133</v>
      </c>
      <c r="H1390" s="13">
        <v>128</v>
      </c>
      <c r="I1390" s="13">
        <v>118</v>
      </c>
      <c r="J1390" s="13">
        <v>106</v>
      </c>
      <c r="K1390" s="13">
        <v>96</v>
      </c>
      <c r="L1390" s="13">
        <v>85</v>
      </c>
      <c r="M1390" s="13">
        <v>84</v>
      </c>
      <c r="N1390" s="13">
        <v>83</v>
      </c>
      <c r="O1390" s="13">
        <v>81</v>
      </c>
      <c r="P1390" s="13">
        <v>80</v>
      </c>
      <c r="Q1390" s="13">
        <v>80</v>
      </c>
      <c r="R1390" s="13">
        <v>79</v>
      </c>
      <c r="S1390" s="13">
        <v>78</v>
      </c>
      <c r="T1390" s="13">
        <v>76</v>
      </c>
      <c r="U1390" s="13">
        <v>75</v>
      </c>
      <c r="V1390" s="13">
        <v>74</v>
      </c>
      <c r="W1390" s="13">
        <v>72</v>
      </c>
    </row>
    <row r="1391" spans="1:23" ht="12.75">
      <c r="A1391" s="246" t="s">
        <v>324</v>
      </c>
      <c r="B1391" s="13">
        <v>1</v>
      </c>
      <c r="C1391" s="13">
        <v>1</v>
      </c>
      <c r="D1391" s="13">
        <v>1</v>
      </c>
      <c r="E1391" s="13">
        <v>1</v>
      </c>
      <c r="F1391" s="13">
        <v>1</v>
      </c>
      <c r="G1391" s="2">
        <f t="array" ref="G1391:W1391">G1390:W1390/F1390</f>
        <v>0.95683453237410077</v>
      </c>
      <c r="H1391" s="2">
        <v>0.92086330935251803</v>
      </c>
      <c r="I1391" s="2">
        <v>0.84892086330935257</v>
      </c>
      <c r="J1391" s="2">
        <v>0.76258992805755399</v>
      </c>
      <c r="K1391" s="2">
        <v>0.69064748201438853</v>
      </c>
      <c r="L1391" s="2">
        <v>0.61151079136690645</v>
      </c>
      <c r="M1391" s="2">
        <v>0.60431654676258995</v>
      </c>
      <c r="N1391" s="2">
        <v>0.59712230215827333</v>
      </c>
      <c r="O1391" s="2">
        <v>0.58273381294964033</v>
      </c>
      <c r="P1391" s="2">
        <v>0.57553956834532372</v>
      </c>
      <c r="Q1391" s="2">
        <v>0.57553956834532372</v>
      </c>
      <c r="R1391" s="2">
        <v>0.56834532374100721</v>
      </c>
      <c r="S1391" s="2">
        <v>0.5611510791366906</v>
      </c>
      <c r="T1391" s="2">
        <v>0.5467625899280576</v>
      </c>
      <c r="U1391" s="2">
        <v>0.53956834532374098</v>
      </c>
      <c r="V1391" s="2">
        <v>0.53237410071942448</v>
      </c>
      <c r="W1391" s="2">
        <v>0.51798561151079137</v>
      </c>
    </row>
    <row r="1392" spans="1:23" ht="12.75">
      <c r="A1392" s="5"/>
    </row>
    <row r="1393" spans="1:23" ht="12.75">
      <c r="A1393" s="246" t="s">
        <v>1203</v>
      </c>
      <c r="B1393" s="13">
        <v>133</v>
      </c>
      <c r="C1393" s="13">
        <v>133</v>
      </c>
      <c r="D1393" s="13">
        <v>133</v>
      </c>
      <c r="E1393" s="13">
        <v>133</v>
      </c>
      <c r="F1393" s="13">
        <v>133</v>
      </c>
      <c r="G1393" s="13">
        <v>128</v>
      </c>
      <c r="H1393" s="13">
        <v>123</v>
      </c>
      <c r="I1393" s="13">
        <v>113</v>
      </c>
      <c r="J1393" s="13">
        <v>102</v>
      </c>
      <c r="K1393" s="13">
        <v>93</v>
      </c>
      <c r="L1393" s="13">
        <v>83</v>
      </c>
      <c r="M1393" s="13">
        <v>81</v>
      </c>
      <c r="N1393" s="13">
        <v>80</v>
      </c>
      <c r="O1393" s="13">
        <v>79</v>
      </c>
      <c r="P1393" s="13">
        <v>78</v>
      </c>
      <c r="Q1393" s="13">
        <v>76</v>
      </c>
      <c r="R1393" s="13">
        <v>75</v>
      </c>
      <c r="S1393" s="13">
        <v>75</v>
      </c>
      <c r="T1393" s="13">
        <v>74</v>
      </c>
      <c r="U1393" s="13">
        <v>72</v>
      </c>
      <c r="V1393" s="13">
        <v>71</v>
      </c>
      <c r="W1393" s="13">
        <v>70</v>
      </c>
    </row>
    <row r="1394" spans="1:23" ht="12.75">
      <c r="A1394" s="246" t="s">
        <v>1203</v>
      </c>
      <c r="B1394" s="13">
        <v>1</v>
      </c>
      <c r="C1394" s="13">
        <v>1</v>
      </c>
      <c r="D1394" s="13">
        <v>1</v>
      </c>
      <c r="E1394" s="13">
        <v>1</v>
      </c>
      <c r="F1394" s="13">
        <v>1</v>
      </c>
      <c r="G1394" s="2">
        <f t="array" ref="G1394:W1394">G1393:W1393/F1393</f>
        <v>0.96240601503759393</v>
      </c>
      <c r="H1394" s="2">
        <v>0.92481203007518797</v>
      </c>
      <c r="I1394" s="2">
        <v>0.84962406015037595</v>
      </c>
      <c r="J1394" s="2">
        <v>0.76691729323308266</v>
      </c>
      <c r="K1394" s="2">
        <v>0.6992481203007519</v>
      </c>
      <c r="L1394" s="2">
        <v>0.62406015037593987</v>
      </c>
      <c r="M1394" s="2">
        <v>0.60902255639097747</v>
      </c>
      <c r="N1394" s="2">
        <v>0.60150375939849621</v>
      </c>
      <c r="O1394" s="2">
        <v>0.59398496240601506</v>
      </c>
      <c r="P1394" s="2">
        <v>0.5864661654135338</v>
      </c>
      <c r="Q1394" s="2">
        <v>0.5714285714285714</v>
      </c>
      <c r="R1394" s="2">
        <v>0.56390977443609025</v>
      </c>
      <c r="S1394" s="2">
        <v>0.56390977443609025</v>
      </c>
      <c r="T1394" s="2">
        <v>0.55639097744360899</v>
      </c>
      <c r="U1394" s="2">
        <v>0.54135338345864659</v>
      </c>
      <c r="V1394" s="2">
        <v>0.53383458646616544</v>
      </c>
      <c r="W1394" s="2">
        <v>0.52631578947368418</v>
      </c>
    </row>
    <row r="1395" spans="1:23" ht="12.75">
      <c r="A1395" s="5"/>
    </row>
    <row r="1396" spans="1:23" ht="12.75">
      <c r="A1396" s="246" t="s">
        <v>459</v>
      </c>
      <c r="B1396" s="13">
        <v>139</v>
      </c>
      <c r="C1396" s="13">
        <v>139</v>
      </c>
      <c r="D1396" s="13">
        <v>139</v>
      </c>
      <c r="E1396" s="13">
        <v>139</v>
      </c>
      <c r="F1396" s="13">
        <v>139</v>
      </c>
      <c r="G1396" s="13">
        <v>139</v>
      </c>
      <c r="H1396" s="13">
        <v>139</v>
      </c>
      <c r="I1396" s="13">
        <v>128</v>
      </c>
      <c r="J1396" s="13">
        <v>118</v>
      </c>
      <c r="K1396" s="13">
        <v>106</v>
      </c>
      <c r="L1396" s="13">
        <v>97</v>
      </c>
      <c r="M1396" s="13">
        <v>85</v>
      </c>
      <c r="N1396" s="13">
        <v>84</v>
      </c>
      <c r="O1396" s="13">
        <v>83</v>
      </c>
      <c r="P1396" s="13">
        <v>83</v>
      </c>
      <c r="Q1396" s="13">
        <v>81</v>
      </c>
      <c r="R1396" s="13">
        <v>80</v>
      </c>
      <c r="S1396" s="13">
        <v>79</v>
      </c>
      <c r="T1396" s="13">
        <v>79</v>
      </c>
      <c r="U1396" s="13">
        <v>78</v>
      </c>
      <c r="V1396" s="13">
        <v>76</v>
      </c>
      <c r="W1396" s="13">
        <v>75</v>
      </c>
    </row>
    <row r="1397" spans="1:23" ht="12.75">
      <c r="A1397" s="246" t="s">
        <v>459</v>
      </c>
      <c r="B1397" s="13">
        <v>1</v>
      </c>
      <c r="C1397" s="13">
        <v>1</v>
      </c>
      <c r="D1397" s="13">
        <v>1</v>
      </c>
      <c r="E1397" s="13">
        <v>1</v>
      </c>
      <c r="F1397" s="13">
        <v>1</v>
      </c>
      <c r="G1397" s="2">
        <f t="array" ref="G1397:W1397">G1396:W1396/F1396</f>
        <v>1</v>
      </c>
      <c r="H1397" s="2">
        <v>1</v>
      </c>
      <c r="I1397" s="2">
        <v>0.92086330935251803</v>
      </c>
      <c r="J1397" s="2">
        <v>0.84892086330935257</v>
      </c>
      <c r="K1397" s="2">
        <v>0.76258992805755399</v>
      </c>
      <c r="L1397" s="2">
        <v>0.69784172661870503</v>
      </c>
      <c r="M1397" s="2">
        <v>0.61151079136690645</v>
      </c>
      <c r="N1397" s="2">
        <v>0.60431654676258995</v>
      </c>
      <c r="O1397" s="2">
        <v>0.59712230215827333</v>
      </c>
      <c r="P1397" s="2">
        <v>0.59712230215827333</v>
      </c>
      <c r="Q1397" s="2">
        <v>0.58273381294964033</v>
      </c>
      <c r="R1397" s="2">
        <v>0.57553956834532372</v>
      </c>
      <c r="S1397" s="2">
        <v>0.56834532374100721</v>
      </c>
      <c r="T1397" s="2">
        <v>0.56834532374100721</v>
      </c>
      <c r="U1397" s="2">
        <v>0.5611510791366906</v>
      </c>
      <c r="V1397" s="2">
        <v>0.5467625899280576</v>
      </c>
      <c r="W1397" s="2">
        <v>0.53956834532374098</v>
      </c>
    </row>
    <row r="1398" spans="1:23" ht="12.75">
      <c r="A1398" s="5"/>
    </row>
    <row r="1399" spans="1:23" ht="12.75">
      <c r="A1399" s="5"/>
    </row>
    <row r="1400" spans="1:23" ht="12.75">
      <c r="A1400" s="5"/>
    </row>
    <row r="1401" spans="1:23" ht="12.75">
      <c r="A1401" s="5"/>
    </row>
    <row r="1402" spans="1:23" ht="12.75">
      <c r="A1402" s="5"/>
    </row>
    <row r="1403" spans="1:23" ht="12.75">
      <c r="A1403" s="5"/>
    </row>
    <row r="1404" spans="1:23" ht="12.75">
      <c r="A1404" s="5"/>
    </row>
    <row r="1405" spans="1:23" ht="12.75">
      <c r="A1405" s="5"/>
    </row>
    <row r="1406" spans="1:23" ht="12.75">
      <c r="A1406" s="5"/>
    </row>
    <row r="1407" spans="1:23" ht="12.75">
      <c r="A1407" s="5"/>
    </row>
    <row r="1408" spans="1:23" ht="12.75">
      <c r="A1408" s="5"/>
    </row>
    <row r="1409" spans="1:1" ht="12.75">
      <c r="A1409" s="5"/>
    </row>
    <row r="1410" spans="1:1" ht="12.75">
      <c r="A1410" s="5"/>
    </row>
    <row r="1411" spans="1:1" ht="12.75">
      <c r="A1411" s="5"/>
    </row>
    <row r="1412" spans="1:1" ht="12.75">
      <c r="A1412" s="5"/>
    </row>
    <row r="1413" spans="1:1" ht="12.75">
      <c r="A1413" s="5"/>
    </row>
    <row r="1414" spans="1:1" ht="12.75">
      <c r="A1414" s="5"/>
    </row>
    <row r="1415" spans="1:1" ht="12.75">
      <c r="A1415" s="5"/>
    </row>
    <row r="1416" spans="1:1" ht="12.75">
      <c r="A1416" s="5"/>
    </row>
    <row r="1417" spans="1:1" ht="12.75">
      <c r="A1417" s="5"/>
    </row>
    <row r="1418" spans="1:1" ht="12.75">
      <c r="A1418" s="5"/>
    </row>
    <row r="1419" spans="1:1" ht="12.75">
      <c r="A1419" s="5"/>
    </row>
    <row r="1420" spans="1:1" ht="12.75">
      <c r="A1420" s="5"/>
    </row>
    <row r="1421" spans="1:1" ht="12.75">
      <c r="A1421" s="5"/>
    </row>
    <row r="1422" spans="1:1" ht="12.75">
      <c r="A1422" s="5"/>
    </row>
    <row r="1423" spans="1:1" ht="12.75">
      <c r="A1423" s="5"/>
    </row>
    <row r="1424" spans="1:1" ht="12.75">
      <c r="A1424" s="5"/>
    </row>
    <row r="1425" spans="1:1" ht="12.75">
      <c r="A1425" s="5"/>
    </row>
    <row r="1426" spans="1:1" ht="12.75">
      <c r="A1426" s="5"/>
    </row>
    <row r="1427" spans="1:1" ht="12.75">
      <c r="A1427" s="5"/>
    </row>
    <row r="1428" spans="1:1" ht="12.75">
      <c r="A1428" s="5"/>
    </row>
    <row r="1429" spans="1:1" ht="12.75">
      <c r="A1429" s="5"/>
    </row>
    <row r="1430" spans="1:1" ht="12.75">
      <c r="A1430" s="5"/>
    </row>
    <row r="1431" spans="1:1" ht="12.75">
      <c r="A1431" s="5"/>
    </row>
    <row r="1432" spans="1:1" ht="12.75">
      <c r="A1432" s="5"/>
    </row>
    <row r="1433" spans="1:1" ht="12.75">
      <c r="A1433" s="5"/>
    </row>
    <row r="1434" spans="1:1" ht="12.75">
      <c r="A1434" s="5"/>
    </row>
    <row r="1435" spans="1:1" ht="12.75">
      <c r="A1435" s="5"/>
    </row>
    <row r="1436" spans="1:1" ht="12.75">
      <c r="A1436" s="5"/>
    </row>
    <row r="1437" spans="1:1" ht="12.75">
      <c r="A1437" s="5"/>
    </row>
    <row r="1438" spans="1:1" ht="12.75">
      <c r="A1438" s="5"/>
    </row>
    <row r="1439" spans="1:1" ht="12.75">
      <c r="A1439" s="5"/>
    </row>
    <row r="1440" spans="1:1" ht="12.75">
      <c r="A1440" s="5"/>
    </row>
  </sheetData>
  <mergeCells count="65">
    <mergeCell ref="P1214:V1214"/>
    <mergeCell ref="P1208:Q1208"/>
    <mergeCell ref="P1211:Q1211"/>
    <mergeCell ref="P1198:V1198"/>
    <mergeCell ref="P1209:Q1209"/>
    <mergeCell ref="P1210:Q1210"/>
    <mergeCell ref="P1212:V1212"/>
    <mergeCell ref="P1213:V1213"/>
    <mergeCell ref="H1195:N1195"/>
    <mergeCell ref="P1195:V1195"/>
    <mergeCell ref="H1196:N1196"/>
    <mergeCell ref="P1196:V1196"/>
    <mergeCell ref="H1197:N1197"/>
    <mergeCell ref="P1197:V1197"/>
    <mergeCell ref="H1189:N1189"/>
    <mergeCell ref="P1189:V1189"/>
    <mergeCell ref="P1190:V1190"/>
    <mergeCell ref="P1193:V1193"/>
    <mergeCell ref="P1194:V1194"/>
    <mergeCell ref="H1190:N1190"/>
    <mergeCell ref="H1191:N1191"/>
    <mergeCell ref="P1191:V1191"/>
    <mergeCell ref="H1192:N1192"/>
    <mergeCell ref="P1192:V1192"/>
    <mergeCell ref="H1193:N1193"/>
    <mergeCell ref="H1194:N1194"/>
    <mergeCell ref="B214:W214"/>
    <mergeCell ref="A356:V356"/>
    <mergeCell ref="B497:W497"/>
    <mergeCell ref="I889:N889"/>
    <mergeCell ref="H1188:N1188"/>
    <mergeCell ref="P1188:V1188"/>
    <mergeCell ref="A2:W2"/>
    <mergeCell ref="A3:W3"/>
    <mergeCell ref="A4:W4"/>
    <mergeCell ref="M62:V64"/>
    <mergeCell ref="A72:V72"/>
    <mergeCell ref="H1215:N1215"/>
    <mergeCell ref="H1216:N1216"/>
    <mergeCell ref="H1205:I1205"/>
    <mergeCell ref="H1206:I1206"/>
    <mergeCell ref="H1207:I1207"/>
    <mergeCell ref="H1208:I1208"/>
    <mergeCell ref="H1209:I1209"/>
    <mergeCell ref="H1210:I1210"/>
    <mergeCell ref="H1211:I1211"/>
    <mergeCell ref="H1203:I1203"/>
    <mergeCell ref="H1204:I1204"/>
    <mergeCell ref="H1212:I1212"/>
    <mergeCell ref="H1213:N1213"/>
    <mergeCell ref="H1214:N1214"/>
    <mergeCell ref="H1198:N1198"/>
    <mergeCell ref="H1199:N1199"/>
    <mergeCell ref="H1200:N1200"/>
    <mergeCell ref="H1201:N1201"/>
    <mergeCell ref="H1202:I1202"/>
    <mergeCell ref="P1206:Q1206"/>
    <mergeCell ref="P1207:Q1207"/>
    <mergeCell ref="P1199:V1199"/>
    <mergeCell ref="P1200:V1200"/>
    <mergeCell ref="P1201:V1201"/>
    <mergeCell ref="P1202:Q1202"/>
    <mergeCell ref="P1203:Q1203"/>
    <mergeCell ref="P1204:Q1204"/>
    <mergeCell ref="P1205:Q1205"/>
  </mergeCells>
  <phoneticPr fontId="86" type="noConversion"/>
  <conditionalFormatting sqref="B75:W163 Z153:AU153 B165:W196 Z165:AU166 Z172:AU172 Z177:AU178 Z185:AU185 Z190:AU190 Z194:AU194 B198:B213 C198:V637 W198:W354 Z198:AU198 Z214:AU216 B215:B637 Z219:AU219 Z221:AU222 A355:A356 W357:W637 A360 B884:W888">
    <cfRule type="cellIs" dxfId="4" priority="1" operator="greaterThanOrEqual">
      <formula>150</formula>
    </cfRule>
  </conditionalFormatting>
  <conditionalFormatting sqref="B75:W163 Z153:AU153 B165:W196 Z165:AU166 Z172:AU172 Z177:AU178 Z185:AU185 Z190:AU190 Z194:AU194 B198:B213 C198:V637 W198:W354 Z198:AU198 Z214:AU216 B215:B637 Z219:AU219 Z221:AU222 A355:A356 W357:W637 A360 B884:W888">
    <cfRule type="cellIs" dxfId="3" priority="2" operator="greaterThanOrEqual">
      <formula>75</formula>
    </cfRule>
  </conditionalFormatting>
  <conditionalFormatting sqref="B86:W88 B97:B98 C97:W108 B101:B108 B111:W144 B146:W163 Z153:AU153 B165:W196 Z165:AU166 Z172:AU172 Z177:AU178 Z185:AU185 Z190:AU190 Z194:AU194 B198:B213 C198:V637 W198:W354 Z198:AU198 Z214:AU216 B215:B637 Z219:AU219 Z221:AU222 A355:A356 W357:W637 A360 B884:W888">
    <cfRule type="cellIs" dxfId="2" priority="3" operator="lessThan">
      <formula>50</formula>
    </cfRule>
  </conditionalFormatting>
  <conditionalFormatting sqref="B75:W163 Z153:AU153 B165:W196 Z165:AU166 Z172:AU172 Z177:AU178 Z185:AU185 Z190:AU190 Z194:AU194 B198:B213 C198:V637 W198:W354 Z198:AU198 Z214:AU216 B215:B637 Z219:AU219 Z221:AU222 A355:A356 W357:W637 A360 B884:W888">
    <cfRule type="cellIs" dxfId="1" priority="4" operator="lessThan">
      <formula>75</formula>
    </cfRule>
  </conditionalFormatting>
  <conditionalFormatting sqref="B9:W27 B29:W31 B37:W43 B642:W642 B659:W659 B680:W680 B687:W687 B698:W698 B733:W733 B746 D746:BU746 B763:W763 B784:W784 B795:W795 B804:W804 B811:W811 B814:W814 B817:W817 B820:W821 B827:W827 B830:W830 B961:W961 B971:W971 B979:W979 B994:W994 B1004:W1004 B1017:W1017 B1027:W1027 B1039:W1039 B1043:W1043 B1052:W1052 B1059:W1059 B1066:W1066 B1073:W1073 B1080:W1080 B1105:W1106 B1389:W1389">
    <cfRule type="colorScale" priority="5">
      <colorScale>
        <cfvo type="min"/>
        <cfvo type="percent" val="50"/>
        <cfvo type="formula" val="1"/>
        <color rgb="FFB1D47F"/>
        <color rgb="FFFFD966"/>
        <color rgb="FFF8696B"/>
      </colorScale>
    </cfRule>
  </conditionalFormatting>
  <conditionalFormatting sqref="B75:W163 Z153:AU153 B165:W196 Z165:AU166 Z172:AU172 Z177:AU178 Z185:AU185 Z190:AU190 Z194:AU194 B198:B213 C198:V637 W198:W354 Z198:AU198 Z214:AU216 B215:B637 Z219:AU219 Z221:AU222 A355:A356 W357:W637 A360 B884:W888">
    <cfRule type="cellIs" dxfId="0" priority="6" operator="greaterThanOrEqual">
      <formula>75</formula>
    </cfRule>
  </conditionalFormatting>
  <printOptions horizontalCentered="1" gridLines="1"/>
  <pageMargins left="0.25" right="0.25" top="0.75" bottom="0.75" header="0" footer="0"/>
  <pageSetup pageOrder="overThenDown" orientation="portrait" cellComments="atEnd"/>
  <colBreaks count="2" manualBreakCount="2">
    <brk man="1"/>
    <brk id="23" man="1"/>
  </colBreaks>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5703125" defaultRowHeight="15.75" customHeight="1"/>
  <sheetData>
    <row r="1" spans="1:1">
      <c r="A1" s="1"/>
    </row>
  </sheetData>
  <phoneticPr fontId="8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21"/>
  <sheetViews>
    <sheetView workbookViewId="0"/>
  </sheetViews>
  <sheetFormatPr defaultColWidth="12.5703125" defaultRowHeight="15.75" customHeight="1"/>
  <sheetData>
    <row r="1" spans="1:1">
      <c r="A1" s="2" t="e">
        <f>ModelSheet=Tabellenblatt1!A:Z</f>
        <v>#NAME?</v>
      </c>
    </row>
    <row r="2" spans="1:1">
      <c r="A2" s="2" t="e">
        <f>OpenSolver_AdjNum=4</f>
        <v>#NAME?</v>
      </c>
    </row>
    <row r="3" spans="1:1">
      <c r="A3" s="2" t="e">
        <f>OpenSolver_ChosenSolver=NeosCBC</f>
        <v>#NAME?</v>
      </c>
    </row>
    <row r="4" spans="1:1">
      <c r="A4" s="2" t="e">
        <f>OpenSolver_FastBuild=0</f>
        <v>#NAME?</v>
      </c>
    </row>
    <row r="5" spans="1:1">
      <c r="A5" s="2" t="e">
        <f>OpenSolver_LinearityCheck=0</f>
        <v>#NAME?</v>
      </c>
    </row>
    <row r="6" spans="1:1">
      <c r="A6" s="2" t="e">
        <f>solver_adj=#REF!</f>
        <v>#NAME?</v>
      </c>
    </row>
    <row r="7" spans="1:1">
      <c r="A7" s="2" t="e">
        <f>solver_adj1=Tabellenblatt1!F913</f>
        <v>#NAME?</v>
      </c>
    </row>
    <row r="8" spans="1:1">
      <c r="A8" s="2" t="e">
        <f>solver_adj2=#REF!</f>
        <v>#NAME?</v>
      </c>
    </row>
    <row r="9" spans="1:1">
      <c r="A9" s="2" t="e">
        <f>solver_adj3=#REF!</f>
        <v>#NAME?</v>
      </c>
    </row>
    <row r="10" spans="1:1">
      <c r="A10" s="2" t="e">
        <f>solver_lhs1=#REF!</f>
        <v>#NAME?</v>
      </c>
    </row>
    <row r="11" spans="1:1">
      <c r="A11" s="2" t="e">
        <f>solver_lhs2=#REF!</f>
        <v>#NAME?</v>
      </c>
    </row>
    <row r="12" spans="1:1">
      <c r="A12" s="2" t="e">
        <f>solver_neg=1</f>
        <v>#NAME?</v>
      </c>
    </row>
    <row r="13" spans="1:1">
      <c r="A13" s="2" t="e">
        <f>solver_num=2</f>
        <v>#NAME?</v>
      </c>
    </row>
    <row r="14" spans="1:1">
      <c r="A14" s="2" t="e">
        <f>solver_opt=#REF!</f>
        <v>#NAME?</v>
      </c>
    </row>
    <row r="15" spans="1:1">
      <c r="A15" s="2" t="e">
        <f>solver_rel1=3</f>
        <v>#NAME?</v>
      </c>
    </row>
    <row r="16" spans="1:1">
      <c r="A16" s="2" t="e">
        <f>solver_rel2=3</f>
        <v>#NAME?</v>
      </c>
    </row>
    <row r="17" spans="1:1">
      <c r="A17" s="2" t="e">
        <f>solver_rhs1=#REF!</f>
        <v>#NAME?</v>
      </c>
    </row>
    <row r="18" spans="1:1">
      <c r="A18" s="2" t="e">
        <f>solver_rhs2=#REF!</f>
        <v>#NAME?</v>
      </c>
    </row>
    <row r="19" spans="1:1">
      <c r="A19" s="2" t="e">
        <f>solver_sho=1</f>
        <v>#NAME?</v>
      </c>
    </row>
    <row r="20" spans="1:1">
      <c r="A20" s="2" t="e">
        <f>solver_typ=2</f>
        <v>#NAME?</v>
      </c>
    </row>
    <row r="21" spans="1:1">
      <c r="A21" s="2" t="e">
        <f>solver_val=0</f>
        <v>#NAME?</v>
      </c>
    </row>
  </sheetData>
  <phoneticPr fontId="8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Formularantworten 1</vt:lpstr>
      <vt:lpstr>Tabellenblatt1</vt:lpstr>
      <vt:lpstr>__OpenSolverCache__</vt:lpstr>
      <vt:lpstr>__OpenSolver__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2026-09-15T02:22:43Z</dcterms:modified>
</cp:coreProperties>
</file>